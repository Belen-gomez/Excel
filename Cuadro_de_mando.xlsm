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9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DATOS\BELÉN\3º UNI\Excel\"/>
    </mc:Choice>
  </mc:AlternateContent>
  <xr:revisionPtr revIDLastSave="0" documentId="13_ncr:1_{B6D330F4-B967-4150-8413-DCD354907EEB}" xr6:coauthVersionLast="47" xr6:coauthVersionMax="47" xr10:uidLastSave="{00000000-0000-0000-0000-000000000000}"/>
  <bookViews>
    <workbookView xWindow="-108" yWindow="-108" windowWidth="23256" windowHeight="12576" xr2:uid="{55729DE3-F02B-4D09-AEEE-68848FBB3727}"/>
  </bookViews>
  <sheets>
    <sheet name="Cuadro de mandos" sheetId="1" r:id="rId1"/>
    <sheet name="Precio" sheetId="4" r:id="rId2"/>
    <sheet name="Hoja5" sheetId="6" r:id="rId3"/>
    <sheet name="Tablas y graficos" sheetId="5" r:id="rId4"/>
    <sheet name="datos_limpios" sheetId="2" r:id="rId5"/>
    <sheet name="Atributos" sheetId="3" r:id="rId6"/>
  </sheets>
  <definedNames>
    <definedName name="_xlnm._FilterDatabase" localSheetId="3" hidden="1">'Tablas y graficos'!$C$1:$C$1934</definedName>
    <definedName name="DatosExternos_1" localSheetId="4" hidden="1">datos_limpios!$A$1:$P$1936</definedName>
    <definedName name="LEYENDA">Tabla10[#All]</definedName>
    <definedName name="SegmentaciónDeDatos_Color">#N/A</definedName>
    <definedName name="SegmentaciónDeDatos_Familiar">#N/A</definedName>
    <definedName name="SegmentaciónDeDatos_Fuel_Type">#N/A</definedName>
    <definedName name="SegmentaciónDeDatos_Make">#N/A</definedName>
    <definedName name="SegmentaciónDeDatos_Make1">#N/A</definedName>
    <definedName name="SegmentaciónDeDatos_Model">#N/A</definedName>
    <definedName name="SegmentaciónDeDatos_Transmission">#N/A</definedName>
    <definedName name="SegmentaciónDeDatos_Year">#N/A</definedName>
  </definedNames>
  <calcPr calcId="191029"/>
  <pivotCaches>
    <pivotCache cacheId="8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66" i="1" l="1"/>
  <c r="AA65" i="1"/>
  <c r="AA64" i="1"/>
  <c r="AA63" i="1"/>
  <c r="AA62" i="1"/>
  <c r="AA61" i="1"/>
  <c r="AA60" i="1"/>
  <c r="AA59" i="1"/>
  <c r="AA58" i="1"/>
  <c r="AA57" i="1"/>
  <c r="S57" i="1"/>
  <c r="S66" i="1"/>
  <c r="S65" i="1"/>
  <c r="S64" i="1"/>
  <c r="S63" i="1"/>
  <c r="S62" i="1"/>
  <c r="S61" i="1"/>
  <c r="S60" i="1"/>
  <c r="S59" i="1"/>
  <c r="S58" i="1"/>
  <c r="J69" i="5"/>
  <c r="D69" i="5"/>
  <c r="J78" i="5"/>
  <c r="J77" i="5"/>
  <c r="J76" i="5"/>
  <c r="J75" i="5"/>
  <c r="J74" i="5"/>
  <c r="J73" i="5"/>
  <c r="J72" i="5"/>
  <c r="J71" i="5"/>
  <c r="J70" i="5"/>
  <c r="D70" i="5"/>
  <c r="D71" i="5"/>
  <c r="D72" i="5"/>
  <c r="D73" i="5"/>
  <c r="D74" i="5"/>
  <c r="D75" i="5"/>
  <c r="D76" i="5"/>
  <c r="D77" i="5"/>
  <c r="D78" i="5"/>
  <c r="B54" i="5"/>
  <c r="B6" i="5"/>
  <c r="B28" i="5"/>
  <c r="B5" i="5"/>
  <c r="M877" i="2" l="1"/>
  <c r="M859" i="2"/>
  <c r="M860" i="2"/>
  <c r="M1777" i="2"/>
  <c r="M1790" i="2"/>
  <c r="M1800" i="2"/>
  <c r="M880" i="2"/>
  <c r="M889" i="2"/>
  <c r="M895" i="2"/>
  <c r="M904" i="2"/>
  <c r="M474" i="2"/>
  <c r="M1789" i="2"/>
  <c r="M1782" i="2"/>
  <c r="M1786" i="2"/>
  <c r="M1787" i="2"/>
  <c r="M1770" i="2"/>
  <c r="M1749" i="2"/>
  <c r="M1769" i="2"/>
  <c r="M1788" i="2"/>
  <c r="M984" i="2"/>
  <c r="M1058" i="2"/>
  <c r="M1662" i="2"/>
  <c r="M1663" i="2"/>
  <c r="M1322" i="2"/>
  <c r="M1369" i="2"/>
  <c r="M1376" i="2"/>
  <c r="M1387" i="2"/>
  <c r="M1389" i="2"/>
  <c r="M1664" i="2"/>
  <c r="M1884" i="2"/>
  <c r="M1380" i="2"/>
  <c r="M1890" i="2"/>
  <c r="M1908" i="2"/>
  <c r="M1910" i="2"/>
  <c r="M1905" i="2"/>
  <c r="M1345" i="2"/>
  <c r="M1891" i="2"/>
  <c r="M1904" i="2"/>
  <c r="M1358" i="2"/>
  <c r="M1390" i="2"/>
  <c r="M1895" i="2"/>
  <c r="M1912" i="2"/>
  <c r="M1911" i="2"/>
  <c r="M1915" i="2"/>
  <c r="M1897" i="2"/>
  <c r="M1384" i="2"/>
  <c r="M1888" i="2"/>
  <c r="M1879" i="2"/>
  <c r="M1883" i="2"/>
  <c r="M1352" i="2"/>
  <c r="M1355" i="2"/>
  <c r="M1370" i="2"/>
  <c r="M1379" i="2"/>
  <c r="M1391" i="2"/>
  <c r="M1392" i="2"/>
  <c r="M1393" i="2"/>
  <c r="M1661" i="2"/>
  <c r="M1792" i="2"/>
  <c r="M1900" i="2"/>
  <c r="M1903" i="2"/>
  <c r="M1909" i="2"/>
  <c r="M1660" i="2"/>
  <c r="M1672" i="2"/>
  <c r="M1671" i="2"/>
  <c r="M1674" i="2"/>
  <c r="M1670" i="2"/>
  <c r="M1645" i="2"/>
  <c r="M1666" i="2"/>
  <c r="M1650" i="2"/>
  <c r="M1667" i="2"/>
  <c r="M1673" i="2"/>
  <c r="M1658" i="2"/>
  <c r="M878" i="2"/>
  <c r="M898" i="2"/>
  <c r="M1659" i="2"/>
  <c r="M1665" i="2"/>
  <c r="M1652" i="2"/>
  <c r="M869" i="2"/>
  <c r="M916" i="2"/>
  <c r="M1783" i="2"/>
  <c r="M1795" i="2"/>
  <c r="M1594" i="2"/>
  <c r="M1647" i="2"/>
  <c r="M1648" i="2"/>
  <c r="M1728" i="2"/>
  <c r="M1725" i="2"/>
  <c r="M1554" i="2"/>
  <c r="M1730" i="2"/>
  <c r="M1731" i="2"/>
  <c r="M1561" i="2"/>
  <c r="M1720" i="2"/>
  <c r="M1735" i="2"/>
  <c r="M1629" i="2"/>
  <c r="M1724" i="2"/>
  <c r="M1599" i="2"/>
  <c r="M1632" i="2"/>
  <c r="M1635" i="2"/>
  <c r="M1639" i="2"/>
  <c r="M1649" i="2"/>
  <c r="M1722" i="2"/>
  <c r="M249" i="2"/>
  <c r="M1916" i="2"/>
  <c r="M1675" i="2"/>
  <c r="M1914" i="2"/>
  <c r="M1899" i="2"/>
  <c r="M243" i="2"/>
  <c r="M260" i="2"/>
  <c r="M1913" i="2"/>
  <c r="M245" i="2"/>
  <c r="M1570" i="2"/>
  <c r="M1571" i="2"/>
  <c r="M750" i="2"/>
  <c r="M802" i="2"/>
  <c r="M806" i="2"/>
  <c r="M746" i="2"/>
  <c r="M809" i="2"/>
  <c r="M811" i="2"/>
  <c r="M804" i="2"/>
  <c r="M814" i="2"/>
  <c r="M807" i="2"/>
  <c r="M748" i="2"/>
  <c r="M749" i="2"/>
  <c r="M751" i="2"/>
  <c r="M756" i="2"/>
  <c r="M759" i="2"/>
  <c r="M764" i="2"/>
  <c r="M768" i="2"/>
  <c r="M803" i="2"/>
  <c r="M815" i="2"/>
  <c r="M817" i="2"/>
  <c r="M752" i="2"/>
  <c r="M763" i="2"/>
  <c r="M808" i="2"/>
  <c r="M812" i="2"/>
  <c r="M1577" i="2"/>
  <c r="M1576" i="2"/>
  <c r="M820" i="2"/>
  <c r="M1572" i="2"/>
  <c r="M1575" i="2"/>
  <c r="M1684" i="2"/>
  <c r="M1685" i="2"/>
  <c r="M1917" i="2"/>
  <c r="M818" i="2"/>
  <c r="M1573" i="2"/>
  <c r="M911" i="2"/>
  <c r="M1878" i="2"/>
  <c r="M903" i="2"/>
  <c r="M906" i="2"/>
  <c r="M919" i="2"/>
  <c r="M935" i="2"/>
  <c r="M334" i="2"/>
  <c r="M322" i="2"/>
  <c r="M306" i="2"/>
  <c r="M320" i="2"/>
  <c r="M326" i="2"/>
  <c r="M331" i="2"/>
  <c r="M305" i="2"/>
  <c r="M333" i="2"/>
  <c r="M311" i="2"/>
  <c r="M872" i="2"/>
  <c r="M420" i="2"/>
  <c r="M374" i="2"/>
  <c r="M405" i="2"/>
  <c r="M355" i="2"/>
  <c r="M356" i="2"/>
  <c r="M387" i="2"/>
  <c r="M396" i="2"/>
  <c r="M412" i="2"/>
  <c r="M329" i="2"/>
  <c r="M347" i="2"/>
  <c r="M380" i="2"/>
  <c r="M385" i="2"/>
  <c r="M399" i="2"/>
  <c r="M400" i="2"/>
  <c r="M403" i="2"/>
  <c r="M408" i="2"/>
  <c r="M386" i="2"/>
  <c r="M414" i="2"/>
  <c r="M359" i="2"/>
  <c r="M369" i="2"/>
  <c r="M377" i="2"/>
  <c r="M381" i="2"/>
  <c r="M382" i="2"/>
  <c r="M398" i="2"/>
  <c r="M402" i="2"/>
  <c r="M404" i="2"/>
  <c r="M411" i="2"/>
  <c r="M413" i="2"/>
  <c r="M417" i="2"/>
  <c r="M321" i="2"/>
  <c r="M354" i="2"/>
  <c r="M364" i="2"/>
  <c r="M375" i="2"/>
  <c r="M378" i="2"/>
  <c r="M390" i="2"/>
  <c r="M395" i="2"/>
  <c r="M397" i="2"/>
  <c r="M418" i="2"/>
  <c r="M419" i="2"/>
  <c r="M285" i="2"/>
  <c r="M346" i="2"/>
  <c r="M1733" i="2"/>
  <c r="M1296" i="2"/>
  <c r="M1340" i="2"/>
  <c r="M683" i="2"/>
  <c r="M685" i="2"/>
  <c r="M694" i="2"/>
  <c r="M699" i="2"/>
  <c r="M702" i="2"/>
  <c r="M303" i="2"/>
  <c r="M422" i="2"/>
  <c r="M673" i="2"/>
  <c r="M295" i="2"/>
  <c r="M800" i="2"/>
  <c r="M1255" i="2"/>
  <c r="M1318" i="2"/>
  <c r="M805" i="2"/>
  <c r="M1386" i="2"/>
  <c r="M730" i="2"/>
  <c r="M801" i="2"/>
  <c r="M1219" i="2"/>
  <c r="M415" i="2"/>
  <c r="M1236" i="2"/>
  <c r="M1581" i="2"/>
  <c r="M286" i="2"/>
  <c r="M290" i="2"/>
  <c r="M410" i="2"/>
  <c r="M640" i="2"/>
  <c r="M691" i="2"/>
  <c r="M695" i="2"/>
  <c r="M704" i="2"/>
  <c r="M715" i="2"/>
  <c r="M725" i="2"/>
  <c r="M302" i="2"/>
  <c r="M280" i="2"/>
  <c r="M283" i="2"/>
  <c r="M288" i="2"/>
  <c r="M289" i="2"/>
  <c r="M282" i="2"/>
  <c r="M287" i="2"/>
  <c r="M296" i="2"/>
  <c r="M421" i="2"/>
  <c r="M425" i="2"/>
  <c r="M426" i="2"/>
  <c r="M1067" i="2"/>
  <c r="M1700" i="2"/>
  <c r="M862" i="2"/>
  <c r="M899" i="2"/>
  <c r="M926" i="2"/>
  <c r="M1405" i="2"/>
  <c r="M863" i="2"/>
  <c r="M864" i="2"/>
  <c r="M865" i="2"/>
  <c r="M875" i="2"/>
  <c r="M879" i="2"/>
  <c r="M883" i="2"/>
  <c r="M884" i="2"/>
  <c r="M888" i="2"/>
  <c r="M900" i="2"/>
  <c r="M901" i="2"/>
  <c r="M902" i="2"/>
  <c r="M907" i="2"/>
  <c r="M913" i="2"/>
  <c r="M920" i="2"/>
  <c r="M927" i="2"/>
  <c r="M929" i="2"/>
  <c r="M930" i="2"/>
  <c r="M931" i="2"/>
  <c r="M1406" i="2"/>
  <c r="M1701" i="2"/>
  <c r="M637" i="2"/>
  <c r="M716" i="2"/>
  <c r="M721" i="2"/>
  <c r="M255" i="2"/>
  <c r="M535" i="2"/>
  <c r="M738" i="2"/>
  <c r="M917" i="2"/>
  <c r="M493" i="2"/>
  <c r="M498" i="2"/>
  <c r="M682" i="2"/>
  <c r="M544" i="2"/>
  <c r="M559" i="2"/>
  <c r="M536" i="2"/>
  <c r="M565" i="2"/>
  <c r="M595" i="2"/>
  <c r="M609" i="2"/>
  <c r="M941" i="2"/>
  <c r="M607" i="2"/>
  <c r="M627" i="2"/>
  <c r="M643" i="2"/>
  <c r="M714" i="2"/>
  <c r="M724" i="2"/>
  <c r="M1412" i="2"/>
  <c r="M710" i="2"/>
  <c r="M735" i="2"/>
  <c r="M669" i="2"/>
  <c r="M675" i="2"/>
  <c r="M718" i="2"/>
  <c r="M732" i="2"/>
  <c r="M733" i="2"/>
  <c r="M679" i="2"/>
  <c r="M706" i="2"/>
  <c r="M635" i="2"/>
  <c r="M666" i="2"/>
  <c r="M661" i="2"/>
  <c r="M667" i="2"/>
  <c r="M671" i="2"/>
  <c r="M686" i="2"/>
  <c r="M693" i="2"/>
  <c r="M696" i="2"/>
  <c r="M697" i="2"/>
  <c r="M731" i="2"/>
  <c r="M736" i="2"/>
  <c r="M740" i="2"/>
  <c r="M741" i="2"/>
  <c r="M744" i="2"/>
  <c r="M874" i="2"/>
  <c r="M248" i="2"/>
  <c r="M594" i="2"/>
  <c r="M674" i="2"/>
  <c r="M681" i="2"/>
  <c r="M690" i="2"/>
  <c r="M703" i="2"/>
  <c r="M753" i="2"/>
  <c r="M755" i="2"/>
  <c r="M507" i="2"/>
  <c r="M533" i="2"/>
  <c r="M563" i="2"/>
  <c r="M648" i="2"/>
  <c r="M660" i="2"/>
  <c r="M689" i="2"/>
  <c r="M717" i="2"/>
  <c r="M727" i="2"/>
  <c r="M729" i="2"/>
  <c r="M645" i="2"/>
  <c r="M651" i="2"/>
  <c r="M659" i="2"/>
  <c r="M708" i="2"/>
  <c r="M513" i="2"/>
  <c r="M557" i="2"/>
  <c r="M649" i="2"/>
  <c r="M668" i="2"/>
  <c r="M677" i="2"/>
  <c r="M692" i="2"/>
  <c r="M711" i="2"/>
  <c r="M453" i="2"/>
  <c r="M514" i="2"/>
  <c r="M530" i="2"/>
  <c r="M540" i="2"/>
  <c r="M541" i="2"/>
  <c r="M554" i="2"/>
  <c r="M601" i="2"/>
  <c r="M605" i="2"/>
  <c r="M632" i="2"/>
  <c r="M652" i="2"/>
  <c r="M658" i="2"/>
  <c r="M662" i="2"/>
  <c r="M663" i="2"/>
  <c r="M664" i="2"/>
  <c r="M670" i="2"/>
  <c r="M676" i="2"/>
  <c r="M680" i="2"/>
  <c r="M687" i="2"/>
  <c r="M709" i="2"/>
  <c r="M712" i="2"/>
  <c r="M713" i="2"/>
  <c r="M720" i="2"/>
  <c r="M726" i="2"/>
  <c r="M728" i="2"/>
  <c r="M734" i="2"/>
  <c r="M737" i="2"/>
  <c r="M739" i="2"/>
  <c r="M742" i="2"/>
  <c r="M582" i="2"/>
  <c r="M947" i="2"/>
  <c r="M955" i="2"/>
  <c r="M958" i="2"/>
  <c r="M960" i="2"/>
  <c r="M964" i="2"/>
  <c r="M962" i="2"/>
  <c r="M953" i="2"/>
  <c r="M959" i="2"/>
  <c r="M963" i="2"/>
  <c r="M278" i="2"/>
  <c r="M940" i="2"/>
  <c r="M956" i="2"/>
  <c r="M292" i="2"/>
  <c r="M1756" i="2"/>
  <c r="M1759" i="2"/>
  <c r="M1761" i="2"/>
  <c r="M1758" i="2"/>
  <c r="M1449" i="2"/>
  <c r="M1436" i="2"/>
  <c r="M1444" i="2"/>
  <c r="M1451" i="2"/>
  <c r="M1426" i="2"/>
  <c r="M1428" i="2"/>
  <c r="M1417" i="2"/>
  <c r="M1422" i="2"/>
  <c r="M1423" i="2"/>
  <c r="M1424" i="2"/>
  <c r="M1429" i="2"/>
  <c r="M1445" i="2"/>
  <c r="M1456" i="2"/>
  <c r="M1458" i="2"/>
  <c r="M1462" i="2"/>
  <c r="M1767" i="2"/>
  <c r="M1766" i="2"/>
  <c r="M948" i="2"/>
  <c r="M1801" i="2"/>
  <c r="M910" i="2"/>
  <c r="M928" i="2"/>
  <c r="M938" i="2"/>
  <c r="M1702" i="2"/>
  <c r="M1723" i="2"/>
  <c r="M760" i="2"/>
  <c r="M761" i="2"/>
  <c r="M762" i="2"/>
  <c r="M819" i="2"/>
  <c r="M1796" i="2"/>
  <c r="M1816" i="2"/>
  <c r="M1817" i="2"/>
  <c r="M1802" i="2"/>
  <c r="M891" i="2"/>
  <c r="M914" i="2"/>
  <c r="M821" i="2"/>
  <c r="M1774" i="2"/>
  <c r="M1784" i="2"/>
  <c r="M943" i="2"/>
  <c r="M1737" i="2"/>
  <c r="M816" i="2"/>
  <c r="M885" i="2"/>
  <c r="M892" i="2"/>
  <c r="M918" i="2"/>
  <c r="M1764" i="2"/>
  <c r="M886" i="2"/>
  <c r="M894" i="2"/>
  <c r="M896" i="2"/>
  <c r="M905" i="2"/>
  <c r="M915" i="2"/>
  <c r="M921" i="2"/>
  <c r="M1709" i="2"/>
  <c r="M1718" i="2"/>
  <c r="M1738" i="2"/>
  <c r="M754" i="2"/>
  <c r="M758" i="2"/>
  <c r="M810" i="2"/>
  <c r="M813" i="2"/>
  <c r="M1785" i="2"/>
  <c r="M1794" i="2"/>
  <c r="M868" i="2"/>
  <c r="M887" i="2"/>
  <c r="M932" i="2"/>
  <c r="M936" i="2"/>
  <c r="M937" i="2"/>
  <c r="M866" i="2"/>
  <c r="M871" i="2"/>
  <c r="M912" i="2"/>
  <c r="M893" i="2"/>
  <c r="M897" i="2"/>
  <c r="M933" i="2"/>
  <c r="M939" i="2"/>
  <c r="M942" i="2"/>
  <c r="M11" i="2"/>
  <c r="M13" i="2"/>
  <c r="M1676" i="2"/>
  <c r="M1560" i="2"/>
  <c r="M1566" i="2"/>
  <c r="M39" i="2"/>
  <c r="M70" i="2"/>
  <c r="M71" i="2"/>
  <c r="M15" i="2"/>
  <c r="M1680" i="2"/>
  <c r="M25" i="2"/>
  <c r="M28" i="2"/>
  <c r="M84" i="2"/>
  <c r="M1556" i="2"/>
  <c r="M1563" i="2"/>
  <c r="M1559" i="2"/>
  <c r="M1565" i="2"/>
  <c r="M30" i="2"/>
  <c r="M55" i="2"/>
  <c r="M56" i="2"/>
  <c r="M58" i="2"/>
  <c r="M79" i="2"/>
  <c r="M81" i="2"/>
  <c r="M83" i="2"/>
  <c r="M86" i="2"/>
  <c r="M1918" i="2"/>
  <c r="M1919" i="2"/>
  <c r="M1564" i="2"/>
  <c r="M447" i="2"/>
  <c r="M1482" i="2"/>
  <c r="M562" i="2"/>
  <c r="M1474" i="2"/>
  <c r="M606" i="2"/>
  <c r="M628" i="2"/>
  <c r="M1849" i="2"/>
  <c r="M53" i="2"/>
  <c r="M1827" i="2"/>
  <c r="M1838" i="2"/>
  <c r="M1840" i="2"/>
  <c r="M1853" i="2"/>
  <c r="M1812" i="2"/>
  <c r="M1834" i="2"/>
  <c r="M1828" i="2"/>
  <c r="M1829" i="2"/>
  <c r="M1845" i="2"/>
  <c r="M1842" i="2"/>
  <c r="M1846" i="2"/>
  <c r="M1864" i="2"/>
  <c r="M1836" i="2"/>
  <c r="M834" i="2"/>
  <c r="M835" i="2"/>
  <c r="M1732" i="2"/>
  <c r="M1807" i="2"/>
  <c r="M1819" i="2"/>
  <c r="M1825" i="2"/>
  <c r="M1835" i="2"/>
  <c r="M1855" i="2"/>
  <c r="M1861" i="2"/>
  <c r="M1866" i="2"/>
  <c r="M49" i="2"/>
  <c r="M85" i="2"/>
  <c r="M94" i="2"/>
  <c r="M104" i="2"/>
  <c r="M952" i="2"/>
  <c r="M957" i="2"/>
  <c r="M47" i="2"/>
  <c r="M1924" i="2"/>
  <c r="M1926" i="2"/>
  <c r="M949" i="2"/>
  <c r="M946" i="2"/>
  <c r="M1928" i="2"/>
  <c r="M1930" i="2"/>
  <c r="M944" i="2"/>
  <c r="M954" i="2"/>
  <c r="M961" i="2"/>
  <c r="M1923" i="2"/>
  <c r="M743" i="2"/>
  <c r="M80" i="2"/>
  <c r="M1922" i="2"/>
  <c r="M1925" i="2"/>
  <c r="M1929" i="2"/>
  <c r="M719" i="2"/>
  <c r="M214" i="2"/>
  <c r="M215" i="2"/>
  <c r="M217" i="2"/>
  <c r="M281" i="2"/>
  <c r="M922" i="2"/>
  <c r="M757" i="2"/>
  <c r="M745" i="2"/>
  <c r="M951" i="2"/>
  <c r="M924" i="2"/>
  <c r="M923" i="2"/>
  <c r="M950" i="2"/>
  <c r="M934" i="2"/>
  <c r="M945" i="2"/>
  <c r="M965" i="2"/>
  <c r="M261" i="2"/>
  <c r="M1734" i="2"/>
  <c r="M1736" i="2"/>
  <c r="M416" i="2"/>
  <c r="M1745" i="2"/>
  <c r="M1727" i="2"/>
  <c r="M766" i="2"/>
  <c r="M265" i="2"/>
  <c r="M1668" i="2"/>
  <c r="M792" i="2"/>
  <c r="M789" i="2"/>
  <c r="M791" i="2"/>
  <c r="M793" i="2"/>
  <c r="M787" i="2"/>
  <c r="M797" i="2"/>
  <c r="M1475" i="2"/>
  <c r="M795" i="2"/>
  <c r="M1515" i="2"/>
  <c r="M1478" i="2"/>
  <c r="M1696" i="2"/>
  <c r="M1851" i="2"/>
  <c r="M1823" i="2"/>
  <c r="M1830" i="2"/>
  <c r="M1831" i="2"/>
  <c r="M216" i="2"/>
  <c r="M1921" i="2"/>
  <c r="M1440" i="2"/>
  <c r="M271" i="2"/>
  <c r="M273" i="2"/>
  <c r="M1471" i="2"/>
  <c r="M1741" i="2"/>
  <c r="M1742" i="2"/>
  <c r="M1747" i="2"/>
  <c r="M1467" i="2"/>
  <c r="M1748" i="2"/>
  <c r="M1452" i="2"/>
  <c r="M1489" i="2"/>
  <c r="M1435" i="2"/>
  <c r="M1743" i="2"/>
  <c r="M1744" i="2"/>
  <c r="M1460" i="2"/>
  <c r="M1739" i="2"/>
  <c r="M272" i="2"/>
  <c r="M274" i="2"/>
  <c r="M798" i="2"/>
  <c r="M1447" i="2"/>
  <c r="M1459" i="2"/>
  <c r="M1468" i="2"/>
  <c r="M1481" i="2"/>
  <c r="M1740" i="2"/>
  <c r="M1746" i="2"/>
  <c r="M1562" i="2"/>
  <c r="M1820" i="2"/>
  <c r="M1799" i="2"/>
  <c r="M1815" i="2"/>
  <c r="M1557" i="2"/>
  <c r="M1797" i="2"/>
  <c r="M1558" i="2"/>
  <c r="M1567" i="2"/>
  <c r="M1555" i="2"/>
  <c r="M1793" i="2"/>
  <c r="M1798" i="2"/>
  <c r="M1803" i="2"/>
  <c r="M1804" i="2"/>
  <c r="M1805" i="2"/>
  <c r="M1806" i="2"/>
  <c r="M1809" i="2"/>
  <c r="M1810" i="2"/>
  <c r="M1811" i="2"/>
  <c r="M1818" i="2"/>
  <c r="M1821" i="2"/>
  <c r="M1822" i="2"/>
  <c r="M1824" i="2"/>
  <c r="M1833" i="2"/>
  <c r="M1776" i="2"/>
  <c r="M1416" i="2"/>
  <c r="M4" i="2"/>
  <c r="M1401" i="2"/>
  <c r="M1407" i="2"/>
  <c r="M1413" i="2"/>
  <c r="M88" i="2"/>
  <c r="M103" i="2"/>
  <c r="M1396" i="2"/>
  <c r="M1500" i="2"/>
  <c r="M1502" i="2"/>
  <c r="M784" i="2"/>
  <c r="M790" i="2"/>
  <c r="M1780" i="2"/>
  <c r="M794" i="2"/>
  <c r="M788" i="2"/>
  <c r="M785" i="2"/>
  <c r="M786" i="2"/>
  <c r="M796" i="2"/>
  <c r="M1791" i="2"/>
  <c r="M1808" i="2"/>
  <c r="M1813" i="2"/>
  <c r="M1837" i="2"/>
  <c r="M1841" i="2"/>
  <c r="M1832" i="2"/>
  <c r="M1839" i="2"/>
  <c r="M1844" i="2"/>
  <c r="M1847" i="2"/>
  <c r="M1826" i="2"/>
  <c r="M1843" i="2"/>
  <c r="M10" i="2"/>
  <c r="M17" i="2"/>
  <c r="M21" i="2"/>
  <c r="M51" i="2"/>
  <c r="M1850" i="2"/>
  <c r="M1863" i="2"/>
  <c r="M1874" i="2"/>
  <c r="M14" i="2"/>
  <c r="M20" i="2"/>
  <c r="M24" i="2"/>
  <c r="M32" i="2"/>
  <c r="M41" i="2"/>
  <c r="M57" i="2"/>
  <c r="M34" i="2"/>
  <c r="M1689" i="2"/>
  <c r="M7" i="2"/>
  <c r="M1692" i="2"/>
  <c r="M1852" i="2"/>
  <c r="M1867" i="2"/>
  <c r="M37" i="2"/>
  <c r="M769" i="2"/>
  <c r="M1872" i="2"/>
  <c r="M9" i="2"/>
  <c r="M31" i="2"/>
  <c r="M33" i="2"/>
  <c r="M38" i="2"/>
  <c r="M42" i="2"/>
  <c r="M43" i="2"/>
  <c r="M44" i="2"/>
  <c r="M45" i="2"/>
  <c r="M52" i="2"/>
  <c r="M74" i="2"/>
  <c r="M770" i="2"/>
  <c r="M1854" i="2"/>
  <c r="M1856" i="2"/>
  <c r="M1857" i="2"/>
  <c r="M1858" i="2"/>
  <c r="M1859" i="2"/>
  <c r="M1860" i="2"/>
  <c r="M1862" i="2"/>
  <c r="M1865" i="2"/>
  <c r="M1868" i="2"/>
  <c r="M1869" i="2"/>
  <c r="M1870" i="2"/>
  <c r="M1871" i="2"/>
  <c r="M1873" i="2"/>
  <c r="M1875" i="2"/>
  <c r="M1876" i="2"/>
  <c r="M1877" i="2"/>
  <c r="M1582" i="2"/>
  <c r="M856" i="2"/>
  <c r="M857" i="2"/>
  <c r="M1583" i="2"/>
  <c r="M1584" i="2"/>
  <c r="M841" i="2"/>
  <c r="M19" i="2"/>
  <c r="M782" i="2"/>
  <c r="M1669" i="2"/>
  <c r="M1686" i="2"/>
  <c r="M5" i="2"/>
  <c r="M23" i="2"/>
  <c r="M121" i="2"/>
  <c r="M775" i="2"/>
  <c r="M779" i="2"/>
  <c r="M781" i="2"/>
  <c r="M827" i="2"/>
  <c r="M830" i="2"/>
  <c r="M1690" i="2"/>
  <c r="M22" i="2"/>
  <c r="M1688" i="2"/>
  <c r="M1691" i="2"/>
  <c r="M16" i="2"/>
  <c r="M780" i="2"/>
  <c r="M832" i="2"/>
  <c r="M1677" i="2"/>
  <c r="M1681" i="2"/>
  <c r="M1687" i="2"/>
  <c r="M1683" i="2"/>
  <c r="M18" i="2"/>
  <c r="M772" i="2"/>
  <c r="M829" i="2"/>
  <c r="M3" i="2"/>
  <c r="M26" i="2"/>
  <c r="M777" i="2"/>
  <c r="M6" i="2"/>
  <c r="M8" i="2"/>
  <c r="M12" i="2"/>
  <c r="M27" i="2"/>
  <c r="M36" i="2"/>
  <c r="M40" i="2"/>
  <c r="M46" i="2"/>
  <c r="M773" i="2"/>
  <c r="M831" i="2"/>
  <c r="M833" i="2"/>
  <c r="M837" i="2"/>
  <c r="M842" i="2"/>
  <c r="M844" i="2"/>
  <c r="M845" i="2"/>
  <c r="M1678" i="2"/>
  <c r="M1679" i="2"/>
  <c r="M1682" i="2"/>
  <c r="M123" i="2"/>
  <c r="M969" i="2"/>
  <c r="M65" i="2"/>
  <c r="M327" i="2"/>
  <c r="M35" i="2"/>
  <c r="M1848" i="2"/>
  <c r="M118" i="2"/>
  <c r="M1438" i="2"/>
  <c r="M1431" i="2"/>
  <c r="M1410" i="2"/>
  <c r="M1461" i="2"/>
  <c r="M1433" i="2"/>
  <c r="M1453" i="2"/>
  <c r="M150" i="2"/>
  <c r="M1420" i="2"/>
  <c r="M1492" i="2"/>
  <c r="M967" i="2"/>
  <c r="M747" i="2"/>
  <c r="M765" i="2"/>
  <c r="M767" i="2"/>
  <c r="M966" i="2"/>
  <c r="M134" i="2"/>
  <c r="M137" i="2"/>
  <c r="M161" i="2"/>
  <c r="M164" i="2"/>
  <c r="M168" i="2"/>
  <c r="M1400" i="2"/>
  <c r="M1441" i="2"/>
  <c r="M1442" i="2"/>
  <c r="M69" i="2"/>
  <c r="M128" i="2"/>
  <c r="M144" i="2"/>
  <c r="M145" i="2"/>
  <c r="M156" i="2"/>
  <c r="M157" i="2"/>
  <c r="M158" i="2"/>
  <c r="M165" i="2"/>
  <c r="M126" i="2"/>
  <c r="M151" i="2"/>
  <c r="M179" i="2"/>
  <c r="M66" i="2"/>
  <c r="M138" i="2"/>
  <c r="M50" i="2"/>
  <c r="M122" i="2"/>
  <c r="M1697" i="2"/>
  <c r="M77" i="2"/>
  <c r="M89" i="2"/>
  <c r="M135" i="2"/>
  <c r="M152" i="2"/>
  <c r="M154" i="2"/>
  <c r="M163" i="2"/>
  <c r="M180" i="2"/>
  <c r="M1695" i="2"/>
  <c r="M1409" i="2"/>
  <c r="M1419" i="2"/>
  <c r="M1935" i="2"/>
  <c r="M1933" i="2"/>
  <c r="M125" i="2"/>
  <c r="M147" i="2"/>
  <c r="M182" i="2"/>
  <c r="M186" i="2"/>
  <c r="M187" i="2"/>
  <c r="M196" i="2"/>
  <c r="M101" i="2"/>
  <c r="M102" i="2"/>
  <c r="M131" i="2"/>
  <c r="M141" i="2"/>
  <c r="M146" i="2"/>
  <c r="M170" i="2"/>
  <c r="M171" i="2"/>
  <c r="M176" i="2"/>
  <c r="M828" i="2"/>
  <c r="M836" i="2"/>
  <c r="M93" i="2"/>
  <c r="M148" i="2"/>
  <c r="M825" i="2"/>
  <c r="M181" i="2"/>
  <c r="M202" i="2"/>
  <c r="M129" i="2"/>
  <c r="M59" i="2"/>
  <c r="M136" i="2"/>
  <c r="M1920" i="2"/>
  <c r="M75" i="2"/>
  <c r="M92" i="2"/>
  <c r="M106" i="2"/>
  <c r="M124" i="2"/>
  <c r="M132" i="2"/>
  <c r="M139" i="2"/>
  <c r="M143" i="2"/>
  <c r="M149" i="2"/>
  <c r="M153" i="2"/>
  <c r="M155" i="2"/>
  <c r="M160" i="2"/>
  <c r="M175" i="2"/>
  <c r="M177" i="2"/>
  <c r="M183" i="2"/>
  <c r="M846" i="2"/>
  <c r="M82" i="2"/>
  <c r="M100" i="2"/>
  <c r="M1693" i="2"/>
  <c r="M1574" i="2"/>
  <c r="M1579" i="2"/>
  <c r="M1578" i="2"/>
  <c r="M169" i="2"/>
  <c r="M184" i="2"/>
  <c r="M96" i="2"/>
  <c r="M98" i="2"/>
  <c r="M76" i="2"/>
  <c r="M60" i="2"/>
  <c r="M61" i="2"/>
  <c r="M140" i="2"/>
  <c r="M159" i="2"/>
  <c r="M166" i="2"/>
  <c r="M167" i="2"/>
  <c r="M192" i="2"/>
  <c r="M91" i="2"/>
  <c r="M824" i="2"/>
  <c r="M48" i="2"/>
  <c r="M63" i="2"/>
  <c r="M68" i="2"/>
  <c r="M87" i="2"/>
  <c r="M105" i="2"/>
  <c r="M133" i="2"/>
  <c r="M142" i="2"/>
  <c r="M172" i="2"/>
  <c r="M178" i="2"/>
  <c r="M198" i="2"/>
  <c r="M201" i="2"/>
  <c r="M204" i="2"/>
  <c r="M823" i="2"/>
  <c r="M1931" i="2"/>
  <c r="M1932" i="2"/>
  <c r="M1472" i="2"/>
  <c r="M1469" i="2"/>
  <c r="M1476" i="2"/>
  <c r="M1528" i="2"/>
  <c r="M1533" i="2"/>
  <c r="M1534" i="2"/>
  <c r="M1537" i="2"/>
  <c r="M1477" i="2"/>
  <c r="M1486" i="2"/>
  <c r="M1497" i="2"/>
  <c r="M1522" i="2"/>
  <c r="M1511" i="2"/>
  <c r="M1531" i="2"/>
  <c r="M1532" i="2"/>
  <c r="M1512" i="2"/>
  <c r="M1520" i="2"/>
  <c r="M1523" i="2"/>
  <c r="M1466" i="2"/>
  <c r="M1473" i="2"/>
  <c r="M1485" i="2"/>
  <c r="M1487" i="2"/>
  <c r="M1491" i="2"/>
  <c r="M1498" i="2"/>
  <c r="M1505" i="2"/>
  <c r="M1509" i="2"/>
  <c r="M1516" i="2"/>
  <c r="M1519" i="2"/>
  <c r="M1536" i="2"/>
  <c r="M1539" i="2"/>
  <c r="M854" i="2"/>
  <c r="M1518" i="2"/>
  <c r="M1529" i="2"/>
  <c r="M655" i="2"/>
  <c r="M665" i="2"/>
  <c r="M722" i="2"/>
  <c r="M1521" i="2"/>
  <c r="M1525" i="2"/>
  <c r="M615" i="2"/>
  <c r="M270" i="2"/>
  <c r="M968" i="2"/>
  <c r="M267" i="2"/>
  <c r="M268" i="2"/>
  <c r="M264" i="2"/>
  <c r="M266" i="2"/>
  <c r="M269" i="2"/>
  <c r="M822" i="2"/>
  <c r="M1395" i="2"/>
  <c r="M1479" i="2"/>
  <c r="M1483" i="2"/>
  <c r="M1484" i="2"/>
  <c r="M1490" i="2"/>
  <c r="M1506" i="2"/>
  <c r="M1493" i="2"/>
  <c r="M1507" i="2"/>
  <c r="M1488" i="2"/>
  <c r="M1501" i="2"/>
  <c r="M1503" i="2"/>
  <c r="M1494" i="2"/>
  <c r="M853" i="2"/>
  <c r="M855" i="2"/>
  <c r="M1814" i="2"/>
  <c r="M1399" i="2"/>
  <c r="M1434" i="2"/>
  <c r="M1437" i="2"/>
  <c r="M1446" i="2"/>
  <c r="M1457" i="2"/>
  <c r="M1421" i="2"/>
  <c r="M1455" i="2"/>
  <c r="M1432" i="2"/>
  <c r="M1402" i="2"/>
  <c r="M1397" i="2"/>
  <c r="M1403" i="2"/>
  <c r="M99" i="2"/>
  <c r="M1568" i="2"/>
  <c r="M1569" i="2"/>
  <c r="M1927" i="2"/>
  <c r="M127" i="2"/>
  <c r="M783" i="2"/>
  <c r="M1694" i="2"/>
  <c r="M1580" i="2"/>
  <c r="M1408" i="2"/>
  <c r="M1404" i="2"/>
  <c r="M1411" i="2"/>
  <c r="M1936" i="2"/>
  <c r="M1430" i="2"/>
  <c r="M1463" i="2"/>
  <c r="M1414" i="2"/>
  <c r="M1934" i="2"/>
  <c r="M838" i="2"/>
  <c r="M2" i="2"/>
  <c r="M67" i="2"/>
  <c r="M72" i="2"/>
  <c r="M1544" i="2"/>
  <c r="M62" i="2"/>
  <c r="M64" i="2"/>
  <c r="M1499" i="2"/>
  <c r="M1545" i="2"/>
  <c r="M1540" i="2"/>
  <c r="M90" i="2"/>
  <c r="M115" i="2"/>
  <c r="M111" i="2"/>
  <c r="M1602" i="2"/>
  <c r="M54" i="2"/>
  <c r="M73" i="2"/>
  <c r="M1526" i="2"/>
  <c r="M1541" i="2"/>
  <c r="M1546" i="2"/>
  <c r="M1496" i="2"/>
  <c r="M1517" i="2"/>
  <c r="M850" i="2"/>
  <c r="M851" i="2"/>
  <c r="M852" i="2"/>
  <c r="M107" i="2"/>
  <c r="M109" i="2"/>
  <c r="M116" i="2"/>
  <c r="M117" i="2"/>
  <c r="M826" i="2"/>
  <c r="M110" i="2"/>
  <c r="M29" i="2"/>
  <c r="M97" i="2"/>
  <c r="M112" i="2"/>
  <c r="M113" i="2"/>
  <c r="M1601" i="2"/>
  <c r="M847" i="2"/>
  <c r="M108" i="2"/>
  <c r="M194" i="2"/>
  <c r="M114" i="2"/>
  <c r="M173" i="2"/>
  <c r="M203" i="2"/>
  <c r="M1606" i="2"/>
  <c r="M1605" i="2"/>
  <c r="M162" i="2"/>
  <c r="M185" i="2"/>
  <c r="M189" i="2"/>
  <c r="M1464" i="2"/>
  <c r="M1443" i="2"/>
  <c r="M1450" i="2"/>
  <c r="M1454" i="2"/>
  <c r="M1513" i="2"/>
  <c r="M1495" i="2"/>
  <c r="M1514" i="2"/>
  <c r="M1504" i="2"/>
  <c r="M1508" i="2"/>
  <c r="M1524" i="2"/>
  <c r="M1530" i="2"/>
  <c r="M1542" i="2"/>
  <c r="M1470" i="2"/>
  <c r="M1480" i="2"/>
  <c r="M130" i="2"/>
  <c r="M188" i="2"/>
  <c r="M191" i="2"/>
  <c r="M199" i="2"/>
  <c r="M1465" i="2"/>
  <c r="M195" i="2"/>
  <c r="M1439" i="2"/>
  <c r="M200" i="2"/>
  <c r="M193" i="2"/>
  <c r="M206" i="2"/>
  <c r="M205" i="2"/>
  <c r="M207" i="2"/>
  <c r="M208" i="2"/>
  <c r="M174" i="2"/>
  <c r="M197" i="2"/>
  <c r="M190" i="2"/>
  <c r="M799" i="2"/>
  <c r="M778" i="2"/>
  <c r="M776" i="2"/>
  <c r="M774" i="2"/>
  <c r="M1425" i="2"/>
  <c r="M1448" i="2"/>
  <c r="M1415" i="2"/>
  <c r="M1398" i="2"/>
  <c r="M1394" i="2"/>
  <c r="M1538" i="2"/>
  <c r="M1552" i="2"/>
  <c r="M840" i="2"/>
  <c r="M839" i="2"/>
  <c r="M843" i="2"/>
  <c r="M848" i="2"/>
  <c r="M1609" i="2"/>
  <c r="M1604" i="2"/>
  <c r="M1608" i="2"/>
  <c r="M849" i="2"/>
  <c r="M1607" i="2"/>
  <c r="M1549" i="2"/>
  <c r="M1548" i="2"/>
  <c r="M1510" i="2"/>
  <c r="M119" i="2"/>
  <c r="M1610" i="2"/>
  <c r="M1611" i="2"/>
  <c r="M209" i="2"/>
  <c r="M120" i="2"/>
  <c r="M210" i="2"/>
  <c r="M771" i="2"/>
  <c r="M1603" i="2"/>
  <c r="M1698" i="2"/>
  <c r="M1543" i="2"/>
  <c r="M1535" i="2"/>
  <c r="M1550" i="2"/>
  <c r="M1553" i="2"/>
  <c r="M1418" i="2"/>
  <c r="M1527" i="2"/>
  <c r="M975" i="2"/>
  <c r="M976" i="2"/>
  <c r="M276" i="2"/>
  <c r="M275" i="2"/>
  <c r="M95" i="2"/>
  <c r="M78" i="2"/>
  <c r="M1547" i="2"/>
  <c r="M1427" i="2"/>
  <c r="M1000" i="2"/>
  <c r="M1044" i="2"/>
  <c r="M1021" i="2"/>
  <c r="M1551" i="2"/>
  <c r="M985" i="2"/>
  <c r="M989" i="2"/>
  <c r="M995" i="2"/>
  <c r="M1155" i="2"/>
  <c r="M1064" i="2"/>
  <c r="M1131" i="2"/>
  <c r="M1007" i="2"/>
  <c r="M990" i="2"/>
  <c r="M1050" i="2"/>
  <c r="M1005" i="2"/>
  <c r="M982" i="2"/>
  <c r="M1025" i="2"/>
  <c r="M1032" i="2"/>
  <c r="M1104" i="2"/>
  <c r="M1016" i="2"/>
  <c r="M1033" i="2"/>
  <c r="M1094" i="2"/>
  <c r="M974" i="2"/>
  <c r="M1001" i="2"/>
  <c r="M1015" i="2"/>
  <c r="M1028" i="2"/>
  <c r="M1030" i="2"/>
  <c r="M1031" i="2"/>
  <c r="M1074" i="2"/>
  <c r="M980" i="2"/>
  <c r="M972" i="2"/>
  <c r="M1041" i="2"/>
  <c r="M1600" i="2"/>
  <c r="M1620" i="2"/>
  <c r="M1621" i="2"/>
  <c r="M1633" i="2"/>
  <c r="M1638" i="2"/>
  <c r="M1622" i="2"/>
  <c r="M1619" i="2"/>
  <c r="M1613" i="2"/>
  <c r="M1623" i="2"/>
  <c r="M1626" i="2"/>
  <c r="M1612" i="2"/>
  <c r="M468" i="2"/>
  <c r="M444" i="2"/>
  <c r="M450" i="2"/>
  <c r="M443" i="2"/>
  <c r="M460" i="2"/>
  <c r="M509" i="2"/>
  <c r="M479" i="2"/>
  <c r="M456" i="2"/>
  <c r="M469" i="2"/>
  <c r="M470" i="2"/>
  <c r="M472" i="2"/>
  <c r="M439" i="2"/>
  <c r="M437" i="2"/>
  <c r="M1656" i="2"/>
  <c r="M1655" i="2"/>
  <c r="M1657" i="2"/>
  <c r="M1042" i="2"/>
  <c r="M1108" i="2"/>
  <c r="M1123" i="2"/>
  <c r="M1062" i="2"/>
  <c r="M1079" i="2"/>
  <c r="M1081" i="2"/>
  <c r="M1101" i="2"/>
  <c r="M1177" i="2"/>
  <c r="M1206" i="2"/>
  <c r="M1059" i="2"/>
  <c r="M1097" i="2"/>
  <c r="M548" i="2"/>
  <c r="M564" i="2"/>
  <c r="M1083" i="2"/>
  <c r="M1087" i="2"/>
  <c r="M1191" i="2"/>
  <c r="M1247" i="2"/>
  <c r="M212" i="2"/>
  <c r="M532" i="2"/>
  <c r="M1046" i="2"/>
  <c r="M1048" i="2"/>
  <c r="M1055" i="2"/>
  <c r="M1129" i="2"/>
  <c r="M1172" i="2"/>
  <c r="M1232" i="2"/>
  <c r="M1278" i="2"/>
  <c r="M986" i="2"/>
  <c r="M1027" i="2"/>
  <c r="M1049" i="2"/>
  <c r="M994" i="2"/>
  <c r="M1014" i="2"/>
  <c r="M1024" i="2"/>
  <c r="M434" i="2"/>
  <c r="M430" i="2"/>
  <c r="M429" i="2"/>
  <c r="M462" i="2"/>
  <c r="M441" i="2"/>
  <c r="M467" i="2"/>
  <c r="M211" i="2"/>
  <c r="M1624" i="2"/>
  <c r="M870" i="2"/>
  <c r="M427" i="2"/>
  <c r="M436" i="2"/>
  <c r="M971" i="2"/>
  <c r="M226" i="2"/>
  <c r="M1010" i="2"/>
  <c r="M1631" i="2"/>
  <c r="M1012" i="2"/>
  <c r="M1643" i="2"/>
  <c r="M223" i="2"/>
  <c r="M992" i="2"/>
  <c r="M1047" i="2"/>
  <c r="M1617" i="2"/>
  <c r="M1625" i="2"/>
  <c r="M1026" i="2"/>
  <c r="M1627" i="2"/>
  <c r="M1765" i="2"/>
  <c r="M220" i="2"/>
  <c r="M222" i="2"/>
  <c r="M1068" i="2"/>
  <c r="M1080" i="2"/>
  <c r="M1082" i="2"/>
  <c r="M1086" i="2"/>
  <c r="M1110" i="2"/>
  <c r="M1118" i="2"/>
  <c r="M1119" i="2"/>
  <c r="M1148" i="2"/>
  <c r="M1151" i="2"/>
  <c r="M1157" i="2"/>
  <c r="M1628" i="2"/>
  <c r="M1634" i="2"/>
  <c r="M1640" i="2"/>
  <c r="M1002" i="2"/>
  <c r="M988" i="2"/>
  <c r="M1162" i="2"/>
  <c r="M1209" i="2"/>
  <c r="M1092" i="2"/>
  <c r="M1637" i="2"/>
  <c r="M218" i="2"/>
  <c r="M225" i="2"/>
  <c r="M983" i="2"/>
  <c r="M1061" i="2"/>
  <c r="M1076" i="2"/>
  <c r="M1085" i="2"/>
  <c r="M1090" i="2"/>
  <c r="M1096" i="2"/>
  <c r="M1152" i="2"/>
  <c r="M1201" i="2"/>
  <c r="M1614" i="2"/>
  <c r="M1616" i="2"/>
  <c r="M1618" i="2"/>
  <c r="M1630" i="2"/>
  <c r="M1762" i="2"/>
  <c r="M221" i="2"/>
  <c r="M224" i="2"/>
  <c r="M978" i="2"/>
  <c r="M1004" i="2"/>
  <c r="M1018" i="2"/>
  <c r="M1065" i="2"/>
  <c r="M1069" i="2"/>
  <c r="M1089" i="2"/>
  <c r="M1095" i="2"/>
  <c r="M1107" i="2"/>
  <c r="M1117" i="2"/>
  <c r="M1122" i="2"/>
  <c r="M1140" i="2"/>
  <c r="M1179" i="2"/>
  <c r="M1249" i="2"/>
  <c r="M1252" i="2"/>
  <c r="M1641" i="2"/>
  <c r="M1763" i="2"/>
  <c r="M1768" i="2"/>
  <c r="M219" i="2"/>
  <c r="M996" i="2"/>
  <c r="M998" i="2"/>
  <c r="M1008" i="2"/>
  <c r="M1019" i="2"/>
  <c r="M1038" i="2"/>
  <c r="M1040" i="2"/>
  <c r="M1052" i="2"/>
  <c r="M1066" i="2"/>
  <c r="M1091" i="2"/>
  <c r="M1093" i="2"/>
  <c r="M1099" i="2"/>
  <c r="M1106" i="2"/>
  <c r="M1115" i="2"/>
  <c r="M1124" i="2"/>
  <c r="M1126" i="2"/>
  <c r="M1130" i="2"/>
  <c r="M1167" i="2"/>
  <c r="M1168" i="2"/>
  <c r="M1183" i="2"/>
  <c r="M1185" i="2"/>
  <c r="M1199" i="2"/>
  <c r="M991" i="2"/>
  <c r="M452" i="2"/>
  <c r="M431" i="2"/>
  <c r="M435" i="2"/>
  <c r="M973" i="2"/>
  <c r="M428" i="2"/>
  <c r="M433" i="2"/>
  <c r="M977" i="2"/>
  <c r="M1138" i="2"/>
  <c r="M1751" i="2"/>
  <c r="M1034" i="2"/>
  <c r="M1072" i="2"/>
  <c r="M993" i="2"/>
  <c r="M999" i="2"/>
  <c r="M1017" i="2"/>
  <c r="M531" i="2"/>
  <c r="M625" i="2"/>
  <c r="M633" i="2"/>
  <c r="M230" i="2"/>
  <c r="M475" i="2"/>
  <c r="M550" i="2"/>
  <c r="M237" i="2"/>
  <c r="M448" i="2"/>
  <c r="M636" i="2"/>
  <c r="M1752" i="2"/>
  <c r="M510" i="2"/>
  <c r="M518" i="2"/>
  <c r="M549" i="2"/>
  <c r="M231" i="2"/>
  <c r="M449" i="2"/>
  <c r="M454" i="2"/>
  <c r="M459" i="2"/>
  <c r="M461" i="2"/>
  <c r="M466" i="2"/>
  <c r="M485" i="2"/>
  <c r="M574" i="2"/>
  <c r="M588" i="2"/>
  <c r="M1009" i="2"/>
  <c r="M1029" i="2"/>
  <c r="M1070" i="2"/>
  <c r="M229" i="2"/>
  <c r="M1704" i="2"/>
  <c r="M1713" i="2"/>
  <c r="M232" i="2"/>
  <c r="M234" i="2"/>
  <c r="M233" i="2"/>
  <c r="M483" i="2"/>
  <c r="M553" i="2"/>
  <c r="M442" i="2"/>
  <c r="M501" i="2"/>
  <c r="M526" i="2"/>
  <c r="M575" i="2"/>
  <c r="M1598" i="2"/>
  <c r="M1654" i="2"/>
  <c r="M1244" i="2"/>
  <c r="M1060" i="2"/>
  <c r="M1051" i="2"/>
  <c r="M1258" i="2"/>
  <c r="M1170" i="2"/>
  <c r="M1022" i="2"/>
  <c r="M1166" i="2"/>
  <c r="M1180" i="2"/>
  <c r="M1218" i="2"/>
  <c r="M1112" i="2"/>
  <c r="M1136" i="2"/>
  <c r="M1120" i="2"/>
  <c r="M1193" i="2"/>
  <c r="M1205" i="2"/>
  <c r="M1212" i="2"/>
  <c r="M1248" i="2"/>
  <c r="M1269" i="2"/>
  <c r="M1319" i="2"/>
  <c r="M1882" i="2"/>
  <c r="M1901" i="2"/>
  <c r="M1195" i="2"/>
  <c r="M1342" i="2"/>
  <c r="M529" i="2"/>
  <c r="M1150" i="2"/>
  <c r="M1161" i="2"/>
  <c r="M1215" i="2"/>
  <c r="M1284" i="2"/>
  <c r="M1898" i="2"/>
  <c r="M1282" i="2"/>
  <c r="M1896" i="2"/>
  <c r="M1288" i="2"/>
  <c r="M1291" i="2"/>
  <c r="M1293" i="2"/>
  <c r="M1880" i="2"/>
  <c r="M1886" i="2"/>
  <c r="M981" i="2"/>
  <c r="M1084" i="2"/>
  <c r="M1100" i="2"/>
  <c r="M1144" i="2"/>
  <c r="M1164" i="2"/>
  <c r="M1233" i="2"/>
  <c r="M1260" i="2"/>
  <c r="M1326" i="2"/>
  <c r="M1708" i="2"/>
  <c r="M1885" i="2"/>
  <c r="M1889" i="2"/>
  <c r="M481" i="2"/>
  <c r="M517" i="2"/>
  <c r="M522" i="2"/>
  <c r="M1013" i="2"/>
  <c r="M1023" i="2"/>
  <c r="M1073" i="2"/>
  <c r="M1098" i="2"/>
  <c r="M1102" i="2"/>
  <c r="M1114" i="2"/>
  <c r="M1121" i="2"/>
  <c r="M1132" i="2"/>
  <c r="M1154" i="2"/>
  <c r="M1159" i="2"/>
  <c r="M1165" i="2"/>
  <c r="M1171" i="2"/>
  <c r="M1173" i="2"/>
  <c r="M1189" i="2"/>
  <c r="M1197" i="2"/>
  <c r="M1210" i="2"/>
  <c r="M1220" i="2"/>
  <c r="M1279" i="2"/>
  <c r="M1328" i="2"/>
  <c r="M1715" i="2"/>
  <c r="M1892" i="2"/>
  <c r="M1887" i="2"/>
  <c r="M1893" i="2"/>
  <c r="M908" i="2"/>
  <c r="M1907" i="2"/>
  <c r="M228" i="2"/>
  <c r="M1906" i="2"/>
  <c r="M881" i="2"/>
  <c r="M890" i="2"/>
  <c r="M909" i="2"/>
  <c r="M925" i="2"/>
  <c r="M1037" i="2"/>
  <c r="M1071" i="2"/>
  <c r="M979" i="2"/>
  <c r="M970" i="2"/>
  <c r="M1020" i="2"/>
  <c r="M1035" i="2"/>
  <c r="M1128" i="2"/>
  <c r="M987" i="2"/>
  <c r="M1056" i="2"/>
  <c r="M1077" i="2"/>
  <c r="M1593" i="2"/>
  <c r="M867" i="2"/>
  <c r="M277" i="2"/>
  <c r="M527" i="2"/>
  <c r="M458" i="2"/>
  <c r="M465" i="2"/>
  <c r="M480" i="2"/>
  <c r="M445" i="2"/>
  <c r="M503" i="2"/>
  <c r="M478" i="2"/>
  <c r="M484" i="2"/>
  <c r="M491" i="2"/>
  <c r="M464" i="2"/>
  <c r="M581" i="2"/>
  <c r="M1760" i="2"/>
  <c r="M409" i="2"/>
  <c r="M455" i="2"/>
  <c r="M457" i="2"/>
  <c r="M471" i="2"/>
  <c r="M476" i="2"/>
  <c r="M488" i="2"/>
  <c r="M494" i="2"/>
  <c r="M500" i="2"/>
  <c r="M520" i="2"/>
  <c r="M534" i="2"/>
  <c r="M438" i="2"/>
  <c r="M1750" i="2"/>
  <c r="M1757" i="2"/>
  <c r="M451" i="2"/>
  <c r="M1754" i="2"/>
  <c r="M1753" i="2"/>
  <c r="M432" i="2"/>
  <c r="M440" i="2"/>
  <c r="M446" i="2"/>
  <c r="M463" i="2"/>
  <c r="M477" i="2"/>
  <c r="M516" i="2"/>
  <c r="M508" i="2"/>
  <c r="M489" i="2"/>
  <c r="M495" i="2"/>
  <c r="M499" i="2"/>
  <c r="M521" i="2"/>
  <c r="M525" i="2"/>
  <c r="M538" i="2"/>
  <c r="M568" i="2"/>
  <c r="M571" i="2"/>
  <c r="M579" i="2"/>
  <c r="M584" i="2"/>
  <c r="M612" i="2"/>
  <c r="M523" i="2"/>
  <c r="M537" i="2"/>
  <c r="M502" i="2"/>
  <c r="M546" i="2"/>
  <c r="M505" i="2"/>
  <c r="M511" i="2"/>
  <c r="M515" i="2"/>
  <c r="M545" i="2"/>
  <c r="M570" i="2"/>
  <c r="M591" i="2"/>
  <c r="M610" i="2"/>
  <c r="M611" i="2"/>
  <c r="M616" i="2"/>
  <c r="M617" i="2"/>
  <c r="M642" i="2"/>
  <c r="M487" i="2"/>
  <c r="M504" i="2"/>
  <c r="M528" i="2"/>
  <c r="M539" i="2"/>
  <c r="M542" i="2"/>
  <c r="M543" i="2"/>
  <c r="M547" i="2"/>
  <c r="M560" i="2"/>
  <c r="M567" i="2"/>
  <c r="M597" i="2"/>
  <c r="M622" i="2"/>
  <c r="M626" i="2"/>
  <c r="M646" i="2"/>
  <c r="M657" i="2"/>
  <c r="M1188" i="2"/>
  <c r="M1192" i="2"/>
  <c r="M1287" i="2"/>
  <c r="M1313" i="2"/>
  <c r="M1346" i="2"/>
  <c r="M1772" i="2"/>
  <c r="M1781" i="2"/>
  <c r="M621" i="2"/>
  <c r="M1300" i="2"/>
  <c r="M551" i="2"/>
  <c r="M587" i="2"/>
  <c r="M608" i="2"/>
  <c r="M618" i="2"/>
  <c r="M619" i="2"/>
  <c r="M1211" i="2"/>
  <c r="M1365" i="2"/>
  <c r="M1257" i="2"/>
  <c r="M572" i="2"/>
  <c r="M578" i="2"/>
  <c r="M590" i="2"/>
  <c r="M598" i="2"/>
  <c r="M602" i="2"/>
  <c r="M623" i="2"/>
  <c r="M634" i="2"/>
  <c r="M638" i="2"/>
  <c r="M1175" i="2"/>
  <c r="M1329" i="2"/>
  <c r="M1330" i="2"/>
  <c r="M1773" i="2"/>
  <c r="M1778" i="2"/>
  <c r="M1779" i="2"/>
  <c r="M552" i="2"/>
  <c r="M566" i="2"/>
  <c r="M596" i="2"/>
  <c r="M600" i="2"/>
  <c r="M630" i="2"/>
  <c r="M1196" i="2"/>
  <c r="M1243" i="2"/>
  <c r="M1285" i="2"/>
  <c r="M1294" i="2"/>
  <c r="M1775" i="2"/>
  <c r="M555" i="2"/>
  <c r="M573" i="2"/>
  <c r="M585" i="2"/>
  <c r="M589" i="2"/>
  <c r="M592" i="2"/>
  <c r="M593" i="2"/>
  <c r="M603" i="2"/>
  <c r="M614" i="2"/>
  <c r="M620" i="2"/>
  <c r="M629" i="2"/>
  <c r="M641" i="2"/>
  <c r="M644" i="2"/>
  <c r="M1292" i="2"/>
  <c r="M1304" i="2"/>
  <c r="M1306" i="2"/>
  <c r="M1354" i="2"/>
  <c r="M1216" i="2"/>
  <c r="M1222" i="2"/>
  <c r="M1245" i="2"/>
  <c r="M1264" i="2"/>
  <c r="M1266" i="2"/>
  <c r="M1267" i="2"/>
  <c r="M1274" i="2"/>
  <c r="M1289" i="2"/>
  <c r="M1347" i="2"/>
  <c r="M524" i="2"/>
  <c r="M1198" i="2"/>
  <c r="M1111" i="2"/>
  <c r="M1135" i="2"/>
  <c r="M1153" i="2"/>
  <c r="M1174" i="2"/>
  <c r="M1181" i="2"/>
  <c r="M1190" i="2"/>
  <c r="M1213" i="2"/>
  <c r="M1224" i="2"/>
  <c r="M1299" i="2"/>
  <c r="M497" i="2"/>
  <c r="M1353" i="2"/>
  <c r="M1176" i="2"/>
  <c r="M1184" i="2"/>
  <c r="M1234" i="2"/>
  <c r="M1237" i="2"/>
  <c r="M1241" i="2"/>
  <c r="M1280" i="2"/>
  <c r="M473" i="2"/>
  <c r="M1137" i="2"/>
  <c r="M1156" i="2"/>
  <c r="M1204" i="2"/>
  <c r="M1223" i="2"/>
  <c r="M1228" i="2"/>
  <c r="M1231" i="2"/>
  <c r="M1235" i="2"/>
  <c r="M490" i="2"/>
  <c r="M496" i="2"/>
  <c r="M1127" i="2"/>
  <c r="M1133" i="2"/>
  <c r="M1134" i="2"/>
  <c r="M1149" i="2"/>
  <c r="M1158" i="2"/>
  <c r="M1163" i="2"/>
  <c r="M1186" i="2"/>
  <c r="M1194" i="2"/>
  <c r="M1202" i="2"/>
  <c r="M1227" i="2"/>
  <c r="M1229" i="2"/>
  <c r="M1251" i="2"/>
  <c r="M1259" i="2"/>
  <c r="M1320" i="2"/>
  <c r="M1321" i="2"/>
  <c r="M1350" i="2"/>
  <c r="M1636" i="2"/>
  <c r="M1706" i="2"/>
  <c r="M1712" i="2"/>
  <c r="M1714" i="2"/>
  <c r="M1653" i="2"/>
  <c r="M1726" i="2"/>
  <c r="M1589" i="2"/>
  <c r="M1596" i="2"/>
  <c r="M1703" i="2"/>
  <c r="M1710" i="2"/>
  <c r="M873" i="2"/>
  <c r="M1716" i="2"/>
  <c r="M1590" i="2"/>
  <c r="M1592" i="2"/>
  <c r="M1644" i="2"/>
  <c r="M1711" i="2"/>
  <c r="M1721" i="2"/>
  <c r="M876" i="2"/>
  <c r="M882" i="2"/>
  <c r="M1591" i="2"/>
  <c r="M1595" i="2"/>
  <c r="M1597" i="2"/>
  <c r="M1615" i="2"/>
  <c r="M1642" i="2"/>
  <c r="M1646" i="2"/>
  <c r="M1705" i="2"/>
  <c r="M1707" i="2"/>
  <c r="M1729" i="2"/>
  <c r="M1057" i="2"/>
  <c r="M1078" i="2"/>
  <c r="M1125" i="2"/>
  <c r="M1586" i="2"/>
  <c r="M1587" i="2"/>
  <c r="M1588" i="2"/>
  <c r="M1053" i="2"/>
  <c r="M1103" i="2"/>
  <c r="M1105" i="2"/>
  <c r="M1109" i="2"/>
  <c r="M1142" i="2"/>
  <c r="M1178" i="2"/>
  <c r="M1045" i="2"/>
  <c r="M1145" i="2"/>
  <c r="M213" i="2"/>
  <c r="M1043" i="2"/>
  <c r="M1088" i="2"/>
  <c r="M1139" i="2"/>
  <c r="M1160" i="2"/>
  <c r="M1187" i="2"/>
  <c r="M1006" i="2"/>
  <c r="M1054" i="2"/>
  <c r="M1063" i="2"/>
  <c r="M1075" i="2"/>
  <c r="M1116" i="2"/>
  <c r="M1141" i="2"/>
  <c r="M1146" i="2"/>
  <c r="M1147" i="2"/>
  <c r="M1208" i="2"/>
  <c r="M1719" i="2"/>
  <c r="M1011" i="2"/>
  <c r="M319" i="2"/>
  <c r="M293" i="2"/>
  <c r="M309" i="2"/>
  <c r="M336" i="2"/>
  <c r="M342" i="2"/>
  <c r="M300" i="2"/>
  <c r="M308" i="2"/>
  <c r="M316" i="2"/>
  <c r="M294" i="2"/>
  <c r="M297" i="2"/>
  <c r="M304" i="2"/>
  <c r="M323" i="2"/>
  <c r="M325" i="2"/>
  <c r="M1771" i="2"/>
  <c r="M240" i="2"/>
  <c r="M298" i="2"/>
  <c r="M301" i="2"/>
  <c r="M313" i="2"/>
  <c r="M318" i="2"/>
  <c r="M328" i="2"/>
  <c r="M338" i="2"/>
  <c r="M367" i="2"/>
  <c r="M647" i="2"/>
  <c r="M672" i="2"/>
  <c r="M698" i="2"/>
  <c r="M1003" i="2"/>
  <c r="M1036" i="2"/>
  <c r="M997" i="2"/>
  <c r="M705" i="2"/>
  <c r="M1239" i="2"/>
  <c r="M1254" i="2"/>
  <c r="M1371" i="2"/>
  <c r="M1375" i="2"/>
  <c r="M1281" i="2"/>
  <c r="M1373" i="2"/>
  <c r="M1226" i="2"/>
  <c r="M1240" i="2"/>
  <c r="M1273" i="2"/>
  <c r="M1336" i="2"/>
  <c r="M1894" i="2"/>
  <c r="M330" i="2"/>
  <c r="M349" i="2"/>
  <c r="M358" i="2"/>
  <c r="M361" i="2"/>
  <c r="M368" i="2"/>
  <c r="M370" i="2"/>
  <c r="M401" i="2"/>
  <c r="M1309" i="2"/>
  <c r="M1325" i="2"/>
  <c r="M350" i="2"/>
  <c r="M556" i="2"/>
  <c r="M650" i="2"/>
  <c r="M1238" i="2"/>
  <c r="M1246" i="2"/>
  <c r="M1270" i="2"/>
  <c r="M1276" i="2"/>
  <c r="M1290" i="2"/>
  <c r="M1324" i="2"/>
  <c r="M1334" i="2"/>
  <c r="M1362" i="2"/>
  <c r="M1902" i="2"/>
  <c r="M341" i="2"/>
  <c r="M348" i="2"/>
  <c r="M357" i="2"/>
  <c r="M391" i="2"/>
  <c r="M1286" i="2"/>
  <c r="M1327" i="2"/>
  <c r="M236" i="2"/>
  <c r="M639" i="2"/>
  <c r="M1256" i="2"/>
  <c r="M1359" i="2"/>
  <c r="M1364" i="2"/>
  <c r="M362" i="2"/>
  <c r="M394" i="2"/>
  <c r="M239" i="2"/>
  <c r="M684" i="2"/>
  <c r="M1332" i="2"/>
  <c r="M1268" i="2"/>
  <c r="M1272" i="2"/>
  <c r="M1297" i="2"/>
  <c r="M1298" i="2"/>
  <c r="M1357" i="2"/>
  <c r="M1360" i="2"/>
  <c r="M1881" i="2"/>
  <c r="M310" i="2"/>
  <c r="M388" i="2"/>
  <c r="M235" i="2"/>
  <c r="M238" i="2"/>
  <c r="M253" i="2"/>
  <c r="M482" i="2"/>
  <c r="M558" i="2"/>
  <c r="M580" i="2"/>
  <c r="M586" i="2"/>
  <c r="M688" i="2"/>
  <c r="M1225" i="2"/>
  <c r="M1343" i="2"/>
  <c r="M1349" i="2"/>
  <c r="M1356" i="2"/>
  <c r="M1381" i="2"/>
  <c r="M279" i="2"/>
  <c r="M335" i="2"/>
  <c r="M352" i="2"/>
  <c r="M246" i="2"/>
  <c r="M247" i="2"/>
  <c r="M486" i="2"/>
  <c r="M492" i="2"/>
  <c r="M561" i="2"/>
  <c r="M576" i="2"/>
  <c r="M577" i="2"/>
  <c r="M583" i="2"/>
  <c r="M599" i="2"/>
  <c r="M604" i="2"/>
  <c r="M613" i="2"/>
  <c r="M624" i="2"/>
  <c r="M631" i="2"/>
  <c r="M653" i="2"/>
  <c r="M656" i="2"/>
  <c r="M678" i="2"/>
  <c r="M700" i="2"/>
  <c r="M723" i="2"/>
  <c r="M1039" i="2"/>
  <c r="M1113" i="2"/>
  <c r="M1143" i="2"/>
  <c r="M1221" i="2"/>
  <c r="M1230" i="2"/>
  <c r="M1242" i="2"/>
  <c r="M1250" i="2"/>
  <c r="M1262" i="2"/>
  <c r="M1265" i="2"/>
  <c r="M1275" i="2"/>
  <c r="M1295" i="2"/>
  <c r="M1302" i="2"/>
  <c r="M1303" i="2"/>
  <c r="M1305" i="2"/>
  <c r="M1307" i="2"/>
  <c r="M1310" i="2"/>
  <c r="M1314" i="2"/>
  <c r="M1317" i="2"/>
  <c r="M1335" i="2"/>
  <c r="M1344" i="2"/>
  <c r="M1348" i="2"/>
  <c r="M1351" i="2"/>
  <c r="M1361" i="2"/>
  <c r="M1363" i="2"/>
  <c r="M1366" i="2"/>
  <c r="M1372" i="2"/>
  <c r="M1374" i="2"/>
  <c r="M1377" i="2"/>
  <c r="M1378" i="2"/>
  <c r="M1382" i="2"/>
  <c r="M1385" i="2"/>
  <c r="M317" i="2"/>
  <c r="M344" i="2"/>
  <c r="M351" i="2"/>
  <c r="M366" i="2"/>
  <c r="M372" i="2"/>
  <c r="M373" i="2"/>
  <c r="M379" i="2"/>
  <c r="M392" i="2"/>
  <c r="M393" i="2"/>
  <c r="M406" i="2"/>
  <c r="M1261" i="2"/>
  <c r="M1263" i="2"/>
  <c r="M1283" i="2"/>
  <c r="M1316" i="2"/>
  <c r="M1341" i="2"/>
  <c r="M1312" i="2"/>
  <c r="M227" i="2"/>
  <c r="M1755" i="2"/>
  <c r="M1717" i="2"/>
  <c r="M569" i="2"/>
  <c r="M512" i="2"/>
  <c r="M519" i="2"/>
  <c r="M1699" i="2"/>
  <c r="M1315" i="2"/>
  <c r="M1333" i="2"/>
  <c r="M1200" i="2"/>
  <c r="M1214" i="2"/>
  <c r="M1182" i="2"/>
  <c r="M1271" i="2"/>
  <c r="M1367" i="2"/>
  <c r="M1207" i="2"/>
  <c r="M1169" i="2"/>
  <c r="M1203" i="2"/>
  <c r="M1217" i="2"/>
  <c r="M1253" i="2"/>
  <c r="M1301" i="2"/>
  <c r="M1311" i="2"/>
  <c r="M1323" i="2"/>
  <c r="M1338" i="2"/>
  <c r="M1277" i="2"/>
  <c r="M1383" i="2"/>
  <c r="M1308" i="2"/>
  <c r="M1337" i="2"/>
  <c r="M1339" i="2"/>
  <c r="M1331" i="2"/>
  <c r="M1388" i="2"/>
  <c r="M1368" i="2"/>
  <c r="M506" i="2"/>
  <c r="M858" i="2"/>
  <c r="M861" i="2"/>
  <c r="M340" i="2"/>
  <c r="M423" i="2"/>
  <c r="M1585" i="2"/>
  <c r="M250" i="2"/>
  <c r="M299" i="2"/>
  <c r="M701" i="2"/>
  <c r="M284" i="2"/>
  <c r="M291" i="2"/>
  <c r="M254" i="2"/>
  <c r="M315" i="2"/>
  <c r="M337" i="2"/>
  <c r="M363" i="2"/>
  <c r="M376" i="2"/>
  <c r="M258" i="2"/>
  <c r="M339" i="2"/>
  <c r="M353" i="2"/>
  <c r="M244" i="2"/>
  <c r="M343" i="2"/>
  <c r="M241" i="2"/>
  <c r="M242" i="2"/>
  <c r="M252" i="2"/>
  <c r="M256" i="2"/>
  <c r="M314" i="2"/>
  <c r="M345" i="2"/>
  <c r="M360" i="2"/>
  <c r="M389" i="2"/>
  <c r="M251" i="2"/>
  <c r="M257" i="2"/>
  <c r="M259" i="2"/>
  <c r="M262" i="2"/>
  <c r="M263" i="2"/>
  <c r="M307" i="2"/>
  <c r="M312" i="2"/>
  <c r="M324" i="2"/>
  <c r="M332" i="2"/>
  <c r="M365" i="2"/>
  <c r="M371" i="2"/>
  <c r="M383" i="2"/>
  <c r="M384" i="2"/>
  <c r="M407" i="2"/>
  <c r="M424" i="2"/>
  <c r="M654" i="2"/>
  <c r="M707" i="2"/>
  <c r="M1651" i="2"/>
  <c r="B42" i="5" l="1"/>
  <c r="B43" i="5"/>
  <c r="B44" i="5"/>
  <c r="B45" i="5"/>
  <c r="B46" i="5"/>
  <c r="B47" i="5"/>
  <c r="B48" i="5"/>
  <c r="B49" i="5"/>
  <c r="B50" i="5"/>
  <c r="B51" i="5"/>
  <c r="B52" i="5"/>
  <c r="B53" i="5"/>
  <c r="B55" i="5"/>
  <c r="B56" i="5"/>
  <c r="B57" i="5"/>
  <c r="B58" i="5"/>
  <c r="B32" i="5"/>
  <c r="I8" i="5"/>
  <c r="I9" i="5"/>
  <c r="I10" i="5"/>
  <c r="I11" i="5"/>
  <c r="I12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F15" i="1" s="1"/>
  <c r="B24" i="5"/>
  <c r="B25" i="5"/>
  <c r="B26" i="5"/>
  <c r="B27" i="5"/>
  <c r="B29" i="5"/>
  <c r="B30" i="5"/>
  <c r="B31" i="5"/>
  <c r="B33" i="5"/>
  <c r="B34" i="5"/>
  <c r="B35" i="5"/>
  <c r="B36" i="5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B59" i="5" l="1"/>
  <c r="B37" i="5"/>
  <c r="E336" i="2"/>
  <c r="E1132" i="2" l="1"/>
  <c r="E445" i="2"/>
  <c r="E1779" i="2"/>
  <c r="E1828" i="2"/>
  <c r="E1271" i="2"/>
  <c r="E143" i="2"/>
  <c r="E1678" i="2"/>
  <c r="E1595" i="2"/>
  <c r="E590" i="2"/>
  <c r="E1640" i="2"/>
  <c r="E1387" i="2"/>
  <c r="E1737" i="2"/>
  <c r="E1912" i="2"/>
  <c r="E1201" i="2"/>
  <c r="E1131" i="2"/>
  <c r="E1365" i="2"/>
  <c r="E1292" i="2"/>
  <c r="E635" i="2"/>
  <c r="E1148" i="2"/>
  <c r="E1908" i="2"/>
  <c r="E588" i="2"/>
  <c r="E685" i="2"/>
  <c r="E1081" i="2"/>
  <c r="E1053" i="2"/>
  <c r="E718" i="2"/>
  <c r="E300" i="2"/>
  <c r="E573" i="2"/>
  <c r="E393" i="2"/>
  <c r="E683" i="2"/>
  <c r="E674" i="2"/>
  <c r="E248" i="2"/>
  <c r="E430" i="2"/>
  <c r="E1707" i="2"/>
  <c r="E1713" i="2"/>
  <c r="E1827" i="2"/>
  <c r="E1471" i="2"/>
  <c r="E712" i="2"/>
  <c r="E1437" i="2"/>
  <c r="E1796" i="2"/>
  <c r="E27" i="2"/>
  <c r="E1440" i="2"/>
  <c r="E551" i="2"/>
  <c r="E878" i="2"/>
  <c r="E1231" i="2"/>
  <c r="E1107" i="2"/>
  <c r="E1240" i="2"/>
  <c r="E1169" i="2"/>
  <c r="E717" i="2"/>
  <c r="E667" i="2"/>
  <c r="E1641" i="2"/>
  <c r="E1555" i="2"/>
  <c r="E1711" i="2"/>
  <c r="E1782" i="2"/>
  <c r="E166" i="2"/>
  <c r="E796" i="2"/>
  <c r="E863" i="2"/>
  <c r="E318" i="2"/>
  <c r="E150" i="2"/>
  <c r="E364" i="2"/>
  <c r="E1885" i="2"/>
  <c r="E1384" i="2"/>
  <c r="E1170" i="2"/>
  <c r="E527" i="2"/>
  <c r="E134" i="2"/>
  <c r="E1873" i="2"/>
  <c r="E278" i="2"/>
  <c r="E1327" i="2"/>
  <c r="E654" i="2"/>
  <c r="E56" i="2"/>
  <c r="E400" i="2"/>
  <c r="E237" i="2"/>
  <c r="E349" i="2"/>
  <c r="E1887" i="2"/>
  <c r="E299" i="2"/>
  <c r="E1848" i="2"/>
  <c r="E952" i="2"/>
  <c r="E1403" i="2"/>
  <c r="E77" i="2"/>
  <c r="E1184" i="2"/>
  <c r="E154" i="2"/>
  <c r="E1235" i="2"/>
  <c r="E668" i="2"/>
  <c r="E1890" i="2"/>
  <c r="E1416" i="2"/>
  <c r="E1814" i="2"/>
  <c r="E1283" i="2"/>
  <c r="E1599" i="2"/>
  <c r="E1108" i="2"/>
  <c r="E1270" i="2"/>
  <c r="E1611" i="2"/>
  <c r="E1496" i="2"/>
  <c r="E552" i="2"/>
  <c r="E637" i="2"/>
  <c r="E319" i="2"/>
  <c r="E1764" i="2"/>
  <c r="E598" i="2"/>
  <c r="E534" i="2"/>
  <c r="E675" i="2"/>
  <c r="E8" i="2"/>
  <c r="E168" i="2"/>
  <c r="E935" i="2"/>
  <c r="E1212" i="2"/>
  <c r="E949" i="2"/>
  <c r="E303" i="2"/>
  <c r="E1432" i="2"/>
  <c r="E1806" i="2"/>
  <c r="E1708" i="2"/>
  <c r="E1660" i="2"/>
  <c r="E1007" i="2"/>
  <c r="E1113" i="2"/>
  <c r="E427" i="2"/>
  <c r="E231" i="2"/>
  <c r="E86" i="2"/>
  <c r="E1744" i="2"/>
  <c r="E730" i="2"/>
  <c r="E566" i="2"/>
  <c r="E1892" i="2"/>
  <c r="E1109" i="2"/>
  <c r="E441" i="2"/>
  <c r="E489" i="2"/>
  <c r="E760" i="2"/>
  <c r="E82" i="2"/>
  <c r="E107" i="2"/>
  <c r="E691" i="2"/>
  <c r="E533" i="2"/>
  <c r="E1065" i="2"/>
  <c r="E872" i="2"/>
  <c r="E539" i="2"/>
  <c r="E1871" i="2"/>
  <c r="E114" i="2"/>
  <c r="E1652" i="2"/>
  <c r="E1054" i="2"/>
  <c r="E740" i="2"/>
  <c r="E528" i="2"/>
  <c r="E785" i="2"/>
  <c r="E540" i="2"/>
  <c r="E496" i="2"/>
  <c r="E98" i="2"/>
  <c r="E917" i="2"/>
  <c r="E814" i="2"/>
  <c r="E1266" i="2"/>
  <c r="E1487" i="2"/>
  <c r="E1361" i="2"/>
  <c r="E627" i="2"/>
  <c r="E514" i="2"/>
  <c r="E844" i="2"/>
  <c r="E1862" i="2"/>
  <c r="E1488" i="2"/>
  <c r="E542" i="2"/>
  <c r="E1547" i="2"/>
  <c r="E744" i="2"/>
  <c r="E1559" i="2"/>
  <c r="E1561" i="2"/>
  <c r="E281" i="2"/>
  <c r="E1001" i="2"/>
  <c r="E1642" i="2"/>
  <c r="E568" i="2"/>
  <c r="E369" i="2"/>
  <c r="E1431" i="2"/>
  <c r="E576" i="2"/>
  <c r="E1658" i="2"/>
  <c r="E1662" i="2"/>
  <c r="E800" i="2"/>
  <c r="E965" i="2"/>
  <c r="E148" i="2"/>
  <c r="E1417" i="2"/>
  <c r="E1070" i="2"/>
  <c r="E18" i="2"/>
  <c r="E875" i="2"/>
  <c r="E1818" i="2"/>
  <c r="E585" i="2"/>
  <c r="E258" i="2"/>
  <c r="E64" i="2"/>
  <c r="E1457" i="2"/>
  <c r="E1122" i="2"/>
  <c r="E927" i="2"/>
  <c r="E1562" i="2"/>
  <c r="E1035" i="2"/>
  <c r="E1159" i="2"/>
  <c r="E411" i="2"/>
  <c r="E1769" i="2"/>
  <c r="E1635" i="2"/>
  <c r="E9" i="2"/>
  <c r="E1463" i="2"/>
  <c r="E1923" i="2"/>
  <c r="E195" i="2"/>
  <c r="E1195" i="2"/>
  <c r="E931" i="2"/>
  <c r="E289" i="2"/>
  <c r="E1409" i="2"/>
  <c r="E677" i="2"/>
  <c r="E1411" i="2"/>
  <c r="E1454" i="2"/>
  <c r="E1032" i="2"/>
  <c r="E482" i="2"/>
  <c r="E1675" i="2"/>
  <c r="E1720" i="2"/>
  <c r="E1160" i="2"/>
  <c r="E1189" i="2"/>
  <c r="E809" i="2"/>
  <c r="E1671" i="2"/>
  <c r="E95" i="2"/>
  <c r="E630" i="2"/>
  <c r="E1448" i="2"/>
  <c r="E1845" i="2"/>
  <c r="E692" i="2"/>
  <c r="E1875" i="2"/>
  <c r="E290" i="2"/>
  <c r="E1626" i="2"/>
  <c r="E118" i="2"/>
  <c r="E1748" i="2"/>
  <c r="E36" i="2"/>
  <c r="E1020" i="2"/>
  <c r="E294" i="2"/>
  <c r="E1114" i="2"/>
  <c r="E939" i="2"/>
  <c r="E1813" i="2"/>
  <c r="E401" i="2"/>
  <c r="E1507" i="2"/>
  <c r="E794" i="2"/>
  <c r="E1394" i="2"/>
  <c r="E1874" i="2"/>
  <c r="E1600" i="2"/>
  <c r="E1849" i="2"/>
  <c r="E1776" i="2"/>
  <c r="E54" i="2"/>
  <c r="E1172" i="2"/>
  <c r="E1089" i="2"/>
  <c r="E1182" i="2"/>
  <c r="E1293" i="2"/>
  <c r="E541" i="2"/>
  <c r="E1535" i="2"/>
  <c r="E1399" i="2"/>
  <c r="E1735" i="2"/>
  <c r="E1050" i="2"/>
  <c r="E871" i="2"/>
  <c r="E1738" i="2"/>
  <c r="E324" i="2"/>
  <c r="E1729" i="2"/>
  <c r="E999" i="2"/>
  <c r="E521" i="2"/>
  <c r="E414" i="2"/>
  <c r="E1282" i="2"/>
  <c r="E779" i="2"/>
  <c r="E849" i="2"/>
  <c r="E1820" i="2"/>
  <c r="E1631" i="2"/>
  <c r="E149" i="2"/>
  <c r="E66" i="2"/>
  <c r="E973" i="2"/>
  <c r="E638" i="2"/>
  <c r="E905" i="2"/>
  <c r="E584" i="2"/>
  <c r="E1149" i="2"/>
  <c r="E1601" i="2"/>
  <c r="E1592" i="2"/>
  <c r="E1617" i="2"/>
  <c r="E761" i="2"/>
  <c r="E960" i="2"/>
  <c r="E835" i="2"/>
  <c r="E123" i="2"/>
  <c r="E1778" i="2"/>
  <c r="E706" i="2"/>
  <c r="E1829" i="2"/>
  <c r="E1895" i="2"/>
  <c r="E770" i="2"/>
  <c r="E1018" i="2"/>
  <c r="E1785" i="2"/>
  <c r="E480" i="2"/>
  <c r="E1732" i="2"/>
  <c r="E446" i="2"/>
  <c r="E679" i="2"/>
  <c r="E1530" i="2"/>
  <c r="E7" i="2"/>
  <c r="E1886" i="2"/>
  <c r="E775" i="2"/>
  <c r="E1717" i="2"/>
  <c r="E38" i="2"/>
  <c r="E985" i="2"/>
  <c r="E559" i="2"/>
  <c r="E702" i="2"/>
  <c r="E1302" i="2"/>
  <c r="E122" i="2"/>
  <c r="E406" i="2"/>
  <c r="E160" i="2"/>
  <c r="E291" i="2"/>
  <c r="E1746" i="2"/>
  <c r="E1607" i="2"/>
  <c r="E1123" i="2"/>
  <c r="E1226" i="2"/>
  <c r="E745" i="2"/>
  <c r="E490" i="2"/>
  <c r="E1922" i="2"/>
  <c r="E1811" i="2"/>
  <c r="E1453" i="2"/>
  <c r="E344" i="2"/>
  <c r="E1538" i="2"/>
  <c r="E279" i="2"/>
  <c r="E183" i="2"/>
  <c r="E825" i="2"/>
  <c r="E858" i="2"/>
  <c r="E707" i="2"/>
  <c r="E1915" i="2"/>
  <c r="E1055" i="2"/>
  <c r="E937" i="2"/>
  <c r="E1316" i="2"/>
  <c r="E1840" i="2"/>
  <c r="E787" i="2"/>
  <c r="E1161" i="2"/>
  <c r="E361" i="2"/>
  <c r="E282" i="2"/>
  <c r="E1903" i="2"/>
  <c r="E293" i="2"/>
  <c r="E1645" i="2"/>
  <c r="E236" i="2"/>
  <c r="E866" i="2"/>
  <c r="E173" i="2"/>
  <c r="E1702" i="2"/>
  <c r="E816" i="2"/>
  <c r="E1602" i="2"/>
  <c r="E174" i="2"/>
  <c r="E246" i="2"/>
  <c r="E589" i="2"/>
  <c r="E580" i="2"/>
  <c r="E1774" i="2"/>
  <c r="E606" i="2"/>
  <c r="E33" i="2"/>
  <c r="E1133" i="2"/>
  <c r="E938" i="2"/>
  <c r="E954" i="2"/>
  <c r="E1176" i="2"/>
  <c r="E1215" i="2"/>
  <c r="E1810" i="2"/>
  <c r="E159" i="2"/>
  <c r="E307" i="2"/>
  <c r="E1179" i="2"/>
  <c r="E1363" i="2"/>
  <c r="E1036" i="2"/>
  <c r="E227" i="2"/>
  <c r="E681" i="2"/>
  <c r="E426" i="2"/>
  <c r="E757" i="2"/>
  <c r="E1831" i="2"/>
  <c r="E99" i="2"/>
  <c r="E1712" i="2"/>
  <c r="E1213" i="2"/>
  <c r="E321" i="2"/>
  <c r="E1074" i="2"/>
  <c r="E57" i="2"/>
  <c r="E1517" i="2"/>
  <c r="E1733" i="2"/>
  <c r="E241" i="2"/>
  <c r="E330" i="2"/>
  <c r="E465" i="2"/>
  <c r="E323" i="2"/>
  <c r="E784" i="2"/>
  <c r="E1492" i="2"/>
  <c r="E625" i="2"/>
  <c r="E1868" i="2"/>
  <c r="E286" i="2"/>
  <c r="E522" i="2"/>
  <c r="E841" i="2"/>
  <c r="E167" i="2"/>
  <c r="E686" i="2"/>
  <c r="E942" i="2"/>
  <c r="E1554" i="2"/>
  <c r="E1700" i="2"/>
  <c r="E1767" i="2"/>
  <c r="E1763" i="2"/>
  <c r="E312" i="2"/>
  <c r="E926" i="2"/>
  <c r="E1690" i="2"/>
  <c r="E631" i="2"/>
  <c r="E1443" i="2"/>
  <c r="E1315" i="2"/>
  <c r="E1531" i="2"/>
  <c r="E947" i="2"/>
  <c r="E365" i="2"/>
  <c r="E345" i="2"/>
  <c r="E1222" i="2"/>
  <c r="E1924" i="2"/>
  <c r="E1162" i="2"/>
  <c r="E1066" i="2"/>
  <c r="E1040" i="2"/>
  <c r="E977" i="2"/>
  <c r="E1202" i="2"/>
  <c r="E1651" i="2"/>
  <c r="E475" i="2"/>
  <c r="E995" i="2"/>
  <c r="E1425" i="2"/>
  <c r="E1232" i="2"/>
  <c r="E1835" i="2"/>
  <c r="E820" i="2"/>
  <c r="E752" i="2"/>
  <c r="E1666" i="2"/>
  <c r="E646" i="2"/>
  <c r="E422" i="2"/>
  <c r="E1730" i="2"/>
  <c r="E1241" i="2"/>
  <c r="E1542" i="2"/>
  <c r="E78" i="2"/>
  <c r="E1489" i="2"/>
  <c r="E1689" i="2"/>
  <c r="E234" i="2"/>
  <c r="E1346" i="2"/>
  <c r="E1115" i="2"/>
  <c r="E529" i="2"/>
  <c r="E1402" i="2"/>
  <c r="E1650" i="2"/>
  <c r="E189" i="2"/>
  <c r="E888" i="2"/>
  <c r="E741" i="2"/>
  <c r="E1325" i="2"/>
  <c r="E1128" i="2"/>
  <c r="E523" i="2"/>
  <c r="E397" i="2"/>
  <c r="E1551" i="2"/>
  <c r="E833" i="2"/>
  <c r="E885" i="2"/>
  <c r="E1458" i="2"/>
  <c r="E553" i="2"/>
  <c r="E1027" i="2"/>
  <c r="E1537" i="2"/>
  <c r="E1736" i="2"/>
  <c r="E254" i="2"/>
  <c r="E782" i="2"/>
  <c r="E1428" i="2"/>
  <c r="E1853" i="2"/>
  <c r="E1216" i="2"/>
  <c r="E1571" i="2"/>
  <c r="E1279" i="2"/>
  <c r="E925" i="2"/>
  <c r="E1699" i="2"/>
  <c r="E1185" i="2"/>
  <c r="E10" i="2"/>
  <c r="E1393" i="2"/>
  <c r="E242" i="2"/>
  <c r="E1604" i="2"/>
  <c r="E1190" i="2"/>
  <c r="E177" i="2"/>
  <c r="E1129" i="2"/>
  <c r="E544" i="2"/>
  <c r="E485" i="2"/>
  <c r="E1067" i="2"/>
  <c r="E581" i="2"/>
  <c r="E1546" i="2"/>
  <c r="E877" i="2"/>
  <c r="E339" i="2"/>
  <c r="E144" i="2"/>
  <c r="E165" i="2"/>
  <c r="E5" i="2"/>
  <c r="E1516" i="2"/>
  <c r="E128" i="2"/>
  <c r="E421" i="2"/>
  <c r="E226" i="2"/>
  <c r="E1919" i="2"/>
  <c r="E823" i="2"/>
  <c r="E1049" i="2"/>
  <c r="E1543" i="2"/>
  <c r="E1097" i="2"/>
  <c r="E1698" i="2"/>
  <c r="E1233" i="2"/>
  <c r="E697" i="2"/>
  <c r="E1536" i="2"/>
  <c r="E1802" i="2"/>
  <c r="E1372" i="2"/>
  <c r="E1347" i="2"/>
  <c r="E1582" i="2"/>
  <c r="E1145" i="2"/>
  <c r="E1150" i="2"/>
  <c r="E37" i="2"/>
  <c r="E1910" i="2"/>
  <c r="E268" i="2"/>
  <c r="E1704" i="2"/>
  <c r="E219" i="2"/>
  <c r="E812" i="2"/>
  <c r="E126" i="2"/>
  <c r="E1444" i="2"/>
  <c r="E1423" i="2"/>
  <c r="E1486" i="2"/>
  <c r="E644" i="2"/>
  <c r="E996" i="2"/>
  <c r="E1024" i="2"/>
  <c r="E472" i="2"/>
  <c r="E978" i="2"/>
  <c r="E974" i="2"/>
  <c r="E1541" i="2"/>
  <c r="E32" i="2"/>
  <c r="E463" i="2"/>
  <c r="E990" i="2"/>
  <c r="E600" i="2"/>
  <c r="E205" i="2"/>
  <c r="E810" i="2"/>
  <c r="E922" i="2"/>
  <c r="E261" i="2"/>
  <c r="E747" i="2"/>
  <c r="E1750" i="2"/>
  <c r="E1884" i="2"/>
  <c r="E1071" i="2"/>
  <c r="E1809" i="2"/>
  <c r="E1338" i="2"/>
  <c r="E1295" i="2"/>
  <c r="E1296" i="2"/>
  <c r="E1907" i="2"/>
  <c r="E309" i="2"/>
  <c r="E75" i="2"/>
  <c r="E243" i="2"/>
  <c r="E375" i="2"/>
  <c r="E1549" i="2"/>
  <c r="E1742" i="2"/>
  <c r="E133" i="2"/>
  <c r="E152" i="2"/>
  <c r="E180" i="2"/>
  <c r="E322" i="2"/>
  <c r="E136" i="2"/>
  <c r="E1480" i="2"/>
  <c r="E1728" i="2"/>
  <c r="E402" i="2"/>
  <c r="E874" i="2"/>
  <c r="E1568" i="2"/>
  <c r="E997" i="2"/>
  <c r="E24" i="2"/>
  <c r="E998" i="2"/>
  <c r="E222" i="2"/>
  <c r="E198" i="2"/>
  <c r="E1382" i="2"/>
  <c r="E980" i="2"/>
  <c r="E1248" i="2"/>
  <c r="E704" i="2"/>
  <c r="E1294" i="2"/>
  <c r="E1268" i="2"/>
  <c r="E1701" i="2"/>
  <c r="E873" i="2"/>
  <c r="E1777" i="2"/>
  <c r="E42" i="2"/>
  <c r="E894" i="2"/>
  <c r="E556" i="2"/>
  <c r="E1326" i="2"/>
  <c r="E162" i="2"/>
  <c r="E801" i="2"/>
  <c r="E1418" i="2"/>
  <c r="E1691" i="2"/>
  <c r="E1529" i="2"/>
  <c r="E1900" i="2"/>
  <c r="E1317" i="2"/>
  <c r="E574" i="2"/>
  <c r="E1509" i="2"/>
  <c r="E851" i="2"/>
  <c r="E1575" i="2"/>
  <c r="E266" i="2"/>
  <c r="E1647" i="2"/>
  <c r="E1366" i="2"/>
  <c r="E1665" i="2"/>
  <c r="E239" i="2"/>
  <c r="E802" i="2"/>
  <c r="E1180" i="2"/>
  <c r="E1348" i="2"/>
  <c r="E252" i="2"/>
  <c r="E370" i="2"/>
  <c r="E1336" i="2"/>
  <c r="E1518" i="2"/>
  <c r="E599" i="2"/>
  <c r="E1090" i="2"/>
  <c r="E1259" i="2"/>
  <c r="E1629" i="2"/>
  <c r="E59" i="2"/>
  <c r="E1088" i="2"/>
  <c r="E1134" i="2"/>
  <c r="E610" i="2"/>
  <c r="E79" i="2"/>
  <c r="E1098" i="2"/>
  <c r="E596" i="2"/>
  <c r="E1863" i="2"/>
  <c r="E94" i="2"/>
  <c r="E310" i="2"/>
  <c r="E1525" i="2"/>
  <c r="E1501" i="2"/>
  <c r="E1470" i="2"/>
  <c r="E1130" i="2"/>
  <c r="E940" i="2"/>
  <c r="E1858" i="2"/>
  <c r="E439" i="2"/>
  <c r="E1227" i="2"/>
  <c r="E818" i="2"/>
  <c r="E1191" i="2"/>
  <c r="E1298" i="2"/>
  <c r="E966" i="2"/>
  <c r="E1177" i="2"/>
  <c r="E515" i="2"/>
  <c r="E647" i="2"/>
  <c r="E287" i="2"/>
  <c r="E1808" i="2"/>
  <c r="E582" i="2"/>
  <c r="E140" i="2"/>
  <c r="E555" i="2"/>
  <c r="E1099" i="2"/>
  <c r="E1376" i="2"/>
  <c r="E141" i="2"/>
  <c r="E1439" i="2"/>
  <c r="E813" i="2"/>
  <c r="E1124" i="2"/>
  <c r="E1228" i="2"/>
  <c r="E1816" i="2"/>
  <c r="E119" i="2"/>
  <c r="E1008" i="2"/>
  <c r="E914" i="2"/>
  <c r="E1272" i="2"/>
  <c r="E1142" i="2"/>
  <c r="E1068" i="2"/>
  <c r="E184" i="2"/>
  <c r="E628" i="2"/>
  <c r="E332" i="2"/>
  <c r="E1217" i="2"/>
  <c r="E1593" i="2"/>
  <c r="E1284" i="2"/>
  <c r="E688" i="2"/>
  <c r="E1920" i="2"/>
  <c r="E1846" i="2"/>
  <c r="E1451" i="2"/>
  <c r="E1299" i="2"/>
  <c r="E727" i="2"/>
  <c r="E466" i="2"/>
  <c r="E320" i="2"/>
  <c r="E1426" i="2"/>
  <c r="E1269" i="2"/>
  <c r="E705" i="2"/>
  <c r="E1504" i="2"/>
  <c r="E60" i="2"/>
  <c r="E703" i="2"/>
  <c r="E766" i="2"/>
  <c r="E391" i="2"/>
  <c r="E1388" i="2"/>
  <c r="E362" i="2"/>
  <c r="E129" i="2"/>
  <c r="E1441" i="2"/>
  <c r="E356" i="2"/>
  <c r="E828" i="2"/>
  <c r="E394" i="2"/>
  <c r="E21" i="2"/>
  <c r="E906" i="2"/>
  <c r="E777" i="2"/>
  <c r="E1493" i="2"/>
  <c r="E798" i="2"/>
  <c r="E1556" i="2"/>
  <c r="E1799" i="2"/>
  <c r="E1768" i="2"/>
  <c r="E943" i="2"/>
  <c r="E477" i="2"/>
  <c r="E928" i="2"/>
  <c r="E879" i="2"/>
  <c r="E839" i="2"/>
  <c r="E417" i="2"/>
  <c r="E103" i="2"/>
  <c r="E301" i="2"/>
  <c r="E216" i="2"/>
  <c r="E728" i="2"/>
  <c r="E1303" i="2"/>
  <c r="E1445" i="2"/>
  <c r="E447" i="2"/>
  <c r="E1285" i="2"/>
  <c r="E1844" i="2"/>
  <c r="E409" i="2"/>
  <c r="E1851" i="2"/>
  <c r="E352" i="2"/>
  <c r="E240" i="2"/>
  <c r="E1037" i="2"/>
  <c r="E1368" i="2"/>
  <c r="E1199" i="2"/>
  <c r="E1792" i="2"/>
  <c r="E684" i="2"/>
  <c r="E70" i="2"/>
  <c r="E915" i="2"/>
  <c r="E461" i="2"/>
  <c r="E595" i="2"/>
  <c r="E577" i="2"/>
  <c r="E3" i="2"/>
  <c r="E71" i="2"/>
  <c r="E1667" i="2"/>
  <c r="E545" i="2"/>
  <c r="E65" i="2"/>
  <c r="E1459" i="2"/>
  <c r="E902" i="2"/>
  <c r="E1793" i="2"/>
  <c r="E1514" i="2"/>
  <c r="E23" i="2"/>
  <c r="E1581" i="2"/>
  <c r="E1755" i="2"/>
  <c r="E941" i="2"/>
  <c r="E29" i="2"/>
  <c r="E39" i="2"/>
  <c r="E1800" i="2"/>
  <c r="E1597" i="2"/>
  <c r="E520" i="2"/>
  <c r="E1877" i="2"/>
  <c r="E221" i="2"/>
  <c r="E214" i="2"/>
  <c r="E762" i="2"/>
  <c r="E208" i="2"/>
  <c r="E1472" i="2"/>
  <c r="E1928" i="2"/>
  <c r="E531" i="2"/>
  <c r="E403" i="2"/>
  <c r="E1574" i="2"/>
  <c r="E895" i="2"/>
  <c r="E1637" i="2"/>
  <c r="E1545" i="2"/>
  <c r="E689" i="2"/>
  <c r="E1286" i="2"/>
  <c r="E163" i="2"/>
  <c r="E955" i="2"/>
  <c r="E1710" i="2"/>
  <c r="E1502" i="2"/>
  <c r="E1569" i="2"/>
  <c r="E583" i="2"/>
  <c r="E164" i="2"/>
  <c r="E1408" i="2"/>
  <c r="E1627" i="2"/>
  <c r="E1371" i="2"/>
  <c r="E1328" i="2"/>
  <c r="E40" i="2"/>
  <c r="E395" i="2"/>
  <c r="E549" i="2"/>
  <c r="E936" i="2"/>
  <c r="E612" i="2"/>
  <c r="E424" i="2"/>
  <c r="E1186" i="2"/>
  <c r="E153" i="2"/>
  <c r="E1404" i="2"/>
  <c r="E43" i="2"/>
  <c r="E1421" i="2"/>
  <c r="E112" i="2"/>
  <c r="E1587" i="2"/>
  <c r="E255" i="2"/>
  <c r="E171" i="2"/>
  <c r="E953" i="2"/>
  <c r="E1156" i="2"/>
  <c r="E104" i="2"/>
  <c r="E1339" i="2"/>
  <c r="E733" i="2"/>
  <c r="E1608" i="2"/>
  <c r="E124" i="2"/>
  <c r="E750" i="2"/>
  <c r="E868" i="2"/>
  <c r="E1523" i="2"/>
  <c r="E1300" i="2"/>
  <c r="E1086" i="2"/>
  <c r="E304" i="2"/>
  <c r="E848" i="2"/>
  <c r="E1540" i="2"/>
  <c r="E1287" i="2"/>
  <c r="E664" i="2"/>
  <c r="E829" i="2"/>
  <c r="E621" i="2"/>
  <c r="E1740" i="2"/>
  <c r="E1687" i="2"/>
  <c r="E68" i="2"/>
  <c r="E662" i="2"/>
  <c r="E898" i="2"/>
  <c r="E14" i="2"/>
  <c r="E1349" i="2"/>
  <c r="E1333" i="2"/>
  <c r="E1429" i="2"/>
  <c r="E1218" i="2"/>
  <c r="E771" i="2"/>
  <c r="E1519" i="2"/>
  <c r="E1893" i="2"/>
  <c r="E197" i="2"/>
  <c r="E1634" i="2"/>
  <c r="E767" i="2"/>
  <c r="E486" i="2"/>
  <c r="E1586" i="2"/>
  <c r="E824" i="2"/>
  <c r="E1257" i="2"/>
  <c r="E470" i="2"/>
  <c r="E499" i="2"/>
  <c r="E1784" i="2"/>
  <c r="E1127" i="2"/>
  <c r="E1301" i="2"/>
  <c r="E1683" i="2"/>
  <c r="E847" i="2"/>
  <c r="E408" i="2"/>
  <c r="E1505" i="2"/>
  <c r="E1622" i="2"/>
  <c r="E1143" i="2"/>
  <c r="E1930" i="2"/>
  <c r="E1280" i="2"/>
  <c r="E1579" i="2"/>
  <c r="E1752" i="2"/>
  <c r="E1503" i="2"/>
  <c r="E1474" i="2"/>
  <c r="E1524" i="2"/>
  <c r="E710" i="2"/>
  <c r="E385" i="2"/>
  <c r="E1350" i="2"/>
  <c r="E613" i="2"/>
  <c r="E348" i="2"/>
  <c r="E1398" i="2"/>
  <c r="E622" i="2"/>
  <c r="E971" i="2"/>
  <c r="E597" i="2"/>
  <c r="E862" i="2"/>
  <c r="E109" i="2"/>
  <c r="E1841" i="2"/>
  <c r="E1695" i="2"/>
  <c r="E127" i="2"/>
  <c r="E328" i="2"/>
  <c r="E196" i="2"/>
  <c r="E117" i="2"/>
  <c r="E601" i="2"/>
  <c r="E769" i="2"/>
  <c r="E1112" i="2"/>
  <c r="E102" i="2"/>
  <c r="E1801" i="2"/>
  <c r="E546" i="2"/>
  <c r="E1721" i="2"/>
  <c r="E1473" i="2"/>
  <c r="E1533" i="2"/>
  <c r="E1661" i="2"/>
  <c r="E1476" i="2"/>
  <c r="E67" i="2"/>
  <c r="E155" i="2"/>
  <c r="E1615" i="2"/>
  <c r="E1415" i="2"/>
  <c r="E190" i="2"/>
  <c r="E1780" i="2"/>
  <c r="E1046" i="2"/>
  <c r="E357" i="2"/>
  <c r="E786" i="2"/>
  <c r="E1060" i="2"/>
  <c r="E602" i="2"/>
  <c r="E1102" i="2"/>
  <c r="E1187" i="2"/>
  <c r="E1906" i="2"/>
  <c r="E1091" i="2"/>
  <c r="E1771" i="2"/>
  <c r="E1242" i="2"/>
  <c r="E1000" i="2"/>
  <c r="E909" i="2"/>
  <c r="E346" i="2"/>
  <c r="E789" i="2"/>
  <c r="E478" i="2"/>
  <c r="E72" i="2"/>
  <c r="E1253" i="2"/>
  <c r="E1761" i="2"/>
  <c r="E121" i="2"/>
  <c r="E111" i="2"/>
  <c r="E1934" i="2"/>
  <c r="E1343" i="2"/>
  <c r="E920" i="2"/>
  <c r="E1002" i="2"/>
  <c r="E325" i="2"/>
  <c r="E1859" i="2"/>
  <c r="E83" i="2"/>
  <c r="E560" i="2"/>
  <c r="E273" i="2"/>
  <c r="E1481" i="2"/>
  <c r="E517" i="2"/>
  <c r="E1620" i="2"/>
  <c r="E1696" i="2"/>
  <c r="E347" i="2"/>
  <c r="E178" i="2"/>
  <c r="E1815" i="2"/>
  <c r="E218" i="2"/>
  <c r="E448" i="2"/>
  <c r="E474" i="2"/>
  <c r="E1621" i="2"/>
  <c r="E386" i="2"/>
  <c r="E1243" i="2"/>
  <c r="E645" i="2"/>
  <c r="E1812" i="2"/>
  <c r="E131" i="2"/>
  <c r="E1304" i="2"/>
  <c r="E557" i="2"/>
  <c r="E1882" i="2"/>
  <c r="E1925" i="2"/>
  <c r="E1598" i="2"/>
  <c r="E1151" i="2"/>
  <c r="E817" i="2"/>
  <c r="E510" i="2"/>
  <c r="E840" i="2"/>
  <c r="E1838" i="2"/>
  <c r="E147" i="2"/>
  <c r="E1188" i="2"/>
  <c r="E1723" i="2"/>
  <c r="E1442" i="2"/>
  <c r="E181" i="2"/>
  <c r="E1146" i="2"/>
  <c r="E228" i="2"/>
  <c r="E80" i="2"/>
  <c r="E392" i="2"/>
  <c r="E1499" i="2"/>
  <c r="E81" i="2"/>
  <c r="E1433" i="2"/>
  <c r="E413" i="2"/>
  <c r="E642" i="2"/>
  <c r="E1273" i="2"/>
  <c r="E61" i="2"/>
  <c r="E1166" i="2"/>
  <c r="E967" i="2"/>
  <c r="E73" i="2"/>
  <c r="E331" i="2"/>
  <c r="E62" i="2"/>
  <c r="E547" i="2"/>
  <c r="E834" i="2"/>
  <c r="E1850" i="2"/>
  <c r="E1154" i="2"/>
  <c r="E753" i="2"/>
  <c r="E1356" i="2"/>
  <c r="E518" i="2"/>
  <c r="E695" i="2"/>
  <c r="E425" i="2"/>
  <c r="E746" i="2"/>
  <c r="E607" i="2"/>
  <c r="E1260" i="2"/>
  <c r="E1897" i="2"/>
  <c r="E415" i="2"/>
  <c r="E1832" i="2"/>
  <c r="E1655" i="2"/>
  <c r="E41" i="2"/>
  <c r="E1682" i="2"/>
  <c r="E50" i="2"/>
  <c r="E1881" i="2"/>
  <c r="E398" i="2"/>
  <c r="E742" i="2"/>
  <c r="E620" i="2"/>
  <c r="E903" i="2"/>
  <c r="E443" i="2"/>
  <c r="E1725" i="2"/>
  <c r="E605" i="2"/>
  <c r="E1063" i="2"/>
  <c r="E842" i="2"/>
  <c r="E378" i="2"/>
  <c r="E244" i="2"/>
  <c r="E1775" i="2"/>
  <c r="E1410" i="2"/>
  <c r="E759" i="2"/>
  <c r="E374" i="2"/>
  <c r="E665" i="2"/>
  <c r="E1837" i="2"/>
  <c r="E1773" i="2"/>
  <c r="E1192" i="2"/>
  <c r="E655" i="2"/>
  <c r="E1866" i="2"/>
  <c r="E16" i="2"/>
  <c r="E1116" i="2"/>
  <c r="E854" i="2"/>
  <c r="E1864" i="2"/>
  <c r="E1521" i="2"/>
  <c r="E1254" i="2"/>
  <c r="E467" i="2"/>
  <c r="E626" i="2"/>
  <c r="E280" i="2"/>
  <c r="E1648" i="2"/>
  <c r="E1917" i="2"/>
  <c r="E1019" i="2"/>
  <c r="E561" i="2"/>
  <c r="E1563" i="2"/>
  <c r="E1613" i="2"/>
  <c r="E826" i="2"/>
  <c r="E958" i="2"/>
  <c r="E326" i="2"/>
  <c r="E614" i="2"/>
  <c r="E1797" i="2"/>
  <c r="E615" i="2"/>
  <c r="E890" i="2"/>
  <c r="E1438" i="2"/>
  <c r="E34" i="2"/>
  <c r="E493" i="2"/>
  <c r="E1616" i="2"/>
  <c r="E1739" i="2"/>
  <c r="E869" i="2"/>
  <c r="E53" i="2"/>
  <c r="E276" i="2"/>
  <c r="E780" i="2"/>
  <c r="E970" i="2"/>
  <c r="E975" i="2"/>
  <c r="E1313" i="2"/>
  <c r="E1672" i="2"/>
  <c r="E1668" i="2"/>
  <c r="E1576" i="2"/>
  <c r="E1876" i="2"/>
  <c r="E861" i="2"/>
  <c r="E1305" i="2"/>
  <c r="E1921" i="2"/>
  <c r="E1334" i="2"/>
  <c r="E1603" i="2"/>
  <c r="E1857" i="2"/>
  <c r="E1092" i="2"/>
  <c r="E1605" i="2"/>
  <c r="E1274" i="2"/>
  <c r="E1051" i="2"/>
  <c r="E1353" i="2"/>
  <c r="E1047" i="2"/>
  <c r="E1337" i="2"/>
  <c r="E1048" i="2"/>
  <c r="E1781" i="2"/>
  <c r="E500" i="2"/>
  <c r="E1173" i="2"/>
  <c r="E1275" i="2"/>
  <c r="E1152" i="2"/>
  <c r="E1015" i="2"/>
  <c r="E1673" i="2"/>
  <c r="E1821" i="2"/>
  <c r="E55" i="2"/>
  <c r="E792" i="2"/>
  <c r="E1434" i="2"/>
  <c r="E623" i="2"/>
  <c r="E1198" i="2"/>
  <c r="E1223" i="2"/>
  <c r="E451" i="2"/>
  <c r="E524" i="2"/>
  <c r="E1490" i="2"/>
  <c r="E51" i="2"/>
  <c r="E819" i="2"/>
  <c r="E719" i="2"/>
  <c r="E1009" i="2"/>
  <c r="E506" i="2"/>
  <c r="E708" i="2"/>
  <c r="E503" i="2"/>
  <c r="E1117" i="2"/>
  <c r="E1842" i="2"/>
  <c r="E856" i="2"/>
  <c r="E1111" i="2"/>
  <c r="E578" i="2"/>
  <c r="E89" i="2"/>
  <c r="E899" i="2"/>
  <c r="E1367" i="2"/>
  <c r="E1636" i="2"/>
  <c r="E1118" i="2"/>
  <c r="E1578" i="2"/>
  <c r="E334" i="2"/>
  <c r="E1798" i="2"/>
  <c r="E1823" i="2"/>
  <c r="E454" i="2"/>
  <c r="E407" i="2"/>
  <c r="E1329" i="2"/>
  <c r="E907" i="2"/>
  <c r="E567" i="2"/>
  <c r="E1258" i="2"/>
  <c r="E1466" i="2"/>
  <c r="E608" i="2"/>
  <c r="E142" i="2"/>
  <c r="E12" i="2"/>
  <c r="E420" i="2"/>
  <c r="E1354" i="2"/>
  <c r="E1178" i="2"/>
  <c r="E1244" i="2"/>
  <c r="E444" i="2"/>
  <c r="E591" i="2"/>
  <c r="E100" i="2"/>
  <c r="E1319" i="2"/>
  <c r="E249" i="2"/>
  <c r="E1639" i="2"/>
  <c r="E772" i="2"/>
  <c r="E1513" i="2"/>
  <c r="E1898" i="2"/>
  <c r="E1080" i="2"/>
  <c r="E1795" i="2"/>
  <c r="E351" i="2"/>
  <c r="E137" i="2"/>
  <c r="E932" i="2"/>
  <c r="E342" i="2"/>
  <c r="E1392" i="2"/>
  <c r="E185" i="2"/>
  <c r="E487" i="2"/>
  <c r="E176" i="2"/>
  <c r="E1351" i="2"/>
  <c r="E1879" i="2"/>
  <c r="E1706" i="2"/>
  <c r="E830" i="2"/>
  <c r="E883" i="2"/>
  <c r="E1467" i="2"/>
  <c r="E1909" i="2"/>
  <c r="E1430" i="2"/>
  <c r="E229" i="2"/>
  <c r="E1577" i="2"/>
  <c r="E1758" i="2"/>
  <c r="E609" i="2"/>
  <c r="E1878" i="2"/>
  <c r="E1167" i="2"/>
  <c r="E562" i="2"/>
  <c r="E396" i="2"/>
  <c r="E1653" i="2"/>
  <c r="E1183" i="2"/>
  <c r="E808" i="2"/>
  <c r="E776" i="2"/>
  <c r="E720" i="2"/>
  <c r="E535" i="2"/>
  <c r="E120" i="2"/>
  <c r="E1261" i="2"/>
  <c r="E200" i="2"/>
  <c r="E488" i="2"/>
  <c r="E404" i="2"/>
  <c r="E1288" i="2"/>
  <c r="E1747" i="2"/>
  <c r="E797" i="2"/>
  <c r="E563" i="2"/>
  <c r="E1674" i="2"/>
  <c r="E713" i="2"/>
  <c r="E736" i="2"/>
  <c r="E209" i="2"/>
  <c r="E1389" i="2"/>
  <c r="E1726" i="2"/>
  <c r="E530" i="2"/>
  <c r="E91" i="2"/>
  <c r="E693" i="2"/>
  <c r="E497" i="2"/>
  <c r="E353" i="2"/>
  <c r="E30" i="2"/>
  <c r="E1245" i="2"/>
  <c r="E1369" i="2"/>
  <c r="E934" i="2"/>
  <c r="E587" i="2"/>
  <c r="E916" i="2"/>
  <c r="E698" i="2"/>
  <c r="E749" i="2"/>
  <c r="E28" i="2"/>
  <c r="E135" i="2"/>
  <c r="E202" i="2"/>
  <c r="E700" i="2"/>
  <c r="E113" i="2"/>
  <c r="E701" i="2"/>
  <c r="E891" i="2"/>
  <c r="E223" i="2"/>
  <c r="E725" i="2"/>
  <c r="E672" i="2"/>
  <c r="E366" i="2"/>
  <c r="E569" i="2"/>
  <c r="E1193" i="2"/>
  <c r="E31" i="2"/>
  <c r="E1684" i="2"/>
  <c r="E721" i="2"/>
  <c r="E1584" i="2"/>
  <c r="E586" i="2"/>
  <c r="E1567" i="2"/>
  <c r="E748" i="2"/>
  <c r="E1289" i="2"/>
  <c r="E1783" i="2"/>
  <c r="E1681" i="2"/>
  <c r="E1306" i="2"/>
  <c r="E666" i="2"/>
  <c r="E265" i="2"/>
  <c r="E146" i="2"/>
  <c r="E1290" i="2"/>
  <c r="E359" i="2"/>
  <c r="E1083" i="2"/>
  <c r="E476" i="2"/>
  <c r="E260" i="2"/>
  <c r="E87" i="2"/>
  <c r="E1632" i="2"/>
  <c r="E1324" i="2"/>
  <c r="E1174" i="2"/>
  <c r="E778" i="2"/>
  <c r="E659" i="2"/>
  <c r="E1375" i="2"/>
  <c r="E1205" i="2"/>
  <c r="E272" i="2"/>
  <c r="E125" i="2"/>
  <c r="E1685" i="2"/>
  <c r="E811" i="2"/>
  <c r="E1918" i="2"/>
  <c r="E1677" i="2"/>
  <c r="E1692" i="2"/>
  <c r="E1135" i="2"/>
  <c r="E371" i="2"/>
  <c r="E1025" i="2"/>
  <c r="E1119" i="2"/>
  <c r="E1656" i="2"/>
  <c r="E1407" i="2"/>
  <c r="E722" i="2"/>
  <c r="E564" i="2"/>
  <c r="E1396" i="2"/>
  <c r="E1163" i="2"/>
  <c r="E1093" i="2"/>
  <c r="E1206" i="2"/>
  <c r="E455" i="2"/>
  <c r="E1281" i="2"/>
  <c r="E1623" i="2"/>
  <c r="E1236" i="2"/>
  <c r="E1229" i="2"/>
  <c r="E793" i="2"/>
  <c r="E837" i="2"/>
  <c r="E687" i="2"/>
  <c r="E1759" i="2"/>
  <c r="E1323" i="2"/>
  <c r="E758" i="2"/>
  <c r="E1110" i="2"/>
  <c r="E1056" i="2"/>
  <c r="E991" i="2"/>
  <c r="E1262" i="2"/>
  <c r="E389" i="2"/>
  <c r="E343" i="2"/>
  <c r="E1084" i="2"/>
  <c r="E169" i="2"/>
  <c r="E1609" i="2"/>
  <c r="E1003" i="2"/>
  <c r="E1010" i="2"/>
  <c r="E232" i="2"/>
  <c r="E649" i="2"/>
  <c r="E381" i="2"/>
  <c r="E1532" i="2"/>
  <c r="E372" i="2"/>
  <c r="E145" i="2"/>
  <c r="E1064" i="2"/>
  <c r="E1237" i="2"/>
  <c r="E1039" i="2"/>
  <c r="E1765" i="2"/>
  <c r="E716" i="2"/>
  <c r="E1452" i="2"/>
  <c r="E1803" i="2"/>
  <c r="E452" i="2"/>
  <c r="E1865" i="2"/>
  <c r="E855" i="2"/>
  <c r="E1318" i="2"/>
  <c r="E889" i="2"/>
  <c r="E639" i="2"/>
  <c r="E1477" i="2"/>
  <c r="E1052" i="2"/>
  <c r="E1422" i="2"/>
  <c r="E904" i="2"/>
  <c r="E852" i="2"/>
  <c r="E274" i="2"/>
  <c r="E1560" i="2"/>
  <c r="E1344" i="2"/>
  <c r="E846" i="2"/>
  <c r="E632" i="2"/>
  <c r="E781" i="2"/>
  <c r="E850" i="2"/>
  <c r="E616" i="2"/>
  <c r="E1565" i="2"/>
  <c r="E354" i="2"/>
  <c r="E548" i="2"/>
  <c r="E1291" i="2"/>
  <c r="E648" i="2"/>
  <c r="E1880" i="2"/>
  <c r="E929" i="2"/>
  <c r="E783" i="2"/>
  <c r="E972" i="2"/>
  <c r="E1320" i="2"/>
  <c r="E1450" i="2"/>
  <c r="E1041" i="2"/>
  <c r="E1872" i="2"/>
  <c r="E699" i="2"/>
  <c r="E617" i="2"/>
  <c r="E313" i="2"/>
  <c r="E1591" i="2"/>
  <c r="E1390" i="2"/>
  <c r="E11" i="2"/>
  <c r="E1413" i="2"/>
  <c r="E1854" i="2"/>
  <c r="E429" i="2"/>
  <c r="E739" i="2"/>
  <c r="E1825" i="2"/>
  <c r="E108" i="2"/>
  <c r="E340" i="2"/>
  <c r="E90" i="2"/>
  <c r="E509" i="2"/>
  <c r="E69" i="2"/>
  <c r="E405" i="2"/>
  <c r="E1075" i="2"/>
  <c r="E263" i="2"/>
  <c r="E845" i="2"/>
  <c r="E603" i="2"/>
  <c r="E225" i="2"/>
  <c r="E570" i="2"/>
  <c r="E1891" i="2"/>
  <c r="E1508" i="2"/>
  <c r="E1468" i="2"/>
  <c r="E754" i="2"/>
  <c r="E217" i="2"/>
  <c r="E516" i="2"/>
  <c r="E256" i="2"/>
  <c r="E1276" i="2"/>
  <c r="E1819" i="2"/>
  <c r="E35" i="2"/>
  <c r="E1312" i="2"/>
  <c r="E1045" i="2"/>
  <c r="E1021" i="2"/>
  <c r="E230" i="2"/>
  <c r="E437" i="2"/>
  <c r="E1028" i="2"/>
  <c r="E1883" i="2"/>
  <c r="E1657" i="2"/>
  <c r="E1548" i="2"/>
  <c r="E1686" i="2"/>
  <c r="E1016" i="2"/>
  <c r="E1705" i="2"/>
  <c r="E335" i="2"/>
  <c r="E969" i="2"/>
  <c r="E1446" i="2"/>
  <c r="E88" i="2"/>
  <c r="E822" i="2"/>
  <c r="E1238" i="2"/>
  <c r="E1435" i="2"/>
  <c r="E1200" i="2"/>
  <c r="E571" i="2"/>
  <c r="E436" i="2"/>
  <c r="E948" i="2"/>
  <c r="E1297" i="2"/>
  <c r="E1703" i="2"/>
  <c r="E179" i="2"/>
  <c r="E1606" i="2"/>
  <c r="E1004" i="2"/>
  <c r="E376" i="2"/>
  <c r="E1787" i="2"/>
  <c r="E1412" i="2"/>
  <c r="E1357" i="2"/>
  <c r="E1916" i="2"/>
  <c r="E1061" i="2"/>
  <c r="E292" i="2"/>
  <c r="E188" i="2"/>
  <c r="E532" i="2"/>
  <c r="E1688" i="2"/>
  <c r="E456" i="2"/>
  <c r="E1566" i="2"/>
  <c r="E831" i="2"/>
  <c r="E1062" i="2"/>
  <c r="E511" i="2"/>
  <c r="E251" i="2"/>
  <c r="E464" i="2"/>
  <c r="E864" i="2"/>
  <c r="E1147" i="2"/>
  <c r="E204" i="2"/>
  <c r="E484" i="2"/>
  <c r="E673" i="2"/>
  <c r="E1224" i="2"/>
  <c r="E731" i="2"/>
  <c r="E1715" i="2"/>
  <c r="E1225" i="2"/>
  <c r="E950" i="2"/>
  <c r="E1926" i="2"/>
  <c r="E1251" i="2"/>
  <c r="E678" i="2"/>
  <c r="E1340" i="2"/>
  <c r="E1126" i="2"/>
  <c r="E604" i="2"/>
  <c r="E1005" i="2"/>
  <c r="E1461" i="2"/>
  <c r="E22" i="2"/>
  <c r="E199" i="2"/>
  <c r="E1038" i="2"/>
  <c r="E1136" i="2"/>
  <c r="E1834" i="2"/>
  <c r="E853" i="2"/>
  <c r="E363" i="2"/>
  <c r="E1718" i="2"/>
  <c r="E1219" i="2"/>
  <c r="E418" i="2"/>
  <c r="E494" i="2"/>
  <c r="E1076" i="2"/>
  <c r="E4" i="2"/>
  <c r="E959" i="2"/>
  <c r="E803" i="2"/>
  <c r="E1527" i="2"/>
  <c r="E910" i="2"/>
  <c r="E880" i="2"/>
  <c r="E106" i="2"/>
  <c r="E964" i="2"/>
  <c r="E669" i="2"/>
  <c r="E1522" i="2"/>
  <c r="E138" i="2"/>
  <c r="E962" i="2"/>
  <c r="E558" i="2"/>
  <c r="E157" i="2"/>
  <c r="E1464" i="2"/>
  <c r="E1456" i="2"/>
  <c r="E507" i="2"/>
  <c r="E97" i="2"/>
  <c r="E650" i="2"/>
  <c r="E1332" i="2"/>
  <c r="E992" i="2"/>
  <c r="E994" i="2"/>
  <c r="E139" i="2"/>
  <c r="E161" i="2"/>
  <c r="E76" i="2"/>
  <c r="E1378" i="2"/>
  <c r="E295" i="2"/>
  <c r="E296" i="2"/>
  <c r="E1664" i="2"/>
  <c r="E1624" i="2"/>
  <c r="E314" i="2"/>
  <c r="E132" i="2"/>
  <c r="E1855" i="2"/>
  <c r="E1171" i="2"/>
  <c r="E1194" i="2"/>
  <c r="E1594" i="2"/>
  <c r="E1716" i="2"/>
  <c r="E1095" i="2"/>
  <c r="E1196" i="2"/>
  <c r="E17" i="2"/>
  <c r="E1913" i="2"/>
  <c r="E1158" i="2"/>
  <c r="E690" i="2"/>
  <c r="E110" i="2"/>
  <c r="E714" i="2"/>
  <c r="E1572" i="2"/>
  <c r="E1011" i="2"/>
  <c r="E432" i="2"/>
  <c r="E543" i="2"/>
  <c r="E983" i="2"/>
  <c r="E305" i="2"/>
  <c r="E1401" i="2"/>
  <c r="E1137" i="2"/>
  <c r="E1144" i="2"/>
  <c r="E857" i="2"/>
  <c r="E629" i="2"/>
  <c r="E1914" i="2"/>
  <c r="E495" i="2"/>
  <c r="E1669" i="2"/>
  <c r="E1420" i="2"/>
  <c r="E1497" i="2"/>
  <c r="E1307" i="2"/>
  <c r="E633" i="2"/>
  <c r="E976" i="2"/>
  <c r="E379" i="2"/>
  <c r="E453" i="2"/>
  <c r="E1833" i="2"/>
  <c r="E893" i="2"/>
  <c r="E806" i="2"/>
  <c r="E865" i="2"/>
  <c r="E457" i="2"/>
  <c r="E653" i="2"/>
  <c r="E1852" i="2"/>
  <c r="E729" i="2"/>
  <c r="E390" i="2"/>
  <c r="E431" i="2"/>
  <c r="E215" i="2"/>
  <c r="E207" i="2"/>
  <c r="E1935" i="2"/>
  <c r="E501" i="2"/>
  <c r="E498" i="2"/>
  <c r="E270" i="2"/>
  <c r="E565" i="2"/>
  <c r="E735" i="2"/>
  <c r="E458" i="2"/>
  <c r="E1817" i="2"/>
  <c r="E1364" i="2"/>
  <c r="E58" i="2"/>
  <c r="E1330" i="2"/>
  <c r="E1894" i="2"/>
  <c r="E1397" i="2"/>
  <c r="E1896" i="2"/>
  <c r="E262" i="2"/>
  <c r="E1630" i="2"/>
  <c r="E680" i="2"/>
  <c r="E1697" i="2"/>
  <c r="E156" i="2"/>
  <c r="E1770" i="2"/>
  <c r="E15" i="2"/>
  <c r="E1373" i="2"/>
  <c r="E116" i="2"/>
  <c r="E1103" i="2"/>
  <c r="E1899" i="2"/>
  <c r="E423" i="2"/>
  <c r="E984" i="2"/>
  <c r="E1419" i="2"/>
  <c r="E1345" i="2"/>
  <c r="E1743" i="2"/>
  <c r="E1072" i="2"/>
  <c r="E481" i="2"/>
  <c r="E611" i="2"/>
  <c r="E311" i="2"/>
  <c r="E194" i="2"/>
  <c r="E1804" i="2"/>
  <c r="E726" i="2"/>
  <c r="E1741" i="2"/>
  <c r="E1789" i="2"/>
  <c r="E634" i="2"/>
  <c r="E1511" i="2"/>
  <c r="E1207" i="2"/>
  <c r="E827" i="2"/>
  <c r="E1861" i="2"/>
  <c r="E1308" i="2"/>
  <c r="E1588" i="2"/>
  <c r="E317" i="2"/>
  <c r="E1889" i="2"/>
  <c r="E373" i="2"/>
  <c r="E504" i="2"/>
  <c r="E1904" i="2"/>
  <c r="E1911" i="2"/>
  <c r="E1550" i="2"/>
  <c r="E74" i="2"/>
  <c r="E419" i="2"/>
  <c r="E2" i="2"/>
  <c r="E502" i="2"/>
  <c r="E554" i="2"/>
  <c r="E93" i="2"/>
  <c r="E921" i="2"/>
  <c r="E288" i="2"/>
  <c r="E1760" i="2"/>
  <c r="E765" i="2"/>
  <c r="E1164" i="2"/>
  <c r="E1100" i="2"/>
  <c r="E449" i="2"/>
  <c r="E911" i="2"/>
  <c r="E656" i="2"/>
  <c r="E462" i="2"/>
  <c r="E870" i="2"/>
  <c r="E235" i="2"/>
  <c r="E212" i="2"/>
  <c r="E1933" i="2"/>
  <c r="E988" i="2"/>
  <c r="E1381" i="2"/>
  <c r="E1520" i="2"/>
  <c r="E1386" i="2"/>
  <c r="E1277" i="2"/>
  <c r="E1534" i="2"/>
  <c r="E1528" i="2"/>
  <c r="E52" i="2"/>
  <c r="E377" i="2"/>
  <c r="E25" i="2"/>
  <c r="E327" i="2"/>
  <c r="E711" i="2"/>
  <c r="E1379" i="2"/>
  <c r="E191" i="2"/>
  <c r="E337" i="2"/>
  <c r="E1358" i="2"/>
  <c r="E1362" i="2"/>
  <c r="E1077" i="2"/>
  <c r="E1465" i="2"/>
  <c r="E19" i="2"/>
  <c r="E519" i="2"/>
  <c r="E881" i="2"/>
  <c r="E6" i="2"/>
  <c r="E479" i="2"/>
  <c r="E1644" i="2"/>
  <c r="E1391" i="2"/>
  <c r="E1482" i="2"/>
  <c r="E572" i="2"/>
  <c r="E734" i="2"/>
  <c r="E1788" i="2"/>
  <c r="E832" i="2"/>
  <c r="E1638" i="2"/>
  <c r="E1331" i="2"/>
  <c r="E438" i="2"/>
  <c r="E579" i="2"/>
  <c r="E1790" i="2"/>
  <c r="E1495" i="2"/>
  <c r="E1250" i="2"/>
  <c r="E1263" i="2"/>
  <c r="E224" i="2"/>
  <c r="E897" i="2"/>
  <c r="E13" i="2"/>
  <c r="E1214" i="2"/>
  <c r="E1772" i="2"/>
  <c r="E1087" i="2"/>
  <c r="E1727" i="2"/>
  <c r="E1822" i="2"/>
  <c r="E1022" i="2"/>
  <c r="E1905" i="2"/>
  <c r="E715" i="2"/>
  <c r="E1847" i="2"/>
  <c r="E1475" i="2"/>
  <c r="E1722" i="2"/>
  <c r="E592" i="2"/>
  <c r="E471" i="2"/>
  <c r="E799" i="2"/>
  <c r="E919" i="2"/>
  <c r="E1751" i="2"/>
  <c r="E308" i="2"/>
  <c r="E900" i="2"/>
  <c r="E723" i="2"/>
  <c r="E1012" i="2"/>
  <c r="E367" i="2"/>
  <c r="E1901" i="2"/>
  <c r="E1558" i="2"/>
  <c r="E1042" i="2"/>
  <c r="E491" i="2"/>
  <c r="E1252" i="2"/>
  <c r="E1221" i="2"/>
  <c r="E1483" i="2"/>
  <c r="E283" i="2"/>
  <c r="E807" i="2"/>
  <c r="E636" i="2"/>
  <c r="E434" i="2"/>
  <c r="E130" i="2"/>
  <c r="E1029" i="2"/>
  <c r="E284" i="2"/>
  <c r="E1646" i="2"/>
  <c r="E186" i="2"/>
  <c r="E1208" i="2"/>
  <c r="E151" i="2"/>
  <c r="E388" i="2"/>
  <c r="E836" i="2"/>
  <c r="E45" i="2"/>
  <c r="E187" i="2"/>
  <c r="E1836" i="2"/>
  <c r="E245" i="2"/>
  <c r="E513" i="2"/>
  <c r="E492" i="2"/>
  <c r="E1753" i="2"/>
  <c r="E944" i="2"/>
  <c r="E1377" i="2"/>
  <c r="E1082" i="2"/>
  <c r="E459" i="2"/>
  <c r="E774" i="2"/>
  <c r="E924" i="2"/>
  <c r="E428" i="2"/>
  <c r="E1043" i="2"/>
  <c r="E473" i="2"/>
  <c r="E1693" i="2"/>
  <c r="E46" i="2"/>
  <c r="E1165" i="2"/>
  <c r="E593" i="2"/>
  <c r="E1157" i="2"/>
  <c r="E956" i="2"/>
  <c r="E1211" i="2"/>
  <c r="E271" i="2"/>
  <c r="E1870" i="2"/>
  <c r="E1485" i="2"/>
  <c r="E1181" i="2"/>
  <c r="E1649" i="2"/>
  <c r="E1069" i="2"/>
  <c r="E1694" i="2"/>
  <c r="E182" i="2"/>
  <c r="E341" i="2"/>
  <c r="E618" i="2"/>
  <c r="E696" i="2"/>
  <c r="E755" i="2"/>
  <c r="E1596" i="2"/>
  <c r="E275" i="2"/>
  <c r="E751" i="2"/>
  <c r="E1249" i="2"/>
  <c r="E1526" i="2"/>
  <c r="E1805" i="2"/>
  <c r="E315" i="2"/>
  <c r="E1843" i="2"/>
  <c r="E1515" i="2"/>
  <c r="E989" i="2"/>
  <c r="E285" i="2"/>
  <c r="E84" i="2"/>
  <c r="E913" i="2"/>
  <c r="E640" i="2"/>
  <c r="E1138" i="2"/>
  <c r="E1355" i="2"/>
  <c r="E1125" i="2"/>
  <c r="E1314" i="2"/>
  <c r="E210" i="2"/>
  <c r="E732" i="2"/>
  <c r="E1612" i="2"/>
  <c r="E682" i="2"/>
  <c r="E101" i="2"/>
  <c r="E158" i="2"/>
  <c r="E269" i="2"/>
  <c r="E203" i="2"/>
  <c r="E876" i="2"/>
  <c r="E743" i="2"/>
  <c r="E536" i="2"/>
  <c r="E1654" i="2"/>
  <c r="E1826" i="2"/>
  <c r="E1203" i="2"/>
  <c r="E643" i="2"/>
  <c r="E412" i="2"/>
  <c r="E884" i="2"/>
  <c r="E1139" i="2"/>
  <c r="E1341" i="2"/>
  <c r="E1745" i="2"/>
  <c r="E918" i="2"/>
  <c r="E1197" i="2"/>
  <c r="E525" i="2"/>
  <c r="E1932" i="2"/>
  <c r="E1580" i="2"/>
  <c r="E651" i="2"/>
  <c r="E1427" i="2"/>
  <c r="E338" i="2"/>
  <c r="E1544" i="2"/>
  <c r="E1120" i="2"/>
  <c r="E1057" i="2"/>
  <c r="E1564" i="2"/>
  <c r="E1927" i="2"/>
  <c r="E192" i="2"/>
  <c r="E908" i="2"/>
  <c r="E1936" i="2"/>
  <c r="E48" i="2"/>
  <c r="E1484" i="2"/>
  <c r="E1469" i="2"/>
  <c r="E1628" i="2"/>
  <c r="E1424" i="2"/>
  <c r="E957" i="2"/>
  <c r="E1085" i="2"/>
  <c r="E1030" i="2"/>
  <c r="E961" i="2"/>
  <c r="E1239" i="2"/>
  <c r="E1583" i="2"/>
  <c r="E1824" i="2"/>
  <c r="E505" i="2"/>
  <c r="E670" i="2"/>
  <c r="E738" i="2"/>
  <c r="E1500" i="2"/>
  <c r="E1491" i="2"/>
  <c r="E860" i="2"/>
  <c r="E1168" i="2"/>
  <c r="E790" i="2"/>
  <c r="E1255" i="2"/>
  <c r="E1044" i="2"/>
  <c r="E986" i="2"/>
  <c r="E1414" i="2"/>
  <c r="E1610" i="2"/>
  <c r="E1757" i="2"/>
  <c r="E1807" i="2"/>
  <c r="E358" i="2"/>
  <c r="E1073" i="2"/>
  <c r="E1058" i="2"/>
  <c r="E912" i="2"/>
  <c r="E1352" i="2"/>
  <c r="E1734" i="2"/>
  <c r="E47" i="2"/>
  <c r="E170" i="2"/>
  <c r="E26" i="2"/>
  <c r="E1478" i="2"/>
  <c r="E1309" i="2"/>
  <c r="E1756" i="2"/>
  <c r="E1264" i="2"/>
  <c r="E1204" i="2"/>
  <c r="E1749" i="2"/>
  <c r="E930" i="2"/>
  <c r="E892" i="2"/>
  <c r="E1267" i="2"/>
  <c r="E350" i="2"/>
  <c r="E859" i="2"/>
  <c r="E410" i="2"/>
  <c r="E1633" i="2"/>
  <c r="E1321" i="2"/>
  <c r="E92" i="2"/>
  <c r="E1676" i="2"/>
  <c r="E756" i="2"/>
  <c r="E815" i="2"/>
  <c r="E1860" i="2"/>
  <c r="E537" i="2"/>
  <c r="E105" i="2"/>
  <c r="E399" i="2"/>
  <c r="E923" i="2"/>
  <c r="E206" i="2"/>
  <c r="E115" i="2"/>
  <c r="E763" i="2"/>
  <c r="E1619" i="2"/>
  <c r="E1589" i="2"/>
  <c r="E1663" i="2"/>
  <c r="E368" i="2"/>
  <c r="E1731" i="2"/>
  <c r="E624" i="2"/>
  <c r="E945" i="2"/>
  <c r="E1246" i="2"/>
  <c r="E658" i="2"/>
  <c r="E382" i="2"/>
  <c r="E882" i="2"/>
  <c r="E1256" i="2"/>
  <c r="E1929" i="2"/>
  <c r="E1096" i="2"/>
  <c r="E1679" i="2"/>
  <c r="E302" i="2"/>
  <c r="E526" i="2"/>
  <c r="E1839" i="2"/>
  <c r="E987" i="2"/>
  <c r="E1670" i="2"/>
  <c r="E724" i="2"/>
  <c r="E1031" i="2"/>
  <c r="E676" i="2"/>
  <c r="E257" i="2"/>
  <c r="E1573" i="2"/>
  <c r="E96" i="2"/>
  <c r="E768" i="2"/>
  <c r="E804" i="2"/>
  <c r="E657" i="2"/>
  <c r="E1786" i="2"/>
  <c r="E1104" i="2"/>
  <c r="E1033" i="2"/>
  <c r="E1026" i="2"/>
  <c r="E652" i="2"/>
  <c r="E193" i="2"/>
  <c r="E993" i="2"/>
  <c r="E1902" i="2"/>
  <c r="E1310" i="2"/>
  <c r="E172" i="2"/>
  <c r="E20" i="2"/>
  <c r="E1590" i="2"/>
  <c r="E460" i="2"/>
  <c r="E1342" i="2"/>
  <c r="E901" i="2"/>
  <c r="E1436" i="2"/>
  <c r="E1714" i="2"/>
  <c r="E1553" i="2"/>
  <c r="E946" i="2"/>
  <c r="E433" i="2"/>
  <c r="E267" i="2"/>
  <c r="E1209" i="2"/>
  <c r="E211" i="2"/>
  <c r="E641" i="2"/>
  <c r="E416" i="2"/>
  <c r="E1234" i="2"/>
  <c r="E44" i="2"/>
  <c r="E1155" i="2"/>
  <c r="E1625" i="2"/>
  <c r="E259" i="2"/>
  <c r="E1405" i="2"/>
  <c r="E442" i="2"/>
  <c r="E387" i="2"/>
  <c r="E661" i="2"/>
  <c r="E49" i="2"/>
  <c r="E709" i="2"/>
  <c r="E1552" i="2"/>
  <c r="E1013" i="2"/>
  <c r="E1455" i="2"/>
  <c r="E1680" i="2"/>
  <c r="E550" i="2"/>
  <c r="E1230" i="2"/>
  <c r="E264" i="2"/>
  <c r="E773" i="2"/>
  <c r="E1867" i="2"/>
  <c r="E1794" i="2"/>
  <c r="E1719" i="2"/>
  <c r="E1931" i="2"/>
  <c r="E1322" i="2"/>
  <c r="E384" i="2"/>
  <c r="E440" i="2"/>
  <c r="E1121" i="2"/>
  <c r="E1094" i="2"/>
  <c r="E660" i="2"/>
  <c r="E450" i="2"/>
  <c r="E63" i="2"/>
  <c r="E933" i="2"/>
  <c r="E1059" i="2"/>
  <c r="E1724" i="2"/>
  <c r="E277" i="2"/>
  <c r="E1140" i="2"/>
  <c r="E1557" i="2"/>
  <c r="E663" i="2"/>
  <c r="E1247" i="2"/>
  <c r="E867" i="2"/>
  <c r="E360" i="2"/>
  <c r="E594" i="2"/>
  <c r="E316" i="2"/>
  <c r="E694" i="2"/>
  <c r="E737" i="2"/>
  <c r="E435" i="2"/>
  <c r="E1380" i="2"/>
  <c r="E1383" i="2"/>
  <c r="E1614" i="2"/>
  <c r="E1153" i="2"/>
  <c r="E619" i="2"/>
  <c r="E1643" i="2"/>
  <c r="E1830" i="2"/>
  <c r="E1585" i="2"/>
  <c r="E1479" i="2"/>
  <c r="E298" i="2"/>
  <c r="E1374" i="2"/>
  <c r="E1105" i="2"/>
  <c r="E1034" i="2"/>
  <c r="E1385" i="2"/>
  <c r="E1078" i="2"/>
  <c r="E1462" i="2"/>
  <c r="E963" i="2"/>
  <c r="E838" i="2"/>
  <c r="E253" i="2"/>
  <c r="E1498" i="2"/>
  <c r="E843" i="2"/>
  <c r="E1506" i="2"/>
  <c r="E1494" i="2"/>
  <c r="E1265" i="2"/>
  <c r="E1175" i="2"/>
  <c r="E250" i="2"/>
  <c r="E1539" i="2"/>
  <c r="E979" i="2"/>
  <c r="E1618" i="2"/>
  <c r="E1659" i="2"/>
  <c r="E1210" i="2"/>
  <c r="E297" i="2"/>
  <c r="E538" i="2"/>
  <c r="E1278" i="2"/>
  <c r="E238" i="2"/>
  <c r="E1449" i="2"/>
  <c r="E1014" i="2"/>
  <c r="E1101" i="2"/>
  <c r="E1856" i="2"/>
  <c r="E1766" i="2"/>
  <c r="E1335" i="2"/>
  <c r="E982" i="2"/>
  <c r="E575" i="2"/>
  <c r="E1360" i="2"/>
  <c r="E306" i="2"/>
  <c r="E1311" i="2"/>
  <c r="E508" i="2"/>
  <c r="E795" i="2"/>
  <c r="E788" i="2"/>
  <c r="E333" i="2"/>
  <c r="E1888" i="2"/>
  <c r="E1395" i="2"/>
  <c r="E1141" i="2"/>
  <c r="E1106" i="2"/>
  <c r="E1512" i="2"/>
  <c r="E85" i="2"/>
  <c r="E220" i="2"/>
  <c r="E201" i="2"/>
  <c r="E1220" i="2"/>
  <c r="E1570" i="2"/>
  <c r="E951" i="2"/>
  <c r="E887" i="2"/>
  <c r="E247" i="2"/>
  <c r="E764" i="2"/>
  <c r="E1869" i="2"/>
  <c r="E821" i="2"/>
  <c r="E886" i="2"/>
  <c r="E1709" i="2"/>
  <c r="E1754" i="2"/>
  <c r="E468" i="2"/>
  <c r="E383" i="2"/>
  <c r="E1762" i="2"/>
  <c r="E805" i="2"/>
  <c r="E981" i="2"/>
  <c r="E1400" i="2"/>
  <c r="E1023" i="2"/>
  <c r="E1017" i="2"/>
  <c r="E1791" i="2"/>
  <c r="E380" i="2"/>
  <c r="E791" i="2"/>
  <c r="E1406" i="2"/>
  <c r="E355" i="2"/>
  <c r="E1447" i="2"/>
  <c r="E213" i="2"/>
  <c r="E1460" i="2"/>
  <c r="E968" i="2"/>
  <c r="E1079" i="2"/>
  <c r="E1359" i="2"/>
  <c r="E329" i="2"/>
  <c r="E483" i="2"/>
  <c r="E1510" i="2"/>
  <c r="E671" i="2"/>
  <c r="E1370" i="2"/>
  <c r="E512" i="2"/>
  <c r="E1006" i="2"/>
  <c r="E896" i="2"/>
  <c r="E469" i="2"/>
  <c r="E233" i="2"/>
  <c r="E175" i="2"/>
  <c r="E73" i="5" l="1"/>
  <c r="T61" i="1"/>
  <c r="AB65" i="1"/>
  <c r="K77" i="5"/>
  <c r="E75" i="5"/>
  <c r="T63" i="1"/>
  <c r="K72" i="5"/>
  <c r="AB60" i="1"/>
  <c r="AB62" i="1"/>
  <c r="K74" i="5"/>
  <c r="E69" i="5"/>
  <c r="T57" i="1"/>
  <c r="K71" i="5"/>
  <c r="AB59" i="1"/>
  <c r="E74" i="5"/>
  <c r="T62" i="1"/>
  <c r="AB64" i="1"/>
  <c r="K76" i="5"/>
  <c r="E72" i="5"/>
  <c r="T60" i="1"/>
  <c r="AB61" i="1"/>
  <c r="K73" i="5"/>
  <c r="AB63" i="1"/>
  <c r="K75" i="5"/>
  <c r="E78" i="5"/>
  <c r="T66" i="1"/>
  <c r="E76" i="5"/>
  <c r="T64" i="1"/>
  <c r="E70" i="5"/>
  <c r="T58" i="1"/>
  <c r="AB57" i="1"/>
  <c r="K69" i="5"/>
  <c r="E71" i="5"/>
  <c r="T59" i="1"/>
  <c r="AB66" i="1"/>
  <c r="K78" i="5"/>
  <c r="AB58" i="1"/>
  <c r="K70" i="5"/>
  <c r="E77" i="5"/>
  <c r="T65" i="1"/>
  <c r="J8" i="5" a="1"/>
  <c r="J8" i="5" s="1"/>
  <c r="J9" i="5" a="1"/>
  <c r="J9" i="5" s="1"/>
  <c r="J10" i="5" a="1"/>
  <c r="J10" i="5" s="1"/>
  <c r="J11" i="5" a="1"/>
  <c r="J11" i="5" s="1"/>
  <c r="J12" i="5" a="1"/>
  <c r="J1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5E2E7AA-3F8E-4755-9C34-CEC610434426}" keepAlive="1" name="Consulta - datos_limpios" description="Conexión a la consulta 'datos_limpios' en el libro." type="5" refreshedVersion="8" background="1" saveData="1">
    <dbPr connection="Provider=Microsoft.Mashup.OleDb.1;Data Source=$Workbook$;Location=datos_limpios;Extended Properties=&quot;&quot;" command="SELECT * FROM [datos_limpios]"/>
  </connection>
  <connection id="2" xr16:uid="{240D4F38-A11F-41DC-80B5-DC4F1937C7EA}" keepAlive="1" name="Consulta - datos_limpios (2)" description="Conexión a la consulta 'datos_limpios (2)' en el libro." type="5" refreshedVersion="8" background="1" saveData="1">
    <dbPr connection="Provider=Microsoft.Mashup.OleDb.1;Data Source=$Workbook$;Location=&quot;datos_limpios (2)&quot;;Extended Properties=&quot;&quot;" command="SELECT * FROM [datos_limpio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<sst xmlns="http://schemas.openxmlformats.org/spreadsheetml/2006/main" count="13800" uniqueCount="1561">
  <si>
    <t xml:space="preserve">Make          </t>
  </si>
  <si>
    <t xml:space="preserve">Model                                              </t>
  </si>
  <si>
    <t xml:space="preserve">Year </t>
  </si>
  <si>
    <t xml:space="preserve">Kilometer </t>
  </si>
  <si>
    <t xml:space="preserve">Fuel Type    </t>
  </si>
  <si>
    <t xml:space="preserve">Transmission </t>
  </si>
  <si>
    <t xml:space="preserve">Color  </t>
  </si>
  <si>
    <t xml:space="preserve">Engine  </t>
  </si>
  <si>
    <t xml:space="preserve">Max Power           </t>
  </si>
  <si>
    <t xml:space="preserve">Seating Capacity </t>
  </si>
  <si>
    <t xml:space="preserve">Honda         </t>
  </si>
  <si>
    <t xml:space="preserve">Amaze 1.2 VX i-VTEC                                </t>
  </si>
  <si>
    <t xml:space="preserve">Petrol       </t>
  </si>
  <si>
    <t xml:space="preserve">Manual       </t>
  </si>
  <si>
    <t xml:space="preserve">Grey   </t>
  </si>
  <si>
    <t xml:space="preserve">1198 cc </t>
  </si>
  <si>
    <t xml:space="preserve">87 bhp @ 6000 rpm   </t>
  </si>
  <si>
    <t xml:space="preserve">Maruti Suzuki </t>
  </si>
  <si>
    <t xml:space="preserve">Swift DZire VDI                                    </t>
  </si>
  <si>
    <t xml:space="preserve">Diesel       </t>
  </si>
  <si>
    <t xml:space="preserve">White  </t>
  </si>
  <si>
    <t xml:space="preserve">1248 cc </t>
  </si>
  <si>
    <t xml:space="preserve">74 bhp @ 4000 rpm   </t>
  </si>
  <si>
    <t xml:space="preserve">Hyundai       </t>
  </si>
  <si>
    <t xml:space="preserve">i10 Magna 1.2 Kappa2                               </t>
  </si>
  <si>
    <t xml:space="preserve">Maroon </t>
  </si>
  <si>
    <t xml:space="preserve">1197 cc </t>
  </si>
  <si>
    <t xml:space="preserve">79 bhp @ 6000 rpm   </t>
  </si>
  <si>
    <t xml:space="preserve">Toyota        </t>
  </si>
  <si>
    <t xml:space="preserve">Glanza G                                           </t>
  </si>
  <si>
    <t xml:space="preserve">Red    </t>
  </si>
  <si>
    <t xml:space="preserve">82 bhp @ 6000 rpm   </t>
  </si>
  <si>
    <t xml:space="preserve">Innova 2.4 VX 7 STR [2016-2020]                    </t>
  </si>
  <si>
    <t xml:space="preserve">2393 cc </t>
  </si>
  <si>
    <t xml:space="preserve">148 bhp @ 3400 rpm  </t>
  </si>
  <si>
    <t xml:space="preserve">Ciaz ZXi                                           </t>
  </si>
  <si>
    <t xml:space="preserve">1373 cc </t>
  </si>
  <si>
    <t xml:space="preserve">91 bhp @ 6000 rpm   </t>
  </si>
  <si>
    <t xml:space="preserve">BMW           </t>
  </si>
  <si>
    <t xml:space="preserve">X1 xDrive20d M Sport                               </t>
  </si>
  <si>
    <t xml:space="preserve">Automatic    </t>
  </si>
  <si>
    <t xml:space="preserve">1995 cc </t>
  </si>
  <si>
    <t xml:space="preserve">188 bhp @ 4000 rpm  </t>
  </si>
  <si>
    <t xml:space="preserve">Skoda         </t>
  </si>
  <si>
    <t xml:space="preserve">Octavia 1.8 TSI Style Plus AT [2017]               </t>
  </si>
  <si>
    <t xml:space="preserve">1798 cc </t>
  </si>
  <si>
    <t xml:space="preserve">177 bhp @ 5100 rpm  </t>
  </si>
  <si>
    <t xml:space="preserve">Nissan        </t>
  </si>
  <si>
    <t xml:space="preserve">Terrano XL (D)                                     </t>
  </si>
  <si>
    <t xml:space="preserve">1461 cc </t>
  </si>
  <si>
    <t xml:space="preserve">84 bhp @ 3750 rpm   </t>
  </si>
  <si>
    <t xml:space="preserve">Elite i20 Sportz 1.2                               </t>
  </si>
  <si>
    <t xml:space="preserve">Renault       </t>
  </si>
  <si>
    <t xml:space="preserve">Kwid 1.0 RXT [2016-2019]                           </t>
  </si>
  <si>
    <t xml:space="preserve">999 cc  </t>
  </si>
  <si>
    <t xml:space="preserve">67 bhp @ 5500 rpm   </t>
  </si>
  <si>
    <t xml:space="preserve">Ciaz Alpha Hybrid 1.5 AT [2018-2020]               </t>
  </si>
  <si>
    <t xml:space="preserve">Blue   </t>
  </si>
  <si>
    <t xml:space="preserve">1462 cc </t>
  </si>
  <si>
    <t xml:space="preserve">103 bhp @ 6000 rpm  </t>
  </si>
  <si>
    <t xml:space="preserve">Tata          </t>
  </si>
  <si>
    <t xml:space="preserve">Harrier XZ [2019-2020]                             </t>
  </si>
  <si>
    <t xml:space="preserve">Orange </t>
  </si>
  <si>
    <t xml:space="preserve">1956 cc </t>
  </si>
  <si>
    <t xml:space="preserve">138 bhp @ 3750 rpm  </t>
  </si>
  <si>
    <t xml:space="preserve">Volkswagen    </t>
  </si>
  <si>
    <t xml:space="preserve">Polo GT TSI                                        </t>
  </si>
  <si>
    <t xml:space="preserve">103 bhp @ 5000 rpm  </t>
  </si>
  <si>
    <t xml:space="preserve">Celerio ZXi AMT [2019-2020]                        </t>
  </si>
  <si>
    <t xml:space="preserve">998 cc  </t>
  </si>
  <si>
    <t xml:space="preserve">67 bhp @ 6000 rpm   </t>
  </si>
  <si>
    <t xml:space="preserve">Alto 800 LXi (O)                                   </t>
  </si>
  <si>
    <t xml:space="preserve">796 cc  </t>
  </si>
  <si>
    <t xml:space="preserve">47 bhp @ 6000 rpm   </t>
  </si>
  <si>
    <t xml:space="preserve">Baleno Alpha Automatic                             </t>
  </si>
  <si>
    <t xml:space="preserve">Wagon R ZXi 1.2 AMT                                </t>
  </si>
  <si>
    <t xml:space="preserve">Creta 1.6 E Petrol                                 </t>
  </si>
  <si>
    <t xml:space="preserve">Silver </t>
  </si>
  <si>
    <t xml:space="preserve">1591 cc </t>
  </si>
  <si>
    <t xml:space="preserve">122 bhp @ 6400 rpm  </t>
  </si>
  <si>
    <t xml:space="preserve">S-Presso VXi AMT                                   </t>
  </si>
  <si>
    <t xml:space="preserve">Vento Comfortline Petrol AT                        </t>
  </si>
  <si>
    <t xml:space="preserve">Brown  </t>
  </si>
  <si>
    <t xml:space="preserve">Santro Sportz AMT [2018-2020]                      </t>
  </si>
  <si>
    <t xml:space="preserve">1086 cc </t>
  </si>
  <si>
    <t xml:space="preserve">68 bhp @ 5500 rpm   </t>
  </si>
  <si>
    <t xml:space="preserve">Venue SX 1.0 (O) Petrol [2019-2020]                </t>
  </si>
  <si>
    <t xml:space="preserve">118 bhp @ 6000 rpm  </t>
  </si>
  <si>
    <t xml:space="preserve">Alto LXi CNG                                       </t>
  </si>
  <si>
    <t xml:space="preserve">CNG          </t>
  </si>
  <si>
    <t xml:space="preserve">58 bhp @ 6000 rpm   </t>
  </si>
  <si>
    <t xml:space="preserve">Ritz Zxi BS-IV                                     </t>
  </si>
  <si>
    <t xml:space="preserve">85 bhp @ 6000 rpm   </t>
  </si>
  <si>
    <t xml:space="preserve">Creta 1.6 SX Plus Petrol                           </t>
  </si>
  <si>
    <t xml:space="preserve">Brio V MT                                          </t>
  </si>
  <si>
    <t xml:space="preserve">Elite i20 Asta 1.2                                 </t>
  </si>
  <si>
    <t xml:space="preserve">WR-V VX MT Petrol                                  </t>
  </si>
  <si>
    <t xml:space="preserve">1199 cc </t>
  </si>
  <si>
    <t xml:space="preserve">89 bhp @ 6000 rpm   </t>
  </si>
  <si>
    <t xml:space="preserve">Venue SX 1.0 Turbo iMT                             </t>
  </si>
  <si>
    <t xml:space="preserve">Creta 1.6 SX Plus AT                               </t>
  </si>
  <si>
    <t xml:space="preserve">Black  </t>
  </si>
  <si>
    <t xml:space="preserve">1582 cc </t>
  </si>
  <si>
    <t xml:space="preserve">126 bhp @ 4000 rpm  </t>
  </si>
  <si>
    <t xml:space="preserve">Ford          </t>
  </si>
  <si>
    <t xml:space="preserve">Ecosport Titanium+ 1.0L EcoBoost                   </t>
  </si>
  <si>
    <t xml:space="preserve">124 bhp @ 6000 rpm  </t>
  </si>
  <si>
    <t xml:space="preserve">Santro GL (CNG)                                    </t>
  </si>
  <si>
    <t xml:space="preserve">62 bhp @ 5500 rpm   </t>
  </si>
  <si>
    <t xml:space="preserve">Tiago Revotron XE [2016-2019]                      </t>
  </si>
  <si>
    <t xml:space="preserve">84 bhp @ 6000 rpm   </t>
  </si>
  <si>
    <t xml:space="preserve">Tigor Revotorq XT                                  </t>
  </si>
  <si>
    <t xml:space="preserve">1047 cc </t>
  </si>
  <si>
    <t xml:space="preserve">69 bhp @ 4000 rpm   </t>
  </si>
  <si>
    <t xml:space="preserve">Innova 2.4 G 8 STR [2016-2017]                     </t>
  </si>
  <si>
    <t xml:space="preserve">Bronze </t>
  </si>
  <si>
    <t xml:space="preserve">Mercedes-Benz </t>
  </si>
  <si>
    <t xml:space="preserve">GLC 220 d Progressive                              </t>
  </si>
  <si>
    <t xml:space="preserve">2143 cc </t>
  </si>
  <si>
    <t xml:space="preserve">168 bhp @ 3000 rpm  </t>
  </si>
  <si>
    <t xml:space="preserve">Creta SX 1.6 CRDi (O)                              </t>
  </si>
  <si>
    <t xml:space="preserve">M-Class ML 250 CDI                                 </t>
  </si>
  <si>
    <t xml:space="preserve">203 bhp @ 4200 rpm  </t>
  </si>
  <si>
    <t xml:space="preserve">Corolla Altis VL AT Petrol                         </t>
  </si>
  <si>
    <t xml:space="preserve">138 bhp @ 6400 rpm  </t>
  </si>
  <si>
    <t xml:space="preserve">Audi          </t>
  </si>
  <si>
    <t xml:space="preserve">A4 2.0 TDI (177bhp) Premium Plus                   </t>
  </si>
  <si>
    <t xml:space="preserve">1968 cc </t>
  </si>
  <si>
    <t xml:space="preserve">177 bhp @ 4200 rpm  </t>
  </si>
  <si>
    <t xml:space="preserve">SLK-Class SLK 200 K                                </t>
  </si>
  <si>
    <t xml:space="preserve">1796 cc </t>
  </si>
  <si>
    <t xml:space="preserve">Gold   </t>
  </si>
  <si>
    <t xml:space="preserve">Mahindra      </t>
  </si>
  <si>
    <t xml:space="preserve">Thar CRDe 4x4 AC                                   </t>
  </si>
  <si>
    <t xml:space="preserve">2498 cc </t>
  </si>
  <si>
    <t xml:space="preserve">105 bhp @ 3800 rpm  </t>
  </si>
  <si>
    <t xml:space="preserve">Baleno Delta 1.2                                   </t>
  </si>
  <si>
    <t xml:space="preserve">83 bhp @ 6000 rpm   </t>
  </si>
  <si>
    <t xml:space="preserve">Celerio VXi AMT                                    </t>
  </si>
  <si>
    <t xml:space="preserve">Ciaz VDi SHVS                                      </t>
  </si>
  <si>
    <t xml:space="preserve">89 bhp @ 4000 rpm   </t>
  </si>
  <si>
    <t xml:space="preserve">Ciaz VXi                                           </t>
  </si>
  <si>
    <t xml:space="preserve">Creta SX Plus 1.6 AT CRDI                          </t>
  </si>
  <si>
    <t xml:space="preserve">Creta SX Plus 1.6  Petrol                          </t>
  </si>
  <si>
    <t xml:space="preserve">Kwid 1.0 RXT AMT Opt                               </t>
  </si>
  <si>
    <t xml:space="preserve">MG            </t>
  </si>
  <si>
    <t xml:space="preserve">Hector Sharp 2.0 Diesel [2019-2020]                </t>
  </si>
  <si>
    <t xml:space="preserve">169 bhp @ 3750 rpm  </t>
  </si>
  <si>
    <t xml:space="preserve">Tiago Revotron XZA [2017-2019]                     </t>
  </si>
  <si>
    <t xml:space="preserve">Innova 2.5 GX BS IV 7 STR                          </t>
  </si>
  <si>
    <t xml:space="preserve">2494 cc </t>
  </si>
  <si>
    <t xml:space="preserve">101 bhp @ 3600 rpm  </t>
  </si>
  <si>
    <t xml:space="preserve">X3 xDrive 20d Luxury Line [2018-2020]              </t>
  </si>
  <si>
    <t xml:space="preserve">190 bhp @ 4000 rpm  </t>
  </si>
  <si>
    <t xml:space="preserve">Jeep          </t>
  </si>
  <si>
    <t xml:space="preserve">Compass Limited Plus 2.0 Diesel 4x4 AT             </t>
  </si>
  <si>
    <t xml:space="preserve">171 bhp @ 3750 rpm  </t>
  </si>
  <si>
    <t xml:space="preserve">Scorpio SLE BS-IV                                  </t>
  </si>
  <si>
    <t xml:space="preserve">2179 cc </t>
  </si>
  <si>
    <t xml:space="preserve">120 bhp @ 4000 rpm  </t>
  </si>
  <si>
    <t xml:space="preserve">Brio S MT                                          </t>
  </si>
  <si>
    <t xml:space="preserve">3-Series 320i Luxury Line                          </t>
  </si>
  <si>
    <t xml:space="preserve">1998 cc </t>
  </si>
  <si>
    <t xml:space="preserve">181 bhp @ 5000 rpm  </t>
  </si>
  <si>
    <t xml:space="preserve">City V Petrol [2017-2019]                          </t>
  </si>
  <si>
    <t xml:space="preserve">1497 cc </t>
  </si>
  <si>
    <t xml:space="preserve">117 bhp @ 6600 rpm  </t>
  </si>
  <si>
    <t xml:space="preserve">Polo Highline1.2L (D)                              </t>
  </si>
  <si>
    <t xml:space="preserve">74 bhp @ 4200 rpm   </t>
  </si>
  <si>
    <t xml:space="preserve">Vitara Brezza ZXi Plus                             </t>
  </si>
  <si>
    <t xml:space="preserve">Eeco 7 STR [2019-2020]                             </t>
  </si>
  <si>
    <t xml:space="preserve">1196 cc </t>
  </si>
  <si>
    <t xml:space="preserve">73 bhp @ 6000 rpm   </t>
  </si>
  <si>
    <t xml:space="preserve">Grand i10 Asta AT 1.2 Kappa VTVT [2013-2016]       </t>
  </si>
  <si>
    <t xml:space="preserve">X3 xDrive20d                                       </t>
  </si>
  <si>
    <t xml:space="preserve">184 bhp @ 4000 rpm  </t>
  </si>
  <si>
    <t xml:space="preserve">Fortuner 2.8 4x2 AT [2016-2020]                    </t>
  </si>
  <si>
    <t xml:space="preserve">2755 cc </t>
  </si>
  <si>
    <t xml:space="preserve">174 bhp @ 3400 rpm  </t>
  </si>
  <si>
    <t xml:space="preserve">Civic 1.8S MT                                      </t>
  </si>
  <si>
    <t xml:space="preserve">1799 cc </t>
  </si>
  <si>
    <t xml:space="preserve">130 bhp @ 6300 rpm  </t>
  </si>
  <si>
    <t xml:space="preserve">Swift ZXi Plus AMT                                 </t>
  </si>
  <si>
    <t xml:space="preserve">Elite i20 Sportz 1.5 MT Diesel                     </t>
  </si>
  <si>
    <t xml:space="preserve">1493 cc </t>
  </si>
  <si>
    <t xml:space="preserve">99 bhp @ 4000 rpm   </t>
  </si>
  <si>
    <t xml:space="preserve">A3 35 TDI Technology + Sunroof                     </t>
  </si>
  <si>
    <t xml:space="preserve">141 bhp @ 3500 rpm  </t>
  </si>
  <si>
    <t xml:space="preserve">City V CVT Petrol [2017-2019]                      </t>
  </si>
  <si>
    <t xml:space="preserve">Figo Duratorq Diesel Titanium 1.4                  </t>
  </si>
  <si>
    <t xml:space="preserve">1399 cc </t>
  </si>
  <si>
    <t xml:space="preserve">68 bhp @ 4000 rpm   </t>
  </si>
  <si>
    <t xml:space="preserve">Jazz VX Petrol                                     </t>
  </si>
  <si>
    <t xml:space="preserve">Polo Highline1.2L (P)                              </t>
  </si>
  <si>
    <t xml:space="preserve">74 bhp @ 5400 rpm   </t>
  </si>
  <si>
    <t xml:space="preserve">Amaze 1.5 SX i-DTEC                                </t>
  </si>
  <si>
    <t xml:space="preserve">1498 cc </t>
  </si>
  <si>
    <t xml:space="preserve">99 bhp @ 3600 rpm   </t>
  </si>
  <si>
    <t xml:space="preserve">Camry 2.5L AT                                      </t>
  </si>
  <si>
    <t xml:space="preserve">179 bhp @ 6000 rpm  </t>
  </si>
  <si>
    <t xml:space="preserve">Thar LX 4-STR Hard Top Petrol AT                   </t>
  </si>
  <si>
    <t xml:space="preserve">1997 cc </t>
  </si>
  <si>
    <t xml:space="preserve">150 bhp @ 5000 rpm  </t>
  </si>
  <si>
    <t xml:space="preserve">C-Class 250 CDI Elegance                           </t>
  </si>
  <si>
    <t xml:space="preserve">Q3 35 TDI quattro Premium Plus                     </t>
  </si>
  <si>
    <t xml:space="preserve">184 bhp @ 3500 rpm  </t>
  </si>
  <si>
    <t xml:space="preserve">Baleno Sigma 1.2                                   </t>
  </si>
  <si>
    <t xml:space="preserve">X1 sDrive20d xLine                                 </t>
  </si>
  <si>
    <t xml:space="preserve">Baleno Zeta 1.2                                    </t>
  </si>
  <si>
    <t xml:space="preserve">Vento Comfortline Petrol                           </t>
  </si>
  <si>
    <t xml:space="preserve">1598 cc </t>
  </si>
  <si>
    <t xml:space="preserve">103 bhp @ 5250 rpm  </t>
  </si>
  <si>
    <t xml:space="preserve">C-Class 220 BlueEfficiency                         </t>
  </si>
  <si>
    <t xml:space="preserve">170 bhp @ 4200 rpm  </t>
  </si>
  <si>
    <t xml:space="preserve">Camry Hybrid                                       </t>
  </si>
  <si>
    <t xml:space="preserve">202 bhp @ 5700 rpm  </t>
  </si>
  <si>
    <t xml:space="preserve">DZire VXi                                          </t>
  </si>
  <si>
    <t xml:space="preserve">Terrano XV D THP 110 PS                            </t>
  </si>
  <si>
    <t xml:space="preserve">108 bhp @ 3900 rpm  </t>
  </si>
  <si>
    <t xml:space="preserve">Wagon R LXI CNG                                    </t>
  </si>
  <si>
    <t xml:space="preserve">58 bhp @ 6200 rpm   </t>
  </si>
  <si>
    <t xml:space="preserve">Vitara Brezza LDi (O) [2016-2018]                  </t>
  </si>
  <si>
    <t xml:space="preserve">Porsche       </t>
  </si>
  <si>
    <t xml:space="preserve">Cayenne Coupe Platinum Edition                     </t>
  </si>
  <si>
    <t xml:space="preserve">2995 cc </t>
  </si>
  <si>
    <t xml:space="preserve">335 bhp @ 5300 rpm  </t>
  </si>
  <si>
    <t xml:space="preserve">C-Class Cabriolet C 300                            </t>
  </si>
  <si>
    <t xml:space="preserve">1991 cc </t>
  </si>
  <si>
    <t xml:space="preserve">241 bhp @ 5500 rpm  </t>
  </si>
  <si>
    <t xml:space="preserve">Elite i20 Magna 1.2                                </t>
  </si>
  <si>
    <t xml:space="preserve">Verna 1.6 VTVT SX                                  </t>
  </si>
  <si>
    <t xml:space="preserve">121 bhp @ 6300 rpm  </t>
  </si>
  <si>
    <t xml:space="preserve">Amaze 1.2 SX i-VTEC                                </t>
  </si>
  <si>
    <t xml:space="preserve">Corolla Altis 1.8 G                                </t>
  </si>
  <si>
    <t xml:space="preserve">Elite i20 Sportz 1.2 (O)                           </t>
  </si>
  <si>
    <t xml:space="preserve">A6 2.0 TDI Premium                                 </t>
  </si>
  <si>
    <t xml:space="preserve">177 bhp @ 3750 rpm  </t>
  </si>
  <si>
    <t xml:space="preserve">XUV300 W8 (O) 1.5 Diesel                           </t>
  </si>
  <si>
    <t xml:space="preserve">115 bhp @ 3750 rpm  </t>
  </si>
  <si>
    <t xml:space="preserve">Swift ZDi Plus                                     </t>
  </si>
  <si>
    <t xml:space="preserve">Thar LX 4-STR Hard Top Petrol MT                   </t>
  </si>
  <si>
    <t xml:space="preserve">City 1.5 S MT                                      </t>
  </si>
  <si>
    <t xml:space="preserve">E-Class E 250 CDI Avantgarde                       </t>
  </si>
  <si>
    <t xml:space="preserve">204 bhp @ 4200 rpm  </t>
  </si>
  <si>
    <t xml:space="preserve">Fortuner 3.0 4x2 AT                                </t>
  </si>
  <si>
    <t xml:space="preserve">2982 cc </t>
  </si>
  <si>
    <t xml:space="preserve">169 bhp @ 3600 rpm  </t>
  </si>
  <si>
    <t xml:space="preserve">Zest XM 75 PS Diesel                               </t>
  </si>
  <si>
    <t xml:space="preserve">Rapid Ambition 1.6 MPI AT Plus                     </t>
  </si>
  <si>
    <t xml:space="preserve">Beige  </t>
  </si>
  <si>
    <t xml:space="preserve">104 bhp @ 5250 rpm  </t>
  </si>
  <si>
    <t xml:space="preserve">Alto 800 Lxi                                       </t>
  </si>
  <si>
    <t xml:space="preserve">Ertiga VDi                                         </t>
  </si>
  <si>
    <t xml:space="preserve">Santro GL LPG                                      </t>
  </si>
  <si>
    <t xml:space="preserve">LPG          </t>
  </si>
  <si>
    <t xml:space="preserve">Figo Duratorq Diesel ZXI 1.4                       </t>
  </si>
  <si>
    <t xml:space="preserve">Harrier XZ Plus                                    </t>
  </si>
  <si>
    <t xml:space="preserve">168 bhp @ 3750 rpm  </t>
  </si>
  <si>
    <t xml:space="preserve">Elite i20 Asta (O) 1.0 Turbo DCT                   </t>
  </si>
  <si>
    <t xml:space="preserve">Swift DZire VXI                                    </t>
  </si>
  <si>
    <t xml:space="preserve">Grand i10 Sportz 1.2 Kappa VTVT [2013-2016]        </t>
  </si>
  <si>
    <t xml:space="preserve">81 bhp @ 6000 rpm   </t>
  </si>
  <si>
    <t xml:space="preserve">Creta SX (O) 1.4 Turbo 7 DCT Dual Tone [2022-2022] </t>
  </si>
  <si>
    <t xml:space="preserve">1353 cc </t>
  </si>
  <si>
    <t xml:space="preserve">138 bhp @ 6000 rpm  </t>
  </si>
  <si>
    <t xml:space="preserve">Q2 Premium Plus I 40 TFSI quattro                  </t>
  </si>
  <si>
    <t xml:space="preserve">1984 cc </t>
  </si>
  <si>
    <t xml:space="preserve">188 bhp @ 4200 rpm  </t>
  </si>
  <si>
    <t xml:space="preserve">Q7 45 TDI Premium Plus                             </t>
  </si>
  <si>
    <t xml:space="preserve">2967 cc </t>
  </si>
  <si>
    <t xml:space="preserve">245 bhp @ 2910 rpm  </t>
  </si>
  <si>
    <t xml:space="preserve">Verna Fluidic 1.6 CRDi SX                          </t>
  </si>
  <si>
    <t xml:space="preserve">Wagon R VXI                                        </t>
  </si>
  <si>
    <t xml:space="preserve">67 bhp @ 6200 rpm   </t>
  </si>
  <si>
    <t xml:space="preserve">Scorpio 2.6 Turbo 7 Str                            </t>
  </si>
  <si>
    <t xml:space="preserve">2609 cc </t>
  </si>
  <si>
    <t xml:space="preserve">Grand i10 Magna 1.2 Kappa VTVT [2013-2016]         </t>
  </si>
  <si>
    <t xml:space="preserve">Q5 45 TFSI Premium Plus                            </t>
  </si>
  <si>
    <t xml:space="preserve">248 bhp @ 5000 rpm  </t>
  </si>
  <si>
    <t xml:space="preserve">Duster RXS 1.5 Petrol MT                           </t>
  </si>
  <si>
    <t xml:space="preserve">105 bhp @ 5600 rpm  </t>
  </si>
  <si>
    <t xml:space="preserve">Creta SX 1.6 AT Petrol                             </t>
  </si>
  <si>
    <t xml:space="preserve">Compass Limited (O) 2.0 Diesel [2017-2020]         </t>
  </si>
  <si>
    <t xml:space="preserve">Verna EX 1.6 CRDi [2017-2018]                      </t>
  </si>
  <si>
    <t xml:space="preserve">i20 Magna 1.2                                      </t>
  </si>
  <si>
    <t xml:space="preserve">A6 35 TDI Matrix                                   </t>
  </si>
  <si>
    <t xml:space="preserve">190 bhp @ 3800 rpm  </t>
  </si>
  <si>
    <t xml:space="preserve">Marazzo M2 8 STR                                   </t>
  </si>
  <si>
    <t xml:space="preserve">Green  </t>
  </si>
  <si>
    <t xml:space="preserve">121 bhp @ 3500 rpm  </t>
  </si>
  <si>
    <t xml:space="preserve">Kia           </t>
  </si>
  <si>
    <t xml:space="preserve">Seltos HTX Plus 1.5 Diesel [2020-2021]             </t>
  </si>
  <si>
    <t xml:space="preserve">113 bhp @ 4000 rpm  </t>
  </si>
  <si>
    <t xml:space="preserve">Baleno Alpha 1.2                                   </t>
  </si>
  <si>
    <t xml:space="preserve">E-Class E 220d Expression [2019-2019]              </t>
  </si>
  <si>
    <t xml:space="preserve">1950 cc </t>
  </si>
  <si>
    <t xml:space="preserve">192 bhp @ 3800 rpm  </t>
  </si>
  <si>
    <t xml:space="preserve">Ertiga ZDI + SHVS                                  </t>
  </si>
  <si>
    <t xml:space="preserve">Verna Fluidic 1.6 VTVT SX                          </t>
  </si>
  <si>
    <t xml:space="preserve">Land Rover    </t>
  </si>
  <si>
    <t xml:space="preserve">Discovery Sport S                                  </t>
  </si>
  <si>
    <t xml:space="preserve">1999 cc </t>
  </si>
  <si>
    <t xml:space="preserve">177 bhp @ 4000 rpm  </t>
  </si>
  <si>
    <t xml:space="preserve">GLE 250 d                                          </t>
  </si>
  <si>
    <t xml:space="preserve">201 bhp @ 3800 rpm  </t>
  </si>
  <si>
    <t xml:space="preserve">Xcent S 1.2 (O)                                    </t>
  </si>
  <si>
    <t xml:space="preserve">S-Class Maybach S 500                              </t>
  </si>
  <si>
    <t xml:space="preserve">4663 cc </t>
  </si>
  <si>
    <t xml:space="preserve">453 bhp @ 5250 rpm  </t>
  </si>
  <si>
    <t xml:space="preserve">Hector Sharp 1.5 DCT Petrol [2019-2020]            </t>
  </si>
  <si>
    <t xml:space="preserve">1451 cc </t>
  </si>
  <si>
    <t xml:space="preserve">141 bhp @ 5000 rpm  </t>
  </si>
  <si>
    <t xml:space="preserve">Astor Sharp 1.5 CVT                                </t>
  </si>
  <si>
    <t xml:space="preserve">108 bhp @ 6000 rpm  </t>
  </si>
  <si>
    <t xml:space="preserve">CR-V 2.4 AT                                        </t>
  </si>
  <si>
    <t xml:space="preserve">2354 cc </t>
  </si>
  <si>
    <t xml:space="preserve">Duster 85 PS RxL                                   </t>
  </si>
  <si>
    <t xml:space="preserve">Grand i10 Sportz (O) 1.2 Kappa VTVT [2017-2018]    </t>
  </si>
  <si>
    <t xml:space="preserve">City V                                             </t>
  </si>
  <si>
    <t xml:space="preserve">C-Class C 200 Avantgarde                           </t>
  </si>
  <si>
    <t xml:space="preserve">181 bhp @ 5500 rpm  </t>
  </si>
  <si>
    <t xml:space="preserve">Elite i20 Asta 1.4 (O) CRDi                        </t>
  </si>
  <si>
    <t xml:space="preserve">1396 cc </t>
  </si>
  <si>
    <t xml:space="preserve">Fabia Elegance 1.6 MPI                             </t>
  </si>
  <si>
    <t xml:space="preserve">105 bhp @ 5250 rpm  </t>
  </si>
  <si>
    <t xml:space="preserve">Rapid 1.5 TDI CR Ambition Plus AT                  </t>
  </si>
  <si>
    <t xml:space="preserve">103 bhp @ 4400 rpm  </t>
  </si>
  <si>
    <t xml:space="preserve">Sonet GTX Plus 1.0 DCT [2020-2021]                 </t>
  </si>
  <si>
    <t xml:space="preserve">XUV500 W11 AT                                      </t>
  </si>
  <si>
    <t xml:space="preserve">153 bhp @ 3750 rpm  </t>
  </si>
  <si>
    <t xml:space="preserve">3-Series 320d Luxury Line                          </t>
  </si>
  <si>
    <t xml:space="preserve">GLA 200 CDI Sport                                  </t>
  </si>
  <si>
    <t xml:space="preserve">134 bhp @ 3600 rpm  </t>
  </si>
  <si>
    <t xml:space="preserve">Wagon R VXi                                        </t>
  </si>
  <si>
    <t xml:space="preserve">A6 35 TDI Premium                                  </t>
  </si>
  <si>
    <t xml:space="preserve">Scorpio VLX 2WD BS-IV                              </t>
  </si>
  <si>
    <t xml:space="preserve">Fortuner 3.0 4x4 MT                                </t>
  </si>
  <si>
    <t xml:space="preserve">Ecosport Titanium+ 1.5L TDCi                       </t>
  </si>
  <si>
    <t xml:space="preserve">99 bhp @ 3750 rpm   </t>
  </si>
  <si>
    <t xml:space="preserve">Q7 3.0 TDI quattro Premium Plus                    </t>
  </si>
  <si>
    <t xml:space="preserve">241 bhp @ 3800 rpm  </t>
  </si>
  <si>
    <t xml:space="preserve">C-Class C 250 d                                    </t>
  </si>
  <si>
    <t xml:space="preserve">204 bhp @ 3800 rpm  </t>
  </si>
  <si>
    <t xml:space="preserve">S-Presso VXi                                       </t>
  </si>
  <si>
    <t xml:space="preserve">Scorpio S5 2WD 7 STR                               </t>
  </si>
  <si>
    <t xml:space="preserve">Hector Sharp 2.0 Diesel Turbo MT                   </t>
  </si>
  <si>
    <t xml:space="preserve">Swift VDi BS-IV                                    </t>
  </si>
  <si>
    <t xml:space="preserve">Swift ZDi                                          </t>
  </si>
  <si>
    <t xml:space="preserve">City VX (O) MT                                     </t>
  </si>
  <si>
    <t xml:space="preserve">Innova 2.5 G4 7 STR                                </t>
  </si>
  <si>
    <t xml:space="preserve">Duster 110 PS RxL Diesel                           </t>
  </si>
  <si>
    <t xml:space="preserve">Q3 2.0 TDI quattro Premium                         </t>
  </si>
  <si>
    <t xml:space="preserve">174 bhp @ 4200 rpm  </t>
  </si>
  <si>
    <t xml:space="preserve">M-Class 350 CDI                                    </t>
  </si>
  <si>
    <t xml:space="preserve">2987 cc </t>
  </si>
  <si>
    <t xml:space="preserve">Volvo         </t>
  </si>
  <si>
    <t xml:space="preserve">V40 Cross Country D3                               </t>
  </si>
  <si>
    <t xml:space="preserve">150 bhp @ 3500 rpm  </t>
  </si>
  <si>
    <t xml:space="preserve">5-Series 530d M Sport [2013-2017]                  </t>
  </si>
  <si>
    <t xml:space="preserve">2993 cc </t>
  </si>
  <si>
    <t xml:space="preserve">258 bhp @ 4000 rpm  </t>
  </si>
  <si>
    <t xml:space="preserve">City 1.5 S AT                                      </t>
  </si>
  <si>
    <t xml:space="preserve">C-Class 200 CGI                                    </t>
  </si>
  <si>
    <t xml:space="preserve">186 bhp @ 5600 rpm  </t>
  </si>
  <si>
    <t xml:space="preserve">E-Class E350 CDI Avantgarde                        </t>
  </si>
  <si>
    <t xml:space="preserve">M-Class ML 350 CDI                                 </t>
  </si>
  <si>
    <t xml:space="preserve">2997 cc </t>
  </si>
  <si>
    <t xml:space="preserve">254 bhp @ 3600 rpm  </t>
  </si>
  <si>
    <t xml:space="preserve">i20 Magna 1.4 CRDI                                 </t>
  </si>
  <si>
    <t xml:space="preserve">1336 cc </t>
  </si>
  <si>
    <t xml:space="preserve">Rapid Style AT                                     </t>
  </si>
  <si>
    <t xml:space="preserve">109 bhp @ 5000 rpm  </t>
  </si>
  <si>
    <t xml:space="preserve">Nexon XMA Petrol                                   </t>
  </si>
  <si>
    <t xml:space="preserve">108 bhp @ 5000 rpm  </t>
  </si>
  <si>
    <t xml:space="preserve">Swift DZire ZDI                                    </t>
  </si>
  <si>
    <t xml:space="preserve">Sonet GTX Plus 1.5 AT [2020-2021]                  </t>
  </si>
  <si>
    <t xml:space="preserve">Rapid Monte Carlo 1.6 MPI MT                       </t>
  </si>
  <si>
    <t xml:space="preserve">104 bhp @ 5200 rpm  </t>
  </si>
  <si>
    <t xml:space="preserve">RS5 4.2 Coupe                                      </t>
  </si>
  <si>
    <t xml:space="preserve">4163 cc </t>
  </si>
  <si>
    <t xml:space="preserve">444 bhp @ 8250 rpm  </t>
  </si>
  <si>
    <t xml:space="preserve">Grand i10 NIOS Magna AMT 1.2 Kappa VTVT            </t>
  </si>
  <si>
    <t xml:space="preserve">R-Class R350 4MATIC                                </t>
  </si>
  <si>
    <t xml:space="preserve">3496 cc </t>
  </si>
  <si>
    <t xml:space="preserve">272 bhp @ 6000 rpm  </t>
  </si>
  <si>
    <t xml:space="preserve">Innova 2.4 G 7 STR [2016-2017]                     </t>
  </si>
  <si>
    <t xml:space="preserve">Kwid RXT Opt                                       </t>
  </si>
  <si>
    <t xml:space="preserve">799 cc  </t>
  </si>
  <si>
    <t xml:space="preserve">53 bhp @ 5678 rpm   </t>
  </si>
  <si>
    <t xml:space="preserve">A6 2.0 TFSi Technology Pack                        </t>
  </si>
  <si>
    <t xml:space="preserve">180 bhp @ 4000 rpm  </t>
  </si>
  <si>
    <t xml:space="preserve">Safari XZA Plus 6S Adventure New                   </t>
  </si>
  <si>
    <t xml:space="preserve">Ritz Vdi BS-IV                                     </t>
  </si>
  <si>
    <t xml:space="preserve">Brio EX MT                                         </t>
  </si>
  <si>
    <t xml:space="preserve">Scorpio S9 2WD 7 STR                               </t>
  </si>
  <si>
    <t xml:space="preserve">140 bhp @ 3750 rpm  </t>
  </si>
  <si>
    <t xml:space="preserve">Innova 2.8 GX AT 7 STR [2016-2020]                 </t>
  </si>
  <si>
    <t xml:space="preserve">172 bhp @ 3400 rpm  </t>
  </si>
  <si>
    <t xml:space="preserve">Amaze VX CVT 1.2 Petrol                            </t>
  </si>
  <si>
    <t xml:space="preserve">Compass Longitude Plus 2.0 Diesel 4x4 AT           </t>
  </si>
  <si>
    <t xml:space="preserve">Maserati      </t>
  </si>
  <si>
    <t xml:space="preserve">Levante Diesel                                     </t>
  </si>
  <si>
    <t xml:space="preserve">2979 cc </t>
  </si>
  <si>
    <t xml:space="preserve">275 bhp @ 4000 rpm  </t>
  </si>
  <si>
    <t xml:space="preserve">Cayenne Turbo                                      </t>
  </si>
  <si>
    <t xml:space="preserve">4806 cc </t>
  </si>
  <si>
    <t xml:space="preserve">500 bhp @ 6500 rpm  </t>
  </si>
  <si>
    <t xml:space="preserve">Innova GX 2.4 AT 7 STR                             </t>
  </si>
  <si>
    <t xml:space="preserve">Fortuner 3.0 MT                                    </t>
  </si>
  <si>
    <t xml:space="preserve">Q7 35 TDI Premium + Sunroof                        </t>
  </si>
  <si>
    <t xml:space="preserve">Wagon R LXi 1.0 CNG [2019-2020]                    </t>
  </si>
  <si>
    <t xml:space="preserve">58 bhp @ 5500 rpm   </t>
  </si>
  <si>
    <t xml:space="preserve">Alto VXi (O)                                       </t>
  </si>
  <si>
    <t xml:space="preserve">Ciaz VXi (O)                                       </t>
  </si>
  <si>
    <t xml:space="preserve">Swift VDi AMT [2018-2019]                          </t>
  </si>
  <si>
    <t xml:space="preserve">C-Class C 43 AMG                                   </t>
  </si>
  <si>
    <t xml:space="preserve">2996 cc </t>
  </si>
  <si>
    <t xml:space="preserve">362 bhp @ 5500 rpm  </t>
  </si>
  <si>
    <t xml:space="preserve">E-Class E250 CDI BlueEfficiency                    </t>
  </si>
  <si>
    <t xml:space="preserve">Nexon XZA Plus Petrol                              </t>
  </si>
  <si>
    <t xml:space="preserve">Alto 800 Vxi                                       </t>
  </si>
  <si>
    <t xml:space="preserve">XUV500 W8                                          </t>
  </si>
  <si>
    <t xml:space="preserve">Mobilio S Diesel                                   </t>
  </si>
  <si>
    <t xml:space="preserve">Punch Creative iRA Pack MT                         </t>
  </si>
  <si>
    <t xml:space="preserve">Grand i10 Magna 1.2 Kappa VTVT [2017-2020]         </t>
  </si>
  <si>
    <t xml:space="preserve">Baleno Alpha 1.3                                   </t>
  </si>
  <si>
    <t xml:space="preserve">Jaguar        </t>
  </si>
  <si>
    <t xml:space="preserve">F-Pace Prestige                                    </t>
  </si>
  <si>
    <t xml:space="preserve">Range Rover Sport SE 2.0 Petrol                    </t>
  </si>
  <si>
    <t xml:space="preserve">296 bhp @ 5500 rpm  </t>
  </si>
  <si>
    <t xml:space="preserve">Fortuner 3.0 4x4 AT                                </t>
  </si>
  <si>
    <t xml:space="preserve">Kwid 1.0 RXT Edition                               </t>
  </si>
  <si>
    <t xml:space="preserve">X1 sDrive20d Expedition                            </t>
  </si>
  <si>
    <t xml:space="preserve">Wagon R LXi Minor                                  </t>
  </si>
  <si>
    <t xml:space="preserve">1061 cc </t>
  </si>
  <si>
    <t xml:space="preserve">Elite i20 Asta 1.2 AT                              </t>
  </si>
  <si>
    <t xml:space="preserve">XUV500 W10                                         </t>
  </si>
  <si>
    <t xml:space="preserve">Cayenne Diesel                                     </t>
  </si>
  <si>
    <t xml:space="preserve">245 bhp @ 4400 rpm  </t>
  </si>
  <si>
    <t xml:space="preserve">Terrano XL D Plus                                  </t>
  </si>
  <si>
    <t xml:space="preserve">Thar LX 4-STR Hard Top Diesel AT                   </t>
  </si>
  <si>
    <t xml:space="preserve">2184 cc </t>
  </si>
  <si>
    <t xml:space="preserve">130 bhp @ 3750 rpm  </t>
  </si>
  <si>
    <t xml:space="preserve">Discovery Sport HSE 7-Seater                       </t>
  </si>
  <si>
    <t xml:space="preserve">148 bhp @ 4000 rpm  </t>
  </si>
  <si>
    <t xml:space="preserve">5-Series 525d Sedan                                </t>
  </si>
  <si>
    <t xml:space="preserve">2497 cc </t>
  </si>
  <si>
    <t xml:space="preserve">Glanza G CVT                                       </t>
  </si>
  <si>
    <t xml:space="preserve">Creta 1.6 SX Plus AT Petrol                        </t>
  </si>
  <si>
    <t xml:space="preserve">Isuzu         </t>
  </si>
  <si>
    <t xml:space="preserve">MU-X 4x2                                           </t>
  </si>
  <si>
    <t xml:space="preserve">2999 cc </t>
  </si>
  <si>
    <t xml:space="preserve">174 bhp @ 3600 rpm  </t>
  </si>
  <si>
    <t xml:space="preserve">Alto VXi                                           </t>
  </si>
  <si>
    <t xml:space="preserve">Corolla Altis G AT Petrol                          </t>
  </si>
  <si>
    <t xml:space="preserve">i10 Sportz 1.2 AT Kappa2                           </t>
  </si>
  <si>
    <t xml:space="preserve">Hexa XE 4x2 7 STR                                  </t>
  </si>
  <si>
    <t xml:space="preserve">i10 Sportz 1.2                                     </t>
  </si>
  <si>
    <t xml:space="preserve">GLS 350 d                                          </t>
  </si>
  <si>
    <t xml:space="preserve">255 bhp @ 3400 rpm  </t>
  </si>
  <si>
    <t xml:space="preserve">Q3 2.0 TDI quattro Premium Plus                    </t>
  </si>
  <si>
    <t xml:space="preserve">Polo Comfortline 1.2L (P)                          </t>
  </si>
  <si>
    <t xml:space="preserve">XE Prestige Diesel                                 </t>
  </si>
  <si>
    <t xml:space="preserve">Safari 4x2 EX TCIC                                 </t>
  </si>
  <si>
    <t xml:space="preserve">1948 cc </t>
  </si>
  <si>
    <t xml:space="preserve">Q3 35 TDI Premium + Sunroof                        </t>
  </si>
  <si>
    <t xml:space="preserve">Alto LXi BS-III                                    </t>
  </si>
  <si>
    <t xml:space="preserve">Verna Fluidic 1.6 VTVT SX Opt                      </t>
  </si>
  <si>
    <t xml:space="preserve">Vitara Brezza VDi                                  </t>
  </si>
  <si>
    <t xml:space="preserve">5-Series 520d Luxury Line [2017-2019]              </t>
  </si>
  <si>
    <t xml:space="preserve">Amaze 1.5 S i-DTEC                                 </t>
  </si>
  <si>
    <t xml:space="preserve">Harrier XZA Plus Dual Tone                         </t>
  </si>
  <si>
    <t xml:space="preserve">911 Carrera 4                                      </t>
  </si>
  <si>
    <t xml:space="preserve">3436 cc </t>
  </si>
  <si>
    <t xml:space="preserve">325 bhp @ 7400 rpm  </t>
  </si>
  <si>
    <t xml:space="preserve">Wagon R LXI CNG (O)                                </t>
  </si>
  <si>
    <t xml:space="preserve">Ciaz Delta 1.3 Hybrid                              </t>
  </si>
  <si>
    <t xml:space="preserve">Tucson GL 2WD AT Petrol                            </t>
  </si>
  <si>
    <t xml:space="preserve">153 bhp @ 6200 rpm  </t>
  </si>
  <si>
    <t xml:space="preserve">i20 Sportz 1.2                                     </t>
  </si>
  <si>
    <t xml:space="preserve">V40 D3 Kinetic                                     </t>
  </si>
  <si>
    <t xml:space="preserve">Jazz V AT Petrol                                   </t>
  </si>
  <si>
    <t xml:space="preserve">S-Class S 350D [2018-2020]                         </t>
  </si>
  <si>
    <t xml:space="preserve">2925 cc </t>
  </si>
  <si>
    <t xml:space="preserve">282 bhp @ 3600 rpm  </t>
  </si>
  <si>
    <t xml:space="preserve">Jazz S                                             </t>
  </si>
  <si>
    <t xml:space="preserve">89 bhp @ 6200 rpm   </t>
  </si>
  <si>
    <t xml:space="preserve">3-Series 320d Luxury Edition                       </t>
  </si>
  <si>
    <t xml:space="preserve">Evoque HSE Dynamic                                 </t>
  </si>
  <si>
    <t xml:space="preserve">188 bhp @ 3500 rpm  </t>
  </si>
  <si>
    <t xml:space="preserve">Xylo D2 BS-IV                                      </t>
  </si>
  <si>
    <t xml:space="preserve">2489 cc </t>
  </si>
  <si>
    <t xml:space="preserve">Venue SX 1.5 CRDi                                  </t>
  </si>
  <si>
    <t xml:space="preserve">Scorpio S11 4WD 7 STR                              </t>
  </si>
  <si>
    <t xml:space="preserve">Swift VXi                                          </t>
  </si>
  <si>
    <t xml:space="preserve">Compass Limited (O) 1.4 Petrol AT [2017-2020]      </t>
  </si>
  <si>
    <t xml:space="preserve">1368 cc </t>
  </si>
  <si>
    <t xml:space="preserve">160 bhp @ 5500 rpm  </t>
  </si>
  <si>
    <t xml:space="preserve">Swift VDi                                          </t>
  </si>
  <si>
    <t xml:space="preserve">WR-V S MT Petrol                                   </t>
  </si>
  <si>
    <t xml:space="preserve">Vento TSI                                          </t>
  </si>
  <si>
    <t xml:space="preserve">Duster RXL Petrol                                  </t>
  </si>
  <si>
    <t xml:space="preserve">Fiesta Style Diesel [2011-2014]                    </t>
  </si>
  <si>
    <t xml:space="preserve">89 bhp @ 3750 rpm   </t>
  </si>
  <si>
    <t xml:space="preserve">5-Series 530i Sport Line                           </t>
  </si>
  <si>
    <t xml:space="preserve">248 bhp @ 5200 rpm  </t>
  </si>
  <si>
    <t xml:space="preserve">Safari 2.2 EX 4x2                                  </t>
  </si>
  <si>
    <t xml:space="preserve">138 bhp @ 4000 rpm  </t>
  </si>
  <si>
    <t xml:space="preserve">Seltos GTX Plus AT 1.4 [2019-2020]                 </t>
  </si>
  <si>
    <t xml:space="preserve">Cayenne Platinum Edition Diesel                    </t>
  </si>
  <si>
    <t xml:space="preserve">X5 xDrive30d xLine                                 </t>
  </si>
  <si>
    <t xml:space="preserve">262 bhp @ 4000 rpm  </t>
  </si>
  <si>
    <t xml:space="preserve">Ecosport Trend 1.5 TDCi                            </t>
  </si>
  <si>
    <t xml:space="preserve">Grand i10 NIOS Magna 1.2 Kappa VTVT                </t>
  </si>
  <si>
    <t xml:space="preserve">Elite i20 Sportz 1.4                               </t>
  </si>
  <si>
    <t xml:space="preserve">Elantra 1.8 SX MT                                  </t>
  </si>
  <si>
    <t xml:space="preserve">1797 cc </t>
  </si>
  <si>
    <t xml:space="preserve">147 bhp @ 6500 rpm  </t>
  </si>
  <si>
    <t xml:space="preserve">Swift Lxi (O) [2014-2017]                          </t>
  </si>
  <si>
    <t xml:space="preserve">Thar AX 4-STR Convertible Petrol MT                </t>
  </si>
  <si>
    <t xml:space="preserve">Swift VXi [2014-2017]                              </t>
  </si>
  <si>
    <t xml:space="preserve">DZire VDi                                          </t>
  </si>
  <si>
    <t xml:space="preserve">5-Series 520d M Sport                              </t>
  </si>
  <si>
    <t xml:space="preserve">Wagon R VXI+                                       </t>
  </si>
  <si>
    <t xml:space="preserve">Vitara Brezza ZDi Plus                             </t>
  </si>
  <si>
    <t xml:space="preserve">Swift DZire LXi                                    </t>
  </si>
  <si>
    <t xml:space="preserve">1298 cc </t>
  </si>
  <si>
    <t xml:space="preserve">Fiat          </t>
  </si>
  <si>
    <t xml:space="preserve">Linea Emotion 1.4                                  </t>
  </si>
  <si>
    <t xml:space="preserve">City ZX CVT Petrol                                 </t>
  </si>
  <si>
    <t xml:space="preserve">119 bhp @ 6600 rpm  </t>
  </si>
  <si>
    <t xml:space="preserve">Tucson GLS 2WD AT Petrol                           </t>
  </si>
  <si>
    <t xml:space="preserve">Innova 2.7 VX 7 STR [2016-2020]                    </t>
  </si>
  <si>
    <t xml:space="preserve">2694 cc </t>
  </si>
  <si>
    <t xml:space="preserve">164 bhp @ 5200 rpm  </t>
  </si>
  <si>
    <t xml:space="preserve">TT 2.0 TFSI Quattro                                </t>
  </si>
  <si>
    <t xml:space="preserve">208 bhp @ 4300 rpm  </t>
  </si>
  <si>
    <t xml:space="preserve">Tiago Revotron XTA [2017-2019]                     </t>
  </si>
  <si>
    <t xml:space="preserve">City E [2013-2016]                                 </t>
  </si>
  <si>
    <t xml:space="preserve">Alto 800 Vxi (Airbag)                              </t>
  </si>
  <si>
    <t xml:space="preserve">Nexon XZ Plus Dark Edition                         </t>
  </si>
  <si>
    <t xml:space="preserve">118 bhp @ 5500 rpm  </t>
  </si>
  <si>
    <t xml:space="preserve">Ecosport Ambiente 1.5L TDCi                        </t>
  </si>
  <si>
    <t xml:space="preserve">Jazz SV Petrol                                     </t>
  </si>
  <si>
    <t xml:space="preserve">i10 Sportz 1.2 Kappa2                              </t>
  </si>
  <si>
    <t xml:space="preserve">Amaze 1.2 VX AT i-VTEC                             </t>
  </si>
  <si>
    <t xml:space="preserve">C-Class C 200 Progressive [2018-2020]              </t>
  </si>
  <si>
    <t xml:space="preserve">181 bhp @ 5800 rpm  </t>
  </si>
  <si>
    <t xml:space="preserve">Grand i10 NIOS Sportz 1.2 Kappa VTVT CNG           </t>
  </si>
  <si>
    <t xml:space="preserve">68 bhp @ 6000 rpm   </t>
  </si>
  <si>
    <t xml:space="preserve">Xcent E Plus CRDi                                  </t>
  </si>
  <si>
    <t xml:space="preserve">1186 cc </t>
  </si>
  <si>
    <t xml:space="preserve">Evoque SE R-Dynamic                                </t>
  </si>
  <si>
    <t xml:space="preserve">Astor Sharp EX 1.5 MT                              </t>
  </si>
  <si>
    <t xml:space="preserve">Grande GX                                          </t>
  </si>
  <si>
    <t xml:space="preserve">Innova 2.0 V                                       </t>
  </si>
  <si>
    <t xml:space="preserve">Etios Liva VD Dual Tone                            </t>
  </si>
  <si>
    <t xml:space="preserve">1364 cc </t>
  </si>
  <si>
    <t xml:space="preserve">67 bhp @ 3800 rpm   </t>
  </si>
  <si>
    <t xml:space="preserve">City SV Diesel                                     </t>
  </si>
  <si>
    <t xml:space="preserve">Scorpio S10                                        </t>
  </si>
  <si>
    <t xml:space="preserve">Superb L&amp;K TSI AT                                  </t>
  </si>
  <si>
    <t xml:space="preserve">i20 Active 1.4 SX                                  </t>
  </si>
  <si>
    <t xml:space="preserve">Ciaz Zeta 1.4 AT                                   </t>
  </si>
  <si>
    <t xml:space="preserve">E-Class E 220d Exclusive [2019-2019]               </t>
  </si>
  <si>
    <t xml:space="preserve">Thar AX 6-STR Soft Top Diesel MT                   </t>
  </si>
  <si>
    <t xml:space="preserve">City S Diesel                                      </t>
  </si>
  <si>
    <t xml:space="preserve">Baleno Alpha 1.2 AT                                </t>
  </si>
  <si>
    <t xml:space="preserve">Celerio X Zxi AMT [2017-2019]                      </t>
  </si>
  <si>
    <t xml:space="preserve">Wagon R LXI ABS                                    </t>
  </si>
  <si>
    <t xml:space="preserve">Baleno Delta 1.2 AT                                </t>
  </si>
  <si>
    <t xml:space="preserve">Kiger RXT Turbo CVT                                </t>
  </si>
  <si>
    <t xml:space="preserve">99 bhp @ 5000 rpm   </t>
  </si>
  <si>
    <t xml:space="preserve">Eon 1.0 Kappa Magna + [2014-2016]                  </t>
  </si>
  <si>
    <t xml:space="preserve">68 bhp @ 6200 rpm   </t>
  </si>
  <si>
    <t xml:space="preserve">S-Class 350 L                                      </t>
  </si>
  <si>
    <t xml:space="preserve">3498 cc </t>
  </si>
  <si>
    <t xml:space="preserve">272 bhp @ 6300 rpm  </t>
  </si>
  <si>
    <t xml:space="preserve">S-Presso VXi CNG                                   </t>
  </si>
  <si>
    <t xml:space="preserve">Innova 2.4 VX 8 STR [2016-2020]                    </t>
  </si>
  <si>
    <t xml:space="preserve">Seltos GTX Plus AT 1.5 Diesel [2019-2020]          </t>
  </si>
  <si>
    <t xml:space="preserve">114 bhp @ 4000 rpm  </t>
  </si>
  <si>
    <t xml:space="preserve">Creta SX (O) 1.5 Petrol CVT [2020-2022]            </t>
  </si>
  <si>
    <t xml:space="preserve">113 bhp @ 6300 rpm  </t>
  </si>
  <si>
    <t xml:space="preserve">Rapid Ambition 1.6 TDI CR MT                       </t>
  </si>
  <si>
    <t xml:space="preserve">105 bhp @ 4400 rpm  </t>
  </si>
  <si>
    <t xml:space="preserve">Elite i20 Asta 1.2 (O) [2016]                      </t>
  </si>
  <si>
    <t xml:space="preserve">118 bhp @ 6600 rpm  </t>
  </si>
  <si>
    <t xml:space="preserve">Superb L&amp;K TDI AT                                  </t>
  </si>
  <si>
    <t xml:space="preserve">Alto 800 Lxi CNG                                   </t>
  </si>
  <si>
    <t xml:space="preserve">Figo Duratec Petrol Titanium 1.2                   </t>
  </si>
  <si>
    <t xml:space="preserve">70 bhp @ 6250 rpm   </t>
  </si>
  <si>
    <t xml:space="preserve">DZire VXi AMT                                      </t>
  </si>
  <si>
    <t xml:space="preserve">Celerio ZXi (O) AMT [2019-2020]                    </t>
  </si>
  <si>
    <t xml:space="preserve">Grand i10 Sportz U2 1.2 CRDi                       </t>
  </si>
  <si>
    <t xml:space="preserve">E-Class E250 Elegance                              </t>
  </si>
  <si>
    <t xml:space="preserve">3-Series 330i M Sport Edition                      </t>
  </si>
  <si>
    <t xml:space="preserve">City SV                                            </t>
  </si>
  <si>
    <t xml:space="preserve">S-Class Maybach S 560                              </t>
  </si>
  <si>
    <t xml:space="preserve">3982 cc </t>
  </si>
  <si>
    <t xml:space="preserve">463 bhp @ 5250 rpm  </t>
  </si>
  <si>
    <t xml:space="preserve">XUV500 W8 1.99 [2016-2017]                         </t>
  </si>
  <si>
    <t xml:space="preserve">CLA 200 D Urban Sport                              </t>
  </si>
  <si>
    <t xml:space="preserve">136 bhp @ 3200 rpm  </t>
  </si>
  <si>
    <t xml:space="preserve">Xcent SX 1.1 CRDi                                  </t>
  </si>
  <si>
    <t xml:space="preserve">1120 cc </t>
  </si>
  <si>
    <t xml:space="preserve">71 bhp @ 4000 rpm   </t>
  </si>
  <si>
    <t xml:space="preserve">Wagon R LXi CNG                                    </t>
  </si>
  <si>
    <t xml:space="preserve">Hexa XTA 4x2 7 STR                                 </t>
  </si>
  <si>
    <t xml:space="preserve">154 bhp @ 4000 rpm  </t>
  </si>
  <si>
    <t xml:space="preserve">Ecosport Titanium 1.5L TDCi                        </t>
  </si>
  <si>
    <t xml:space="preserve">CLA 200 CDI Sport                                  </t>
  </si>
  <si>
    <t xml:space="preserve">Innova 2.4 ZX AT 7 STR                             </t>
  </si>
  <si>
    <t xml:space="preserve">MINI          </t>
  </si>
  <si>
    <t xml:space="preserve">Countryman Cooper D                                </t>
  </si>
  <si>
    <t xml:space="preserve">Purple </t>
  </si>
  <si>
    <t xml:space="preserve">112 bhp @           </t>
  </si>
  <si>
    <t xml:space="preserve">DZire ZDi Plus AMT                                 </t>
  </si>
  <si>
    <t xml:space="preserve">Scorpio S3 2WD 7 STR                               </t>
  </si>
  <si>
    <t xml:space="preserve">2523 cc </t>
  </si>
  <si>
    <t xml:space="preserve">75 bhp @ 3200 rpm   </t>
  </si>
  <si>
    <t xml:space="preserve">Manza Aqua Safire BS-IV                            </t>
  </si>
  <si>
    <t xml:space="preserve">XL6 Alpha MT Petrol                                </t>
  </si>
  <si>
    <t xml:space="preserve">Aspire Titanium1.5 TDCi                            </t>
  </si>
  <si>
    <t xml:space="preserve">718 Cayman [2017-2020]                             </t>
  </si>
  <si>
    <t xml:space="preserve">1988 cc </t>
  </si>
  <si>
    <t xml:space="preserve">295 bhp @ 6500 rpm  </t>
  </si>
  <si>
    <t xml:space="preserve">Verna 1.6 VTVT S                                   </t>
  </si>
  <si>
    <t xml:space="preserve">Eon 1.0 Kappa Magna AirBag                         </t>
  </si>
  <si>
    <t xml:space="preserve">Grand Vitara 2015 2.0 AT                           </t>
  </si>
  <si>
    <t xml:space="preserve">GLE 300d 4MATIC LWB                                </t>
  </si>
  <si>
    <t xml:space="preserve">241 bhp @ 4200 rpm  </t>
  </si>
  <si>
    <t xml:space="preserve">TUV300 T8 AMT mHAWK100                             </t>
  </si>
  <si>
    <t xml:space="preserve">100 bhp @ 3750 rpm  </t>
  </si>
  <si>
    <t xml:space="preserve">City V Diesel                                      </t>
  </si>
  <si>
    <t xml:space="preserve">GLC 220d 4MATIC Progressive                        </t>
  </si>
  <si>
    <t xml:space="preserve">3-Series 320d Sport Line                           </t>
  </si>
  <si>
    <t xml:space="preserve">City VX CVT Petrol                                 </t>
  </si>
  <si>
    <t xml:space="preserve">Ferrari       </t>
  </si>
  <si>
    <t xml:space="preserve">488 GTB                                            </t>
  </si>
  <si>
    <t xml:space="preserve">3902 cc </t>
  </si>
  <si>
    <t xml:space="preserve">660 bhp @ 8000 rpm  </t>
  </si>
  <si>
    <t xml:space="preserve">Tiguan Highline TDI                                </t>
  </si>
  <si>
    <t xml:space="preserve">141 bhp @ 4000 rpm  </t>
  </si>
  <si>
    <t xml:space="preserve">Evoque Pure SD4                                    </t>
  </si>
  <si>
    <t xml:space="preserve">190 bhp @ 3500 rpm  </t>
  </si>
  <si>
    <t xml:space="preserve">GLE 43 4MATIC [2017-2019]                          </t>
  </si>
  <si>
    <t xml:space="preserve">Nano Base                                          </t>
  </si>
  <si>
    <t xml:space="preserve">624 cc  </t>
  </si>
  <si>
    <t xml:space="preserve">E-Class E 220 d Avantgarde                         </t>
  </si>
  <si>
    <t xml:space="preserve">S-Cross Zeta 1.3                                   </t>
  </si>
  <si>
    <t xml:space="preserve">Mitsubishi    </t>
  </si>
  <si>
    <t xml:space="preserve">Pajero 2.5 MT                                      </t>
  </si>
  <si>
    <t xml:space="preserve">2477 cc </t>
  </si>
  <si>
    <t xml:space="preserve">176 bhp @ 4000 rpm  </t>
  </si>
  <si>
    <t xml:space="preserve">Swift ZXi                                          </t>
  </si>
  <si>
    <t xml:space="preserve">Q3 35 TDI Premium                                  </t>
  </si>
  <si>
    <t xml:space="preserve">Vento Highline Plus 1.2 (P) AT 16 Alloy            </t>
  </si>
  <si>
    <t xml:space="preserve">Endeavour Titanium 3.2 4x4 AT                      </t>
  </si>
  <si>
    <t xml:space="preserve">3198 cc </t>
  </si>
  <si>
    <t xml:space="preserve">197 bhp @ 3000 rpm  </t>
  </si>
  <si>
    <t xml:space="preserve">Tiago Revotron XT [2016-2019]                      </t>
  </si>
  <si>
    <t xml:space="preserve">Datsun        </t>
  </si>
  <si>
    <t xml:space="preserve">Go D                                               </t>
  </si>
  <si>
    <t xml:space="preserve">67 bhp @ 5000 rpm   </t>
  </si>
  <si>
    <t xml:space="preserve">Seltos HTK Plus 1.5 [2019-2020]                    </t>
  </si>
  <si>
    <t xml:space="preserve">114 bhp @ 6300 rpm  </t>
  </si>
  <si>
    <t xml:space="preserve">GLA 200 d Sport                                    </t>
  </si>
  <si>
    <t xml:space="preserve">C-Class C 220d Progressive [2018-2019]             </t>
  </si>
  <si>
    <t xml:space="preserve">Elite i20 Sportz 1.2 MT                            </t>
  </si>
  <si>
    <t xml:space="preserve">Estilo VXi BS-IV                                   </t>
  </si>
  <si>
    <t xml:space="preserve">Eon Era +                                          </t>
  </si>
  <si>
    <t xml:space="preserve">814 cc  </t>
  </si>
  <si>
    <t xml:space="preserve">55 bhp @ 5500 rpm   </t>
  </si>
  <si>
    <t xml:space="preserve">Alto VXi (O) [2014-2019]                           </t>
  </si>
  <si>
    <t xml:space="preserve">7-Series 730Ld M Sport                             </t>
  </si>
  <si>
    <t xml:space="preserve">XUV500 W7 [2018-2020]                              </t>
  </si>
  <si>
    <t xml:space="preserve">Endeavour 3.0L 4x4 AT                              </t>
  </si>
  <si>
    <t xml:space="preserve">2953 cc </t>
  </si>
  <si>
    <t xml:space="preserve">154 bhp @ 3200 rpm  </t>
  </si>
  <si>
    <t xml:space="preserve">Tucson 2WD AT GLS Diesel                           </t>
  </si>
  <si>
    <t xml:space="preserve">182 bhp @ 4000 rpm  </t>
  </si>
  <si>
    <t xml:space="preserve">Etios V                                            </t>
  </si>
  <si>
    <t xml:space="preserve">1496 cc </t>
  </si>
  <si>
    <t xml:space="preserve">80 bhp @ 5600 rpm   </t>
  </si>
  <si>
    <t xml:space="preserve">Fortuner 3.0 4x2 MT                                </t>
  </si>
  <si>
    <t xml:space="preserve">Ciaz Alpha 1.4 MT                                  </t>
  </si>
  <si>
    <t xml:space="preserve">S-Cross Alpha 1.6                                  </t>
  </si>
  <si>
    <t xml:space="preserve">118 bhp @ 3750 rpm  </t>
  </si>
  <si>
    <t xml:space="preserve">Polo Highline1.0L (P)                              </t>
  </si>
  <si>
    <t xml:space="preserve">75 bhp @ 6200 rpm   </t>
  </si>
  <si>
    <t xml:space="preserve">Amaze 1.2 S i-VTEC                                 </t>
  </si>
  <si>
    <t xml:space="preserve">A4 35 TDI Technology                               </t>
  </si>
  <si>
    <t xml:space="preserve">Ecosport Trend 1.5 Ti-VCT                          </t>
  </si>
  <si>
    <t xml:space="preserve">1499 cc </t>
  </si>
  <si>
    <t xml:space="preserve">109 bhp @ 6300 rpm  </t>
  </si>
  <si>
    <t xml:space="preserve">GLS 400d 4MATIC                                    </t>
  </si>
  <si>
    <t xml:space="preserve">326 bhp @ 3600 rpm  </t>
  </si>
  <si>
    <t xml:space="preserve">Harrier XZA Plus Dark Edition                      </t>
  </si>
  <si>
    <t xml:space="preserve">5-Series 520d Luxury Line                          </t>
  </si>
  <si>
    <t xml:space="preserve">116 bhp @ 6600 rpm  </t>
  </si>
  <si>
    <t xml:space="preserve">GL-Class 350 CDI                                   </t>
  </si>
  <si>
    <t xml:space="preserve">258 bhp @ 3600 rpm  </t>
  </si>
  <si>
    <t xml:space="preserve">Nexon XT Diesel [2017-2019]                        </t>
  </si>
  <si>
    <t xml:space="preserve">108 bhp @ 3750 rpm  </t>
  </si>
  <si>
    <t xml:space="preserve">Scorpio VLX 4WD BS-III                             </t>
  </si>
  <si>
    <t xml:space="preserve">Gloster Savvy 6 STR 2.0 Twin Turbo 4WD             </t>
  </si>
  <si>
    <t xml:space="preserve">1996 cc </t>
  </si>
  <si>
    <t xml:space="preserve">215 bhp @ 4000 rpm  </t>
  </si>
  <si>
    <t xml:space="preserve">Swift DZire VXi                                    </t>
  </si>
  <si>
    <t xml:space="preserve">Redigo S 1.0 AMT [2018-2019]                       </t>
  </si>
  <si>
    <t xml:space="preserve">Venue SX Plus 1.0 Turbo DCT                        </t>
  </si>
  <si>
    <t xml:space="preserve">Swift LXi Special Edition                          </t>
  </si>
  <si>
    <t xml:space="preserve">Others </t>
  </si>
  <si>
    <t xml:space="preserve">TUV300 T8                                          </t>
  </si>
  <si>
    <t xml:space="preserve">Innova 2.5 G 7 STR BS-IV                           </t>
  </si>
  <si>
    <t xml:space="preserve">100 bhp @ 3600 rpm  </t>
  </si>
  <si>
    <t xml:space="preserve">XUV500 W6                                          </t>
  </si>
  <si>
    <t xml:space="preserve">Elite i20 Asta 1.4 CRDI [2016-2017]                </t>
  </si>
  <si>
    <t xml:space="preserve">DZire VDi AMT                                      </t>
  </si>
  <si>
    <t xml:space="preserve">Sonet GTX Plus 1.0 iMT [2020-2021]                 </t>
  </si>
  <si>
    <t xml:space="preserve">S-Class 500L                                       </t>
  </si>
  <si>
    <t xml:space="preserve">5461 cc </t>
  </si>
  <si>
    <t xml:space="preserve">368 bhp @ 6300 rpm  </t>
  </si>
  <si>
    <t xml:space="preserve">E-Class E 200 Exclusive [2019-2019]                </t>
  </si>
  <si>
    <t xml:space="preserve">194 bhp @ 5800 rpm  </t>
  </si>
  <si>
    <t xml:space="preserve">Santro Sportz                                      </t>
  </si>
  <si>
    <t xml:space="preserve">Range Rover 3.0 V6 Diesel Vogue                    </t>
  </si>
  <si>
    <t xml:space="preserve">244 bhp @ 4000 rpm  </t>
  </si>
  <si>
    <t xml:space="preserve">Cooper D 3 Door                                    </t>
  </si>
  <si>
    <t xml:space="preserve">Endeavour Titanium Plus 3.2 4x4 AT                 </t>
  </si>
  <si>
    <t xml:space="preserve">Duster 110 PS RXZ 4X2 AMT Diesel                   </t>
  </si>
  <si>
    <t xml:space="preserve">Vitara Brezza VDi AGS                              </t>
  </si>
  <si>
    <t xml:space="preserve">Seltos HTX 1.5 [2020-2021]                         </t>
  </si>
  <si>
    <t xml:space="preserve">Eeco 5 STR WITH A/C+HTR [2019-2020]                </t>
  </si>
  <si>
    <t xml:space="preserve">S-Cross Alpha 1.3                                  </t>
  </si>
  <si>
    <t xml:space="preserve">Elite i20 Sportz 1.4 CRDI                          </t>
  </si>
  <si>
    <t xml:space="preserve">Fluence 1.5 E4                                     </t>
  </si>
  <si>
    <t xml:space="preserve">108 bhp @ 4000 rpm  </t>
  </si>
  <si>
    <t xml:space="preserve">Grand i10 Sports Edition 1.2L Kappa VTVT           </t>
  </si>
  <si>
    <t xml:space="preserve">A3 35 TDI Premium + Sunroof                        </t>
  </si>
  <si>
    <t xml:space="preserve">Grand i10 NIOS Sportz AMT 1.2 Kappa VTVT           </t>
  </si>
  <si>
    <t xml:space="preserve">Fortuner 2.8 4x2 MT [2016-2020]                    </t>
  </si>
  <si>
    <t xml:space="preserve">A4 30 TFSI Technology Pack                         </t>
  </si>
  <si>
    <t xml:space="preserve">1395 cc </t>
  </si>
  <si>
    <t xml:space="preserve">148 bhp @ 5000 rpm  </t>
  </si>
  <si>
    <t xml:space="preserve">Jazz V Petrol                                      </t>
  </si>
  <si>
    <t xml:space="preserve">GLC 200 Progressive                                </t>
  </si>
  <si>
    <t xml:space="preserve">194 bhp @ 5500 rpm  </t>
  </si>
  <si>
    <t xml:space="preserve">Celerio ZXi [2017-2019]                            </t>
  </si>
  <si>
    <t xml:space="preserve">Thar LX 4-STR Hard Top Diesel MT                   </t>
  </si>
  <si>
    <t xml:space="preserve">Eon Magna [2011-2012]                              </t>
  </si>
  <si>
    <t xml:space="preserve">Vitara Brezza ZDi+ Dual Tone [2017-2018]           </t>
  </si>
  <si>
    <t xml:space="preserve">XUV700 AX 7 Diesel AT 7 STR                        </t>
  </si>
  <si>
    <t xml:space="preserve">182 bhp @ 3500 rpm  </t>
  </si>
  <si>
    <t xml:space="preserve">Wagon R LXi (O) 1.0 CNG [2019-2020]                </t>
  </si>
  <si>
    <t xml:space="preserve">Elite i20 Sportz 1.2 IVT                           </t>
  </si>
  <si>
    <t xml:space="preserve">City 1.5 V MT                                      </t>
  </si>
  <si>
    <t xml:space="preserve">Fortuner 4x2 AT                                    </t>
  </si>
  <si>
    <t xml:space="preserve">Verna Fluidic 1.6 CRDi                             </t>
  </si>
  <si>
    <t xml:space="preserve">128 bhp @ 4000 rpm  </t>
  </si>
  <si>
    <t xml:space="preserve">i20 Active 1.2 S                                   </t>
  </si>
  <si>
    <t xml:space="preserve">XL6 Zeta MT Petrol                                 </t>
  </si>
  <si>
    <t xml:space="preserve">Seltos GTX Plus 1.4 [2020-2021]                    </t>
  </si>
  <si>
    <t xml:space="preserve">Alto VXi AMT                                       </t>
  </si>
  <si>
    <t xml:space="preserve">Q7 Technology 55 TFSI                              </t>
  </si>
  <si>
    <t xml:space="preserve">335 bhp @ 5200 rpm  </t>
  </si>
  <si>
    <t xml:space="preserve">XUV500 W10 AT                                      </t>
  </si>
  <si>
    <t xml:space="preserve">X1 sDrive20i xLine                                 </t>
  </si>
  <si>
    <t xml:space="preserve">189 bhp @ 5000 rpm  </t>
  </si>
  <si>
    <t xml:space="preserve">City E Diesel                                      </t>
  </si>
  <si>
    <t xml:space="preserve">Micra XV CVT [2016-2017]                           </t>
  </si>
  <si>
    <t xml:space="preserve">76 bhp @ 6000 rpm   </t>
  </si>
  <si>
    <t xml:space="preserve">Venue SX 1.4 CRDi                                  </t>
  </si>
  <si>
    <t xml:space="preserve">Tiguan AllSpace 2.0 TSI                            </t>
  </si>
  <si>
    <t xml:space="preserve">Creta SX 1.6 AT CRDi                               </t>
  </si>
  <si>
    <t xml:space="preserve">A-Class A 200d                                     </t>
  </si>
  <si>
    <t xml:space="preserve">Creta EX 1.4 CRDi                                  </t>
  </si>
  <si>
    <t xml:space="preserve">S-Class S 350 CDI                                  </t>
  </si>
  <si>
    <t xml:space="preserve">255 bhp @ 3600 rpm  </t>
  </si>
  <si>
    <t xml:space="preserve">Verna SX Plus 1.6 CRDi AT                          </t>
  </si>
  <si>
    <t xml:space="preserve">Alcazar Signature (O) 6 STR 2.0 Petrol AT          </t>
  </si>
  <si>
    <t xml:space="preserve">157 bhp @ 6500 rpm  </t>
  </si>
  <si>
    <t xml:space="preserve">Amaze 1.2 V CVT Petrol [2018-2020]                 </t>
  </si>
  <si>
    <t xml:space="preserve">Ertiga VXI CNG                                     </t>
  </si>
  <si>
    <t xml:space="preserve">94 bhp @ 6000 rpm   </t>
  </si>
  <si>
    <t xml:space="preserve">Amaze 1.2 S MT Petrol [2018-2020]                  </t>
  </si>
  <si>
    <t xml:space="preserve">E-Class E 200                                      </t>
  </si>
  <si>
    <t xml:space="preserve">184 bhp @ 5500 rpm  </t>
  </si>
  <si>
    <t xml:space="preserve">Evoque SE                                          </t>
  </si>
  <si>
    <t xml:space="preserve">Q5 2.0 TDI quattro Premium Plus                    </t>
  </si>
  <si>
    <t xml:space="preserve">XUV300 1.5 W6 [2019-2020]                          </t>
  </si>
  <si>
    <t xml:space="preserve">XF Prestige Diesel CBU                             </t>
  </si>
  <si>
    <t xml:space="preserve">C-Class C200 Progressive                           </t>
  </si>
  <si>
    <t xml:space="preserve">201 bhp @ 5800 rpm  </t>
  </si>
  <si>
    <t xml:space="preserve">Compass Model S (O) Diesel 4x4 AT                  </t>
  </si>
  <si>
    <t xml:space="preserve">Etios Liva GD                                      </t>
  </si>
  <si>
    <t xml:space="preserve">i10 Asta 1.2 AT with Sunroof                       </t>
  </si>
  <si>
    <t xml:space="preserve">Scorpio VLX 2WD Airbag BS-IV                       </t>
  </si>
  <si>
    <t xml:space="preserve">Range Rover Sport SDV6 HSE                         </t>
  </si>
  <si>
    <t xml:space="preserve">289 bhp @ 4000 rpm  </t>
  </si>
  <si>
    <t xml:space="preserve">City ZX CVT Petrol [2017-2019]                     </t>
  </si>
  <si>
    <t xml:space="preserve">A4 1.8 TFSI Multitronic Premium Plus               </t>
  </si>
  <si>
    <t xml:space="preserve">170 bhp @ 3800 rpm  </t>
  </si>
  <si>
    <t xml:space="preserve">Chevrolet     </t>
  </si>
  <si>
    <t xml:space="preserve">Cruze LTZ AT                                       </t>
  </si>
  <si>
    <t xml:space="preserve">164 bhp @ 3800 rpm  </t>
  </si>
  <si>
    <t xml:space="preserve">Creta SX 1.6 CRDi                                  </t>
  </si>
  <si>
    <t xml:space="preserve">Ertiga VDI SHVS                                    </t>
  </si>
  <si>
    <t xml:space="preserve">Sonata 2.0 CRDi                                    </t>
  </si>
  <si>
    <t xml:space="preserve">Innova 2.8 ZX AT 7 STR [2016-2020]                 </t>
  </si>
  <si>
    <t xml:space="preserve">Amaze 1.5 VX CVT Diesel                            </t>
  </si>
  <si>
    <t xml:space="preserve">79 bhp @ 3600 rpm   </t>
  </si>
  <si>
    <t xml:space="preserve">Innova ZX 2.7 AT 7 STR                             </t>
  </si>
  <si>
    <t xml:space="preserve">Aspire Titanium 1.2 Ti-VCT                         </t>
  </si>
  <si>
    <t xml:space="preserve">87 bhp @ 6300 rpm   </t>
  </si>
  <si>
    <t xml:space="preserve">Ciaz Delta 1.5 Diesel                              </t>
  </si>
  <si>
    <t xml:space="preserve">94 bhp @ 4000 rpm   </t>
  </si>
  <si>
    <t xml:space="preserve">Celerio VXi                                        </t>
  </si>
  <si>
    <t xml:space="preserve">Urban Cruiser Premium Grade AT                     </t>
  </si>
  <si>
    <t xml:space="preserve">Creta E Plus 1.4 CRDI                              </t>
  </si>
  <si>
    <t xml:space="preserve">A3 35 TDI Premium Plus                             </t>
  </si>
  <si>
    <t xml:space="preserve">XUV500 W8 AWD [2015-2017]                          </t>
  </si>
  <si>
    <t xml:space="preserve">i10 1.1L iRDE ERA Special Edition                  </t>
  </si>
  <si>
    <t xml:space="preserve">Verna Fluidic 1.6 VTVT SX AT                       </t>
  </si>
  <si>
    <t xml:space="preserve">A4 2.0 TDI (177bhp) Premium                        </t>
  </si>
  <si>
    <t xml:space="preserve">A3 35 TDI Premium                                  </t>
  </si>
  <si>
    <t xml:space="preserve">Grand i10 Asta 1.2 Kappa VTVT                      </t>
  </si>
  <si>
    <t xml:space="preserve">A3 40 TFSI Premium Plus + sunroof                  </t>
  </si>
  <si>
    <t xml:space="preserve">178 bhp @ 5100 rpm  </t>
  </si>
  <si>
    <t xml:space="preserve">C-Class C 220 CDI Avantgarde                       </t>
  </si>
  <si>
    <t xml:space="preserve">E-Class E 350 d Exclusive [2017-2019]              </t>
  </si>
  <si>
    <t xml:space="preserve">Pajero SFX 2.8                                     </t>
  </si>
  <si>
    <t xml:space="preserve">2835 cc </t>
  </si>
  <si>
    <t xml:space="preserve">118 bhp @ 4000 rpm  </t>
  </si>
  <si>
    <t xml:space="preserve">Etios G                                            </t>
  </si>
  <si>
    <t xml:space="preserve">90 bhp @ 5600 rpm   </t>
  </si>
  <si>
    <t xml:space="preserve">Marazzo M6 Plus 8 STR                              </t>
  </si>
  <si>
    <t xml:space="preserve">A6 3.0 TDI quattro Premium                         </t>
  </si>
  <si>
    <t xml:space="preserve">245 bhp @ 4000 rpm  </t>
  </si>
  <si>
    <t xml:space="preserve">Innova 2.5 VX 7 STR BS-III                         </t>
  </si>
  <si>
    <t xml:space="preserve">Fortuner 2.8 4x4 AT [2016-2020]                    </t>
  </si>
  <si>
    <t xml:space="preserve">Go T (O)                                           </t>
  </si>
  <si>
    <t xml:space="preserve">Cruze LTZ                                          </t>
  </si>
  <si>
    <t xml:space="preserve">Creta SX 1.4 Turbo 7 DCT                           </t>
  </si>
  <si>
    <t xml:space="preserve">V40 D3 R-Design                                    </t>
  </si>
  <si>
    <t xml:space="preserve">Cooper S                                           </t>
  </si>
  <si>
    <t xml:space="preserve">189 bhp @           </t>
  </si>
  <si>
    <t xml:space="preserve">TUV300 T6 Plus                                     </t>
  </si>
  <si>
    <t xml:space="preserve">Creta 1.6 SX                                       </t>
  </si>
  <si>
    <t xml:space="preserve">DZire ZXi                                          </t>
  </si>
  <si>
    <t xml:space="preserve">Tiago Revotron XZ                                  </t>
  </si>
  <si>
    <t xml:space="preserve">C-Class 220 CDI AT                                 </t>
  </si>
  <si>
    <t xml:space="preserve">2148 cc </t>
  </si>
  <si>
    <t xml:space="preserve">Gloster Sharp 6 STR 2.0 Twin Turbo 4WD             </t>
  </si>
  <si>
    <t xml:space="preserve">E-Class E220 CDI Blue Efficiency                   </t>
  </si>
  <si>
    <t xml:space="preserve">231 bhp @ 3000 rpm  </t>
  </si>
  <si>
    <t xml:space="preserve">Vitara Brezza ZDi                                  </t>
  </si>
  <si>
    <t xml:space="preserve">A6 2.0 TDI Premium Plus                            </t>
  </si>
  <si>
    <t xml:space="preserve">City VX CVT                                        </t>
  </si>
  <si>
    <t xml:space="preserve">Santro Magna [2018-2020]                           </t>
  </si>
  <si>
    <t xml:space="preserve">Scorpio S11 2WD 7 STR                              </t>
  </si>
  <si>
    <t xml:space="preserve">Grand i10 Sportz 1.2 Kappa VTVT [2016-2017]        </t>
  </si>
  <si>
    <t xml:space="preserve">City ZX Diesel                                     </t>
  </si>
  <si>
    <t xml:space="preserve">E-Class E250 CDI Avantgarde                        </t>
  </si>
  <si>
    <t xml:space="preserve">Sunny XV Diesel                                    </t>
  </si>
  <si>
    <t xml:space="preserve">85 bhp @ 3750 rpm   </t>
  </si>
  <si>
    <t xml:space="preserve">Ecosport Titanium 1.5L Ti-VCT                      </t>
  </si>
  <si>
    <t xml:space="preserve">121 bhp @ 6500 rpm  </t>
  </si>
  <si>
    <t xml:space="preserve">A4 30 TFSI Premium Plus                            </t>
  </si>
  <si>
    <t xml:space="preserve">Creta SX 1.6 (O) Petrol                            </t>
  </si>
  <si>
    <t xml:space="preserve">718 Boxster                                        </t>
  </si>
  <si>
    <t xml:space="preserve">Yellow </t>
  </si>
  <si>
    <t xml:space="preserve">Creta SX 1.5 Diesel [2020-2022]                    </t>
  </si>
  <si>
    <t xml:space="preserve">XUV500 W6 2013                                     </t>
  </si>
  <si>
    <t xml:space="preserve">GLC 220d 4MATIC Progressive [2019-2021]            </t>
  </si>
  <si>
    <t xml:space="preserve">Wagon R VXI+ AMT                                   </t>
  </si>
  <si>
    <t xml:space="preserve">Brio E MT                                          </t>
  </si>
  <si>
    <t xml:space="preserve">Range Rover Sport SDV6 SE                          </t>
  </si>
  <si>
    <t xml:space="preserve">Swift ZXi AMT [2018-2019]                          </t>
  </si>
  <si>
    <t xml:space="preserve">Creta 1.6 SX (O)                                   </t>
  </si>
  <si>
    <t xml:space="preserve">Discovery Sport HSE Luxury                         </t>
  </si>
  <si>
    <t xml:space="preserve">i20 Active 1.2 SX                                  </t>
  </si>
  <si>
    <t xml:space="preserve">Safari XZ Plus                                     </t>
  </si>
  <si>
    <t xml:space="preserve">Octavia 1.8 TSI Ambition Plus AT                   </t>
  </si>
  <si>
    <t xml:space="preserve">177 bhp @ 4500 rpm  </t>
  </si>
  <si>
    <t xml:space="preserve">Creta SX 1.6 CRDI                                  </t>
  </si>
  <si>
    <t xml:space="preserve">Vitara Brezza VDi (O) [2016-2018]                  </t>
  </si>
  <si>
    <t xml:space="preserve">Eeco 5 STR WITH HTR CNG [2018-2019]                </t>
  </si>
  <si>
    <t xml:space="preserve">XJ 3.0 Petrol                                      </t>
  </si>
  <si>
    <t xml:space="preserve">335 bhp @ 6500 rpm  </t>
  </si>
  <si>
    <t xml:space="preserve">7-Series 730Ld DPE                                 </t>
  </si>
  <si>
    <t xml:space="preserve">Tucson GL 2WD AT Diesel                            </t>
  </si>
  <si>
    <t xml:space="preserve">i20 Sportz 1.4 CRDI                                </t>
  </si>
  <si>
    <t xml:space="preserve">Evoque Dynamic SD4                                 </t>
  </si>
  <si>
    <t xml:space="preserve">Ertiga Vxi CNG                                     </t>
  </si>
  <si>
    <t xml:space="preserve">Grand i10 Asta 1.2 Kappa VTVT [2013-2016]          </t>
  </si>
  <si>
    <t xml:space="preserve">Corolla Altis 1.8 G AT                             </t>
  </si>
  <si>
    <t xml:space="preserve">Swift LXi                                          </t>
  </si>
  <si>
    <t xml:space="preserve">Ciaz Delta 1.4 MT                                  </t>
  </si>
  <si>
    <t xml:space="preserve">Octavia 1.8 TSI L&amp;K                                </t>
  </si>
  <si>
    <t xml:space="preserve">Discovery Sport SE R-Dynamic Petrol                </t>
  </si>
  <si>
    <t xml:space="preserve">245 bhp @ 5500 rpm  </t>
  </si>
  <si>
    <t xml:space="preserve">Kwid RXT [2015-2019]                               </t>
  </si>
  <si>
    <t xml:space="preserve">Etios GD                                           </t>
  </si>
  <si>
    <t xml:space="preserve">68 bhp @ 3600 rpm   </t>
  </si>
  <si>
    <t xml:space="preserve">A-Class Sedan 200d                                 </t>
  </si>
  <si>
    <t xml:space="preserve">147 bhp @ 3400 rpm  </t>
  </si>
  <si>
    <t xml:space="preserve">Elite i20 Magna 1.4 CRDI [2016-2017]               </t>
  </si>
  <si>
    <t xml:space="preserve">S-Class 350                                        </t>
  </si>
  <si>
    <t xml:space="preserve">Estilo VXi                                         </t>
  </si>
  <si>
    <t xml:space="preserve">Pink   </t>
  </si>
  <si>
    <t xml:space="preserve">Elite i20 Magna Executive 1.2                      </t>
  </si>
  <si>
    <t xml:space="preserve">Scorpio LX BS-III                                  </t>
  </si>
  <si>
    <t xml:space="preserve">Ssangyong     </t>
  </si>
  <si>
    <t xml:space="preserve">Rexton RX7                                         </t>
  </si>
  <si>
    <t xml:space="preserve">2696 cc </t>
  </si>
  <si>
    <t xml:space="preserve">X5 3.0d                                            </t>
  </si>
  <si>
    <t xml:space="preserve">Amaze 1.2 S i-VTEC Opt                             </t>
  </si>
  <si>
    <t xml:space="preserve">Q7 45 TDI Technology Pack                          </t>
  </si>
  <si>
    <t xml:space="preserve">Elantra 1.6 SX AT                                  </t>
  </si>
  <si>
    <t xml:space="preserve">A4 Premium Plus 40 TFSI                            </t>
  </si>
  <si>
    <t xml:space="preserve">Grand i10 Asta 1.2 Kappa VTVT (O) [2013-2017]      </t>
  </si>
  <si>
    <t xml:space="preserve">Rapid Elegance 1.6 MPI AT                          </t>
  </si>
  <si>
    <t xml:space="preserve">Q7 35 TDI Premium Plus + Sunroof                   </t>
  </si>
  <si>
    <t xml:space="preserve">5-Series 520d Sport Line                           </t>
  </si>
  <si>
    <t xml:space="preserve">Duster 85 PS RxL Diesel                            </t>
  </si>
  <si>
    <t xml:space="preserve">6-Series GT 630d Luxury Line [2018-2019]           </t>
  </si>
  <si>
    <t xml:space="preserve">265 bhp @ 4000 rpm  </t>
  </si>
  <si>
    <t xml:space="preserve">Compass Limited 2.0 Diesel [2017-2020]             </t>
  </si>
  <si>
    <t xml:space="preserve">Swift DZire ZXI                                    </t>
  </si>
  <si>
    <t xml:space="preserve">Polo Trendline 1.0L (P)                            </t>
  </si>
  <si>
    <t xml:space="preserve">Celerio LXi                                        </t>
  </si>
  <si>
    <t xml:space="preserve">Corolla Altis GL                                   </t>
  </si>
  <si>
    <t xml:space="preserve">87 bhp @ 3800 rpm   </t>
  </si>
  <si>
    <t xml:space="preserve">Ciaz ZDi SHVS                                      </t>
  </si>
  <si>
    <t xml:space="preserve">Wagon R LXi LPG                                    </t>
  </si>
  <si>
    <t xml:space="preserve">46 bhp @ 6200 rpm   </t>
  </si>
  <si>
    <t xml:space="preserve">Scorpio S2                                         </t>
  </si>
  <si>
    <t xml:space="preserve">City 1.5 V AT                                      </t>
  </si>
  <si>
    <t xml:space="preserve">Compass Limited 1.4 Petrol AT [2017-2020]          </t>
  </si>
  <si>
    <t xml:space="preserve">Ciaz ZXI+                                          </t>
  </si>
  <si>
    <t xml:space="preserve">Corolla Altis 1.8 VL AT                            </t>
  </si>
  <si>
    <t xml:space="preserve">1794 cc </t>
  </si>
  <si>
    <t xml:space="preserve">5-Series 520d Sedan                                </t>
  </si>
  <si>
    <t xml:space="preserve">A6 Technology 45 TFSI                              </t>
  </si>
  <si>
    <t xml:space="preserve">241 bhp @ 5000 rpm  </t>
  </si>
  <si>
    <t xml:space="preserve">XC60 Inscription [2017-2020]                       </t>
  </si>
  <si>
    <t xml:space="preserve">1969 cc </t>
  </si>
  <si>
    <t xml:space="preserve">235 bhp @ 4250 rpm  </t>
  </si>
  <si>
    <t xml:space="preserve">Scorpio S6 Plus 1.99 [2016-2017]                   </t>
  </si>
  <si>
    <t xml:space="preserve">Endeavour Titanium 2.0 4x2 AT                      </t>
  </si>
  <si>
    <t xml:space="preserve">168 bhp @ 3500 rpm  </t>
  </si>
  <si>
    <t xml:space="preserve">Xcent SX CRDi                                      </t>
  </si>
  <si>
    <t xml:space="preserve">Rexton RX6                                         </t>
  </si>
  <si>
    <t xml:space="preserve">162 bhp @ 4000 rpm  </t>
  </si>
  <si>
    <t xml:space="preserve">City VX                                            </t>
  </si>
  <si>
    <t xml:space="preserve">X3 xDrive-20d xLine                                </t>
  </si>
  <si>
    <t xml:space="preserve">Redigo T(O) 1.0 [2017-2019]                        </t>
  </si>
  <si>
    <t xml:space="preserve">i10 Magna 1.1 LPG                                  </t>
  </si>
  <si>
    <t xml:space="preserve">i20 Asta 1.4 AT with AVN                           </t>
  </si>
  <si>
    <t xml:space="preserve">Creta SX Plus 1.6 CRDI Dual Tone                   </t>
  </si>
  <si>
    <t xml:space="preserve">3-Series 320d Prestige                             </t>
  </si>
  <si>
    <t xml:space="preserve">Magnite XL                                         </t>
  </si>
  <si>
    <t xml:space="preserve">71 bhp @ 6250 rpm   </t>
  </si>
  <si>
    <t xml:space="preserve">Celerio ZXi [2019-2020]                            </t>
  </si>
  <si>
    <t xml:space="preserve">Seltos HTK Plus 1.5 Diesel                         </t>
  </si>
  <si>
    <t xml:space="preserve">Santro Era                                         </t>
  </si>
  <si>
    <t xml:space="preserve">Range Rover Sport SDV6 S                           </t>
  </si>
  <si>
    <t xml:space="preserve">Ignis Zeta 1.2 AMT                                 </t>
  </si>
  <si>
    <t xml:space="preserve">Safari 2.2 VX 4x2                                  </t>
  </si>
  <si>
    <t xml:space="preserve">Punto Active 1.3                                   </t>
  </si>
  <si>
    <t xml:space="preserve">75 bhp @ 4000 rpm   </t>
  </si>
  <si>
    <t xml:space="preserve">Q3 30 TDI Premium FWD                              </t>
  </si>
  <si>
    <t xml:space="preserve">C-Class C 300d AMG line                            </t>
  </si>
  <si>
    <t xml:space="preserve">GLA 200 Sport                                      </t>
  </si>
  <si>
    <t xml:space="preserve">City VX CVT Petrol [2017-2019]                     </t>
  </si>
  <si>
    <t xml:space="preserve">S-Cross Sigma 1.3                                  </t>
  </si>
  <si>
    <t xml:space="preserve">XUV700 AX 7 Diesel AT AWD Luxury Pack 7 STR        </t>
  </si>
  <si>
    <t xml:space="preserve">A7 Sportback 3.0 TDI quattro                       </t>
  </si>
  <si>
    <t xml:space="preserve">241 bhp @ 4000 rpm  </t>
  </si>
  <si>
    <t xml:space="preserve">Swift DZire LDI                                    </t>
  </si>
  <si>
    <t xml:space="preserve">Venue SX (O) 1.0 Turbo iMT                         </t>
  </si>
  <si>
    <t xml:space="preserve">Swift DZire ZDI AMT                                </t>
  </si>
  <si>
    <t xml:space="preserve">Vento Highline Diesel                              </t>
  </si>
  <si>
    <t xml:space="preserve">City V Petrol                                      </t>
  </si>
  <si>
    <t xml:space="preserve">Rolls-Royce   </t>
  </si>
  <si>
    <t xml:space="preserve">Ghost 6.5                                          </t>
  </si>
  <si>
    <t xml:space="preserve">6592 cc </t>
  </si>
  <si>
    <t xml:space="preserve">570 bhp @ 5250 rpm  </t>
  </si>
  <si>
    <t xml:space="preserve">Q3 35 TDI Technology with Navigation               </t>
  </si>
  <si>
    <t xml:space="preserve">Polo Comfortline 1.5L (D)                          </t>
  </si>
  <si>
    <t xml:space="preserve">89 bhp @ 4200 rpm   </t>
  </si>
  <si>
    <t xml:space="preserve">Nexon XM                                           </t>
  </si>
  <si>
    <t xml:space="preserve">Verna 1.6 CRDI SX                                  </t>
  </si>
  <si>
    <t xml:space="preserve">Discovery Sport SE R-Dynamic                       </t>
  </si>
  <si>
    <t xml:space="preserve">City S Petrol                                      </t>
  </si>
  <si>
    <t xml:space="preserve">Figo Trend 1.5L TDCi [2015-2016]                   </t>
  </si>
  <si>
    <t xml:space="preserve">Glanza V                                           </t>
  </si>
  <si>
    <t xml:space="preserve">E-Class E 200 Avantgarde                           </t>
  </si>
  <si>
    <t xml:space="preserve">Alcazar Prestige 7 STR 1.5 Diesel                  </t>
  </si>
  <si>
    <t xml:space="preserve">Santa Fe 2WD AT [2014-2017]                        </t>
  </si>
  <si>
    <t xml:space="preserve">2199 cc </t>
  </si>
  <si>
    <t xml:space="preserve">194 bhp @ 3800 rpm  </t>
  </si>
  <si>
    <t xml:space="preserve">Wagon R VXi 1.2                                    </t>
  </si>
  <si>
    <t xml:space="preserve">Innova 2.4 ZX 7 STR [2016-2020]                    </t>
  </si>
  <si>
    <t xml:space="preserve">Lexus         </t>
  </si>
  <si>
    <t xml:space="preserve">NX 300h Luxury [2017-2020]                         </t>
  </si>
  <si>
    <t xml:space="preserve">194 bhp @ 5700 rpm  </t>
  </si>
  <si>
    <t xml:space="preserve">Innova ZX 2.4 AT 7 STR                             </t>
  </si>
  <si>
    <t xml:space="preserve">Elite i20 Sportz 1.2 [2016-2017]                   </t>
  </si>
  <si>
    <t xml:space="preserve">Duster 110 PS RxL                                  </t>
  </si>
  <si>
    <t xml:space="preserve">Taigun Highline 1.0 TSI AT                         </t>
  </si>
  <si>
    <t xml:space="preserve">114 bhp @ 5000 rpm  </t>
  </si>
  <si>
    <t xml:space="preserve">i20 Active 1.4 S                                   </t>
  </si>
  <si>
    <t xml:space="preserve">Hector Plus Sharp 1.5 DCT Petrol                   </t>
  </si>
  <si>
    <t xml:space="preserve">Discovery HSE                                      </t>
  </si>
  <si>
    <t xml:space="preserve">Santa Fe 4 WD (AT)                                 </t>
  </si>
  <si>
    <t xml:space="preserve">195 bhp @ 4000 rpm  </t>
  </si>
  <si>
    <t xml:space="preserve">Q5 2.0 TDI quattro Premium                         </t>
  </si>
  <si>
    <t xml:space="preserve">Harrier XZ                                         </t>
  </si>
  <si>
    <t xml:space="preserve">Thar CRDe 4x4 Non AC                               </t>
  </si>
  <si>
    <t xml:space="preserve">A3 35 TFSI Premium Plus                            </t>
  </si>
  <si>
    <t xml:space="preserve">Mustang GT Fastback 5.0L v8                        </t>
  </si>
  <si>
    <t xml:space="preserve">4951 cc </t>
  </si>
  <si>
    <t xml:space="preserve">396 bhp @ 6500 rpm  </t>
  </si>
  <si>
    <t xml:space="preserve">39 bhp @ 6200 rpm   </t>
  </si>
  <si>
    <t xml:space="preserve">DZire ZXi Plus AMT                                 </t>
  </si>
  <si>
    <t xml:space="preserve">Rapid Style 1.6 MPI AT                             </t>
  </si>
  <si>
    <t xml:space="preserve">Superb Elegance 1.8 TSI AT                         </t>
  </si>
  <si>
    <t xml:space="preserve">158 bhp @ 4500 rpm  </t>
  </si>
  <si>
    <t xml:space="preserve">Xylo D4                                            </t>
  </si>
  <si>
    <t xml:space="preserve">S60 Kinetic D4                                     </t>
  </si>
  <si>
    <t xml:space="preserve">165 bhp @ 3500 rpm  </t>
  </si>
  <si>
    <t xml:space="preserve">Macan S [2019-2020]                                </t>
  </si>
  <si>
    <t xml:space="preserve">349 bhp @ 5400 rpm  </t>
  </si>
  <si>
    <t xml:space="preserve">Macan Base [2019-2020]                             </t>
  </si>
  <si>
    <t xml:space="preserve">Baleno Zeta 1.2 AT                                 </t>
  </si>
  <si>
    <t xml:space="preserve">Eeco 5 STR [2014-2019]                             </t>
  </si>
  <si>
    <t xml:space="preserve">Ertiga LXI                                         </t>
  </si>
  <si>
    <t xml:space="preserve">A3 35 TDI Premium Plus + Sunroof                   </t>
  </si>
  <si>
    <t xml:space="preserve">Compass Sport 1.4 Petrol                           </t>
  </si>
  <si>
    <t xml:space="preserve">Swift DZire VXI AT                                 </t>
  </si>
  <si>
    <t xml:space="preserve">i20 Asta 1.2                                       </t>
  </si>
  <si>
    <t xml:space="preserve">i20 Magna (O) 1.2                                  </t>
  </si>
  <si>
    <t xml:space="preserve">Q3 35 TDI Technology                               </t>
  </si>
  <si>
    <t xml:space="preserve">Seltos GTX Plus 1.4 DCT                            </t>
  </si>
  <si>
    <t xml:space="preserve">Elantra SX (O) 2.0 AT                              </t>
  </si>
  <si>
    <t xml:space="preserve">150 bhp @ 6200 rpm  </t>
  </si>
  <si>
    <t xml:space="preserve">Accent Executive                                   </t>
  </si>
  <si>
    <t xml:space="preserve">1495 cc </t>
  </si>
  <si>
    <t xml:space="preserve">94 bhp @ 5500 rpm   </t>
  </si>
  <si>
    <t xml:space="preserve">S-Presso VXi Plus                                  </t>
  </si>
  <si>
    <t xml:space="preserve">ES 300h Exquisite [2020-2021]                      </t>
  </si>
  <si>
    <t xml:space="preserve">Hybrid       </t>
  </si>
  <si>
    <t xml:space="preserve">2487 cc </t>
  </si>
  <si>
    <t xml:space="preserve">176 bhp @ 5700 rpm  </t>
  </si>
  <si>
    <t xml:space="preserve">Swift DZire LXI (O)                                </t>
  </si>
  <si>
    <t xml:space="preserve">Q3 35 TDI quattro Technology                       </t>
  </si>
  <si>
    <t xml:space="preserve">S-Presso VXi (O)                                   </t>
  </si>
  <si>
    <t xml:space="preserve">Countryman Cooper S JCW Inspired                   </t>
  </si>
  <si>
    <t xml:space="preserve">189 bhp @ 4400 rpm  </t>
  </si>
  <si>
    <t xml:space="preserve">Innova 2.7 ZX AT 7 STR                             </t>
  </si>
  <si>
    <t xml:space="preserve">Amaze 1.5 VX i-DTEC                                </t>
  </si>
  <si>
    <t xml:space="preserve">Scorpio S4 1.99 [2016-2017]                        </t>
  </si>
  <si>
    <t xml:space="preserve">Grand i10 Magna AT 1.2 Kappa VTVT                  </t>
  </si>
  <si>
    <t xml:space="preserve">Eeco 5 STR WITH A/C+HTR CNG [2017-2019]            </t>
  </si>
  <si>
    <t xml:space="preserve">Swift ZXi Plus [2018-2019]                         </t>
  </si>
  <si>
    <t xml:space="preserve">Eeco 7 STR STD (O)                                 </t>
  </si>
  <si>
    <t xml:space="preserve">72 bhp @ 6000 rpm   </t>
  </si>
  <si>
    <t xml:space="preserve">Eon Sportz                                         </t>
  </si>
  <si>
    <t xml:space="preserve">Ecosport Titanium 1.5 Ti-VCT                       </t>
  </si>
  <si>
    <t xml:space="preserve">Duster 110 PS RXZ 4X2 MT Diesel                    </t>
  </si>
  <si>
    <t xml:space="preserve">GLE 350 d                                          </t>
  </si>
  <si>
    <t xml:space="preserve">Alto VXi [2014-2019]                               </t>
  </si>
  <si>
    <t xml:space="preserve">Yaris V CVT                                        </t>
  </si>
  <si>
    <t xml:space="preserve">106 bhp @ 6000 rpm  </t>
  </si>
  <si>
    <t xml:space="preserve">2 Series Gran Coupe 220d M Sport [2020-2021]       </t>
  </si>
  <si>
    <t xml:space="preserve">Polo GT TDI                                        </t>
  </si>
  <si>
    <t xml:space="preserve">Tiago Revotron XM (O) [2016-2019]                  </t>
  </si>
  <si>
    <t xml:space="preserve">Scorpio LX BS-IV                                   </t>
  </si>
  <si>
    <t xml:space="preserve">Ikon DuraTorq 1.4 TDCi                             </t>
  </si>
  <si>
    <t xml:space="preserve">Cooper D 5 Door                                    </t>
  </si>
  <si>
    <t xml:space="preserve">Vellfire Hybrid                                    </t>
  </si>
  <si>
    <t xml:space="preserve">115 bhp @ 4700 rpm  </t>
  </si>
  <si>
    <t xml:space="preserve">Celerio ZXi                                        </t>
  </si>
  <si>
    <t xml:space="preserve">Elantra 1.8 SX AT                                  </t>
  </si>
  <si>
    <t xml:space="preserve">Duster 85 PS RXS 4X2 MT Diesel                     </t>
  </si>
  <si>
    <t xml:space="preserve">Celerio VXi [2019-2020]                            </t>
  </si>
  <si>
    <t xml:space="preserve">Seltos HTK Plus 1.5 iMT                            </t>
  </si>
  <si>
    <t xml:space="preserve">XJ 3.0 V6 Portfolio                                </t>
  </si>
  <si>
    <t xml:space="preserve">271 bhp @ 4000 rpm  </t>
  </si>
  <si>
    <t xml:space="preserve">Verna 1.6 CRDI SX (O)                              </t>
  </si>
  <si>
    <t xml:space="preserve">Verna Fluidic 1.6 VTVT SX Opt AT                   </t>
  </si>
  <si>
    <t xml:space="preserve">Q8 Celebration                                     </t>
  </si>
  <si>
    <t xml:space="preserve">335 bhp @ 5000 rpm  </t>
  </si>
  <si>
    <t xml:space="preserve">X4 xDrive30d M Sport X [2019-2020]                 </t>
  </si>
  <si>
    <t xml:space="preserve">260 bhp @ 4000 rpm  </t>
  </si>
  <si>
    <t xml:space="preserve">City VX (O) MT BL                                  </t>
  </si>
  <si>
    <t xml:space="preserve">Harrier XZA Plus                                   </t>
  </si>
  <si>
    <t xml:space="preserve">Compass Model S (O) 1.4 Petrol DCT                 </t>
  </si>
  <si>
    <t xml:space="preserve">161 bhp @ 5500 rpm  </t>
  </si>
  <si>
    <t xml:space="preserve">X6 xDrive40i M Sport                               </t>
  </si>
  <si>
    <t xml:space="preserve">2998 cc </t>
  </si>
  <si>
    <t xml:space="preserve">335 bhp @ 5500 rpm  </t>
  </si>
  <si>
    <t xml:space="preserve">XL6 Alpha AT Petrol                                </t>
  </si>
  <si>
    <t xml:space="preserve">Tigor XZA Plus                                     </t>
  </si>
  <si>
    <t xml:space="preserve">Creta E Plus 1.6 Petrol                            </t>
  </si>
  <si>
    <t xml:space="preserve">Ciaz Alpha Hybrid 1.5 [2018-2020]                  </t>
  </si>
  <si>
    <t xml:space="preserve">XUV500 W11                                         </t>
  </si>
  <si>
    <t xml:space="preserve">Elite i20 Magna 1.2 [2016-2017]                    </t>
  </si>
  <si>
    <t xml:space="preserve">Elite i20 Asta 1.2 IVT                             </t>
  </si>
  <si>
    <t xml:space="preserve">A4 2.0 TDI (143bhp)                                </t>
  </si>
  <si>
    <t xml:space="preserve">141 bhp @ 4200 rpm  </t>
  </si>
  <si>
    <t xml:space="preserve">Creta 1.4 S Plus                                   </t>
  </si>
  <si>
    <t xml:space="preserve">Venue SX (O) 1.5 CRDi                              </t>
  </si>
  <si>
    <t xml:space="preserve">Go Plus T                                          </t>
  </si>
  <si>
    <t xml:space="preserve">Amaze 1.2 S CVT Petrol [2018-2020]                 </t>
  </si>
  <si>
    <t xml:space="preserve">Baleno Delta 1.3                                   </t>
  </si>
  <si>
    <t xml:space="preserve">Kushaq Style 1.0L TSI MT                           </t>
  </si>
  <si>
    <t xml:space="preserve">Verna 1.6 VTVT SX (O)                              </t>
  </si>
  <si>
    <t xml:space="preserve">Pajero Select Plus AT                              </t>
  </si>
  <si>
    <t xml:space="preserve">Elite i20 Sportz 1.4 CRDI [2016-2017]              </t>
  </si>
  <si>
    <t xml:space="preserve">Creta SX (O) 1.5 Diesel [2020-2022]                </t>
  </si>
  <si>
    <t xml:space="preserve">Yaris J CVT [2018-2020]                            </t>
  </si>
  <si>
    <t xml:space="preserve">Endeavour Trend 2.2 4x2 AT                         </t>
  </si>
  <si>
    <t xml:space="preserve">2198 cc </t>
  </si>
  <si>
    <t xml:space="preserve">158 bhp @ 3200 rpm  </t>
  </si>
  <si>
    <t xml:space="preserve">Ciaz VDi+ SHVS                                     </t>
  </si>
  <si>
    <t xml:space="preserve">Duster 110 PS RxZ Diesel                           </t>
  </si>
  <si>
    <t xml:space="preserve">Endeavour Sport 2.0 4x4 AT                         </t>
  </si>
  <si>
    <t xml:space="preserve">Kushaq Style 1.0L TSI AT                           </t>
  </si>
  <si>
    <t xml:space="preserve">Mobilio RS Diesel                                  </t>
  </si>
  <si>
    <t xml:space="preserve">Ghost Extended Wheelbase                           </t>
  </si>
  <si>
    <t xml:space="preserve">Santro Sportz CNG [2018-2020]                      </t>
  </si>
  <si>
    <t xml:space="preserve">C-Class 220 CDI Elegance AT                        </t>
  </si>
  <si>
    <t xml:space="preserve">S-Cross Delta 1.6                                  </t>
  </si>
  <si>
    <t xml:space="preserve">Compass Longitude (O) 1.4 Petrol AT [2019-2020]    </t>
  </si>
  <si>
    <t xml:space="preserve">Discovery Sport SE                                 </t>
  </si>
  <si>
    <t xml:space="preserve">Swift DZire ZDi BS-IV                              </t>
  </si>
  <si>
    <t xml:space="preserve">Ciaz VDi (O) SHVS                                  </t>
  </si>
  <si>
    <t xml:space="preserve">WR-V S MT Diesel                                   </t>
  </si>
  <si>
    <t xml:space="preserve">Creta 1.6 SX Plus Special Edition                  </t>
  </si>
  <si>
    <t xml:space="preserve">SX4 ZDI                                            </t>
  </si>
  <si>
    <t xml:space="preserve">Verna SX Plus 1.6 VTVT AT                          </t>
  </si>
  <si>
    <t xml:space="preserve">121 bhp @ 6400 rpm  </t>
  </si>
  <si>
    <t xml:space="preserve">i10 Magna                                          </t>
  </si>
  <si>
    <t xml:space="preserve">ES 300h                                            </t>
  </si>
  <si>
    <t xml:space="preserve">TUV300 T10                                         </t>
  </si>
  <si>
    <t xml:space="preserve">GLA 200 CDI Style                                  </t>
  </si>
  <si>
    <t xml:space="preserve">Range Rover 3.0 V6 Diesel Vogue LWB                </t>
  </si>
  <si>
    <t xml:space="preserve">Hector Sharp 1.5 DCT Petrol Dual Tone              </t>
  </si>
  <si>
    <t xml:space="preserve">Ertiga VDi 1.3 Diesel                              </t>
  </si>
  <si>
    <t xml:space="preserve">Discovery Sport HSE Luxury 7-Seater                </t>
  </si>
  <si>
    <t xml:space="preserve">XF Portfolio Diesel                                </t>
  </si>
  <si>
    <t xml:space="preserve">Grand i10 Asta AT 1.2 Kappa VTVT (O) [2016-2017]   </t>
  </si>
  <si>
    <t xml:space="preserve">Hector Plus Smart 1.5 DCT Petrol                   </t>
  </si>
  <si>
    <t xml:space="preserve">City SV CVT                                        </t>
  </si>
  <si>
    <t xml:space="preserve">Baleno Zeta 1.3                                    </t>
  </si>
  <si>
    <t xml:space="preserve">XJ 3.0 Portfolio                                   </t>
  </si>
  <si>
    <t xml:space="preserve">225 bhp @ 4000 rpm  </t>
  </si>
  <si>
    <t xml:space="preserve">Alto 800 Lx CNG                                    </t>
  </si>
  <si>
    <t xml:space="preserve">48 bhp @ 6000 rpm   </t>
  </si>
  <si>
    <t xml:space="preserve">Santro GLS                                         </t>
  </si>
  <si>
    <t xml:space="preserve">Creta 1.6 S Plus AT                                </t>
  </si>
  <si>
    <t xml:space="preserve">A8 3.0 TDI quattro                                 </t>
  </si>
  <si>
    <t xml:space="preserve">247 bhp @ 4000 rpm  </t>
  </si>
  <si>
    <t xml:space="preserve">Jazz V Diesel                                      </t>
  </si>
  <si>
    <t xml:space="preserve">98 bhp @ 3600 rpm   </t>
  </si>
  <si>
    <t xml:space="preserve">Q7 3.0 TDI quattro Premium                         </t>
  </si>
  <si>
    <t xml:space="preserve">Eon Magna +                                        </t>
  </si>
  <si>
    <t xml:space="preserve">Evoque SE Dynamic                                  </t>
  </si>
  <si>
    <t xml:space="preserve">Redigo T(O) 1.0                                    </t>
  </si>
  <si>
    <t xml:space="preserve">Grand i10 Magna 1.2 Kappa VTVT [2016-2017]         </t>
  </si>
  <si>
    <t xml:space="preserve">Vento Comfortline Diesel                           </t>
  </si>
  <si>
    <t xml:space="preserve">Captiva LTZ AWD AT                                 </t>
  </si>
  <si>
    <t xml:space="preserve">Ecosport Titanium + 1.5L TDCi                      </t>
  </si>
  <si>
    <t xml:space="preserve">A3 40 TFSI Premium                                 </t>
  </si>
  <si>
    <t xml:space="preserve">Superb Style TSI AT                                </t>
  </si>
  <si>
    <t xml:space="preserve">Alturas G4 4WD AT [2018-2020]                      </t>
  </si>
  <si>
    <t xml:space="preserve">2157 cc </t>
  </si>
  <si>
    <t xml:space="preserve">178 bhp @ 4000 rpm  </t>
  </si>
  <si>
    <t xml:space="preserve">Carnival Limousine Plus 7 STR                      </t>
  </si>
  <si>
    <t xml:space="preserve">197 bhp @ 3800 rpm  </t>
  </si>
  <si>
    <t xml:space="preserve">GLA 220 d Activity Edition                         </t>
  </si>
  <si>
    <t xml:space="preserve">168 bhp @ 3400 rpm  </t>
  </si>
  <si>
    <t xml:space="preserve">Santro XO eRLX - Euro III                          </t>
  </si>
  <si>
    <t xml:space="preserve">Scorpio S5                                         </t>
  </si>
  <si>
    <t xml:space="preserve">137 bhp @ 3750 rpm  </t>
  </si>
  <si>
    <t xml:space="preserve">Tigor Revotron XM                                  </t>
  </si>
  <si>
    <t xml:space="preserve">Innova 2.5 G BS IV 8 STR                           </t>
  </si>
  <si>
    <t xml:space="preserve">A-Class A 180 Sport Petrol                         </t>
  </si>
  <si>
    <t xml:space="preserve">1595 cc </t>
  </si>
  <si>
    <t xml:space="preserve">121 bhp @ 5000 rpm  </t>
  </si>
  <si>
    <t xml:space="preserve">Vento Highline 1.0L TSI                            </t>
  </si>
  <si>
    <t xml:space="preserve">Civic 1.8V MT                                      </t>
  </si>
  <si>
    <t xml:space="preserve">Eon D-Lite +                                       </t>
  </si>
  <si>
    <t xml:space="preserve">Evoque HSE                                         </t>
  </si>
  <si>
    <t xml:space="preserve">Alto LXi CNG [2014-2018]                           </t>
  </si>
  <si>
    <t xml:space="preserve">Figo Titanium1.5 TDCi                              </t>
  </si>
  <si>
    <t xml:space="preserve">Zest XE 75 PS Diesel                               </t>
  </si>
  <si>
    <t xml:space="preserve">S-Cross Zeta 1.6                                   </t>
  </si>
  <si>
    <t xml:space="preserve">Celerio X Vxi AMT [2017-2019]                      </t>
  </si>
  <si>
    <t xml:space="preserve">i10 Asta 1.2 AT Kappa2 with Sunroof                </t>
  </si>
  <si>
    <t xml:space="preserve">Alto VXi AMT [2014-2018]                           </t>
  </si>
  <si>
    <t xml:space="preserve">Seltos HTK Plus AT 1.5 Diesel [2020-2021]          </t>
  </si>
  <si>
    <t xml:space="preserve">C-Coupe 43 AMG 4MATIC                              </t>
  </si>
  <si>
    <t xml:space="preserve">385 bhp @ 5500 rpm  </t>
  </si>
  <si>
    <t xml:space="preserve">XUV500 W10 AT 1.99                                 </t>
  </si>
  <si>
    <t xml:space="preserve">Q5 40 TDI Premium Plus                             </t>
  </si>
  <si>
    <t xml:space="preserve">188 bhp @ 3800 rpm  </t>
  </si>
  <si>
    <t xml:space="preserve">Thar LX 4-STR Convertible Diesel AT                </t>
  </si>
  <si>
    <t xml:space="preserve">Creta 1.4 S                                        </t>
  </si>
  <si>
    <t xml:space="preserve">Estilo LXi BS-IV                                   </t>
  </si>
  <si>
    <t xml:space="preserve">A6 35 TFSI Matrix                                  </t>
  </si>
  <si>
    <t xml:space="preserve">190 bhp @ 4200 rpm  </t>
  </si>
  <si>
    <t xml:space="preserve">Pulse RxL ABS Diesel [2015-2017]                   </t>
  </si>
  <si>
    <t xml:space="preserve">63 bhp @ 4000 rpm   </t>
  </si>
  <si>
    <t xml:space="preserve">Amaze 1.5 E i-DTEC                                 </t>
  </si>
  <si>
    <t xml:space="preserve">Terrano XL D THP 110 PS                            </t>
  </si>
  <si>
    <t xml:space="preserve">Tiago Revotron XZA                                 </t>
  </si>
  <si>
    <t xml:space="preserve">Ignis Delta 1.2 AMT                                </t>
  </si>
  <si>
    <t xml:space="preserve">Polo Highline Plus 1.0L TSI                        </t>
  </si>
  <si>
    <t xml:space="preserve">i10 Magna 1.2                                      </t>
  </si>
  <si>
    <t xml:space="preserve">Xcent S 1.2                                        </t>
  </si>
  <si>
    <t xml:space="preserve">Octavia Style 1.8 TSI AT                           </t>
  </si>
  <si>
    <t xml:space="preserve">Amaze 1.2 VX MT Petrol [2018-2020]                 </t>
  </si>
  <si>
    <t xml:space="preserve">XUV500 W8 AWD                                      </t>
  </si>
  <si>
    <t xml:space="preserve">i10 Magna (O)                                      </t>
  </si>
  <si>
    <t xml:space="preserve">S90 D4 Inscription                                 </t>
  </si>
  <si>
    <t xml:space="preserve">187 bhp @ 4250 rpm  </t>
  </si>
  <si>
    <t xml:space="preserve">Xcent S 1.1 CRDi (O)                               </t>
  </si>
  <si>
    <t xml:space="preserve">Polo 1.5 TDI                                       </t>
  </si>
  <si>
    <t xml:space="preserve">C-Class 250 CDI Avantgarde                         </t>
  </si>
  <si>
    <t xml:space="preserve">Ecosport Titanium + 1.5L TDCi [2019-2020]          </t>
  </si>
  <si>
    <t xml:space="preserve">Kwid 1.0 RXL [2017-2019]                           </t>
  </si>
  <si>
    <t xml:space="preserve">Innova 2.5 V 7 STR                                 </t>
  </si>
  <si>
    <t xml:space="preserve">DZire ZXi AGS                                      </t>
  </si>
  <si>
    <t xml:space="preserve">Ameo Trendline 1.5L (D)                            </t>
  </si>
  <si>
    <t xml:space="preserve">109 bhp @ 4000 rpm  </t>
  </si>
  <si>
    <t xml:space="preserve">SX4 VXi                                            </t>
  </si>
  <si>
    <t xml:space="preserve">1586 cc </t>
  </si>
  <si>
    <t xml:space="preserve">E-Class E200 CGI Blue Efficiency                   </t>
  </si>
  <si>
    <t xml:space="preserve">Wagon R LXi                                        </t>
  </si>
  <si>
    <t xml:space="preserve">Grand i10 Magna U2 1.2 CRDi                        </t>
  </si>
  <si>
    <t xml:space="preserve">Harrier XT Plus Dark Edition                       </t>
  </si>
  <si>
    <t xml:space="preserve">C-Class C220d Progressive                          </t>
  </si>
  <si>
    <t xml:space="preserve">Ertiga ZXI+                                        </t>
  </si>
  <si>
    <t xml:space="preserve">Amaze 1.2 E MT Petrol [2018-2020]                  </t>
  </si>
  <si>
    <t xml:space="preserve">Vento Highline Diesel AT                           </t>
  </si>
  <si>
    <t xml:space="preserve">Vento Highline Plus 1.6 (P)                        </t>
  </si>
  <si>
    <t xml:space="preserve">GLS 450 4MATIC                                     </t>
  </si>
  <si>
    <t xml:space="preserve">Q5 2.0 TDI quattro Technology Pack                 </t>
  </si>
  <si>
    <t xml:space="preserve">Q5 3.0 TDI quattro                                 </t>
  </si>
  <si>
    <t xml:space="preserve">Verna Fluidic 1.6 CRDi SX Opt                      </t>
  </si>
  <si>
    <t xml:space="preserve">Q2 Premium 40 TFSI quattro                         </t>
  </si>
  <si>
    <t xml:space="preserve">Etios 1.2 G                                        </t>
  </si>
  <si>
    <t xml:space="preserve">79 bhp @ 5600 rpm   </t>
  </si>
  <si>
    <t xml:space="preserve">i10 Era 1.1 iRDE2 [2010-2017]                      </t>
  </si>
  <si>
    <t xml:space="preserve">Santro GL Plus                                     </t>
  </si>
  <si>
    <t xml:space="preserve">Bolero SLE BS IV                                   </t>
  </si>
  <si>
    <t xml:space="preserve">63 bhp @ 3200 rpm   </t>
  </si>
  <si>
    <t xml:space="preserve">Beat LT Diesel                                     </t>
  </si>
  <si>
    <t xml:space="preserve">936 cc  </t>
  </si>
  <si>
    <t xml:space="preserve">58 bhp @ 4000 rpm   </t>
  </si>
  <si>
    <t xml:space="preserve">XC40 T4 R-Design                                   </t>
  </si>
  <si>
    <t xml:space="preserve">187 bhp @ 5000 rpm  </t>
  </si>
  <si>
    <t xml:space="preserve">Vitara Brezza ZDi Plus AGS                         </t>
  </si>
  <si>
    <t xml:space="preserve">Ertiga VXI AT                                      </t>
  </si>
  <si>
    <t xml:space="preserve">Accord 2.4 AT                                      </t>
  </si>
  <si>
    <t xml:space="preserve">178 bhp @ 6500 rpm  </t>
  </si>
  <si>
    <t xml:space="preserve">Ertiga ZXi AT                                      </t>
  </si>
  <si>
    <t xml:space="preserve">Ciaz Delta Hybrid 1.5 AT [2018-2020]               </t>
  </si>
  <si>
    <t xml:space="preserve">Swift DZire VDi                                    </t>
  </si>
  <si>
    <t xml:space="preserve">i20 Asta 1.4 CRDI                                  </t>
  </si>
  <si>
    <t xml:space="preserve">Ertiga ZXi Plus                                    </t>
  </si>
  <si>
    <t xml:space="preserve">Ertiga VXI                                         </t>
  </si>
  <si>
    <t xml:space="preserve">i10 Sportz 1.2 AT                                  </t>
  </si>
  <si>
    <t xml:space="preserve">Innova 2.5 ZX 7 STR BS-IV                          </t>
  </si>
  <si>
    <t xml:space="preserve">Ciaz ZDi (O) [2014-2015]                           </t>
  </si>
  <si>
    <t xml:space="preserve">Ciaz S 1.4 MT                                      </t>
  </si>
  <si>
    <t xml:space="preserve">Hexa XM 4x2 7 STR                                  </t>
  </si>
  <si>
    <t xml:space="preserve">73 bhp @ 4000 rpm   </t>
  </si>
  <si>
    <t xml:space="preserve">Vento Comfortline 1.6 (P)                          </t>
  </si>
  <si>
    <t xml:space="preserve">Elite i20 Asta 1.0 Turbo IMT Dual Tone             </t>
  </si>
  <si>
    <t xml:space="preserve">A-Class Sedan 200                                  </t>
  </si>
  <si>
    <t xml:space="preserve">1332 cc </t>
  </si>
  <si>
    <t xml:space="preserve">Nexon XM Diesel                                    </t>
  </si>
  <si>
    <t xml:space="preserve">Wrangler Rubicon                                   </t>
  </si>
  <si>
    <t xml:space="preserve">268 bhp @ 5150 rpm  </t>
  </si>
  <si>
    <t xml:space="preserve">Amaze 1.2 S AT i-VTEC                              </t>
  </si>
  <si>
    <t xml:space="preserve">Amaze 1.2 E i-VTEC                                 </t>
  </si>
  <si>
    <t xml:space="preserve">Ameo Highline1.2L (P) [2016-2018]                  </t>
  </si>
  <si>
    <t xml:space="preserve">Celerio ZXi AMT                                    </t>
  </si>
  <si>
    <t xml:space="preserve">Aura S 1.2 CNG                                     </t>
  </si>
  <si>
    <t xml:space="preserve">Duster 85 PS Sandstorm Edition Diesel              </t>
  </si>
  <si>
    <t xml:space="preserve">Jazz VX CVT Petrol                                 </t>
  </si>
  <si>
    <t xml:space="preserve">Ecosport Ambiente 1.5L Ti-VCT                      </t>
  </si>
  <si>
    <t xml:space="preserve">110 bhp @ 6300 rpm  </t>
  </si>
  <si>
    <t xml:space="preserve">i20 Magna (O) 1.4 CRDI                             </t>
  </si>
  <si>
    <t xml:space="preserve">XUV500 W9 [2018-2020]                              </t>
  </si>
  <si>
    <t xml:space="preserve">i10 Era                                            </t>
  </si>
  <si>
    <t xml:space="preserve">Superb Sportline AT                                </t>
  </si>
  <si>
    <t xml:space="preserve">A4 35 TDI Premium                                  </t>
  </si>
  <si>
    <t xml:space="preserve">Thar LX 4-STR Convertible Diesel MT                </t>
  </si>
  <si>
    <t xml:space="preserve">Duster 110 PS RXL 4X2 AMT [2016-2017]              </t>
  </si>
  <si>
    <t xml:space="preserve">Octavia RS                                         </t>
  </si>
  <si>
    <t xml:space="preserve">227 bhp @ 5500 rpm  </t>
  </si>
  <si>
    <t xml:space="preserve">Elite i20 Asta 1.2 [2016-2017]                     </t>
  </si>
  <si>
    <t xml:space="preserve">CLS 300d [2018-2019]                               </t>
  </si>
  <si>
    <t xml:space="preserve">Innova 2.8 GX AT 8 STR [2016-2020]                 </t>
  </si>
  <si>
    <t xml:space="preserve">V-Class Elite LWB                                  </t>
  </si>
  <si>
    <t xml:space="preserve">161 bhp @ 4200 rpm  </t>
  </si>
  <si>
    <t xml:space="preserve">Scorpio S6 Plus Intelli-Hybrid                     </t>
  </si>
  <si>
    <t xml:space="preserve">Venue S 1.0 AT Petrol [2019-2020]                  </t>
  </si>
  <si>
    <t xml:space="preserve">Wagon R VXi (O)                                    </t>
  </si>
  <si>
    <t xml:space="preserve">Vitara Brezza VXi                                  </t>
  </si>
  <si>
    <t xml:space="preserve">X7 xDrive40i M Sport                               </t>
  </si>
  <si>
    <t xml:space="preserve">Verna SX (O) AT Anniversary Edition 1.6 VTVT       </t>
  </si>
  <si>
    <t xml:space="preserve">X1 sDrive20d                                       </t>
  </si>
  <si>
    <t xml:space="preserve">X3 xDrive30i M Sport                               </t>
  </si>
  <si>
    <t xml:space="preserve">Elantra 2.0 SX (O) AT                              </t>
  </si>
  <si>
    <t xml:space="preserve">Kiger RXZ AMT                                      </t>
  </si>
  <si>
    <t xml:space="preserve">Verna 1.6 VTVT SX AT                               </t>
  </si>
  <si>
    <t xml:space="preserve">Safari 2.2 VX 4x2 Varicor400                       </t>
  </si>
  <si>
    <t xml:space="preserve">DZire LDi                                          </t>
  </si>
  <si>
    <t xml:space="preserve">S90 Momentum D4 [2018-2020]                        </t>
  </si>
  <si>
    <t xml:space="preserve">190 bhp @ 4250 rpm  </t>
  </si>
  <si>
    <t xml:space="preserve">Cooper JCW Hatchback                               </t>
  </si>
  <si>
    <t xml:space="preserve">228 bhp @ 5200 rpm  </t>
  </si>
  <si>
    <t xml:space="preserve">S-Class S 500                                      </t>
  </si>
  <si>
    <t xml:space="preserve">Jazz S AT [2015-2016]                              </t>
  </si>
  <si>
    <t xml:space="preserve">XC60 Inscription                                   </t>
  </si>
  <si>
    <t xml:space="preserve">2400 cc </t>
  </si>
  <si>
    <t xml:space="preserve">XC90 D5 Inscription                                </t>
  </si>
  <si>
    <t xml:space="preserve">232 bhp @ 4250 rpm  </t>
  </si>
  <si>
    <t xml:space="preserve">Kwid CLIMBER 1.0 [2017-2019]                       </t>
  </si>
  <si>
    <t xml:space="preserve">Thar AX 6-STR Soft Top Petrol MT                   </t>
  </si>
  <si>
    <t xml:space="preserve">Ertiga ZDi                                         </t>
  </si>
  <si>
    <t xml:space="preserve">Pajero 2.5 AT                                      </t>
  </si>
  <si>
    <t xml:space="preserve">Quanto C4                                          </t>
  </si>
  <si>
    <t xml:space="preserve">Celerio VXi (O) [2019-2020]                        </t>
  </si>
  <si>
    <t xml:space="preserve">Compass Limited 2.0 Diesel 4x4 [2017-2020]         </t>
  </si>
  <si>
    <t xml:space="preserve">Celerio LDi [2015-2017]                            </t>
  </si>
  <si>
    <t xml:space="preserve">793 cc  </t>
  </si>
  <si>
    <t xml:space="preserve">46 bhp @ 3500 rpm   </t>
  </si>
  <si>
    <t xml:space="preserve">Wagon R Duo LXi LPG                                </t>
  </si>
  <si>
    <t xml:space="preserve">S-Class 350 CDI L                                  </t>
  </si>
  <si>
    <t xml:space="preserve">235 bhp @ 4000 rpm  </t>
  </si>
  <si>
    <t xml:space="preserve">Cayenne Base                                       </t>
  </si>
  <si>
    <t xml:space="preserve">Etios Liva G                                       </t>
  </si>
  <si>
    <t xml:space="preserve">Ciaz Delta Hybrid 1.5 [2018-2020]                  </t>
  </si>
  <si>
    <t xml:space="preserve">Hexa XT 4x2 6 STR                                  </t>
  </si>
  <si>
    <t xml:space="preserve">A4 35 TDI Premium Sunroof                          </t>
  </si>
  <si>
    <t xml:space="preserve">Innova 2.5 E                                       </t>
  </si>
  <si>
    <t xml:space="preserve">XUV500 W4 1.99                                     </t>
  </si>
  <si>
    <t xml:space="preserve">Quanto C8                                          </t>
  </si>
  <si>
    <t xml:space="preserve">A4 35 TDI Premium Plus                             </t>
  </si>
  <si>
    <t xml:space="preserve">Octavia Elegance 2.0 TDI AT                        </t>
  </si>
  <si>
    <t xml:space="preserve">Alcazar Platinum 7 STR 1.5 Diesel                  </t>
  </si>
  <si>
    <t xml:space="preserve">City VX Petrol [2017-2019]                         </t>
  </si>
  <si>
    <t xml:space="preserve">XUV500 W5 [2018-2020]                              </t>
  </si>
  <si>
    <t xml:space="preserve">5-Series 530d M Sport                              </t>
  </si>
  <si>
    <t xml:space="preserve">261 bhp @ 4000 rpm  </t>
  </si>
  <si>
    <t xml:space="preserve">Creta SX 1.5 Petrol CVT [2020-2022]                </t>
  </si>
  <si>
    <t xml:space="preserve">Kwid RXL [2015-2019]                               </t>
  </si>
  <si>
    <t xml:space="preserve">Rapid Elegance 1.6 TDI CR MT                       </t>
  </si>
  <si>
    <t xml:space="preserve">Nexon XZ Plus Diesel                               </t>
  </si>
  <si>
    <t xml:space="preserve">Elite i20 Asta 1.4 CRDI                            </t>
  </si>
  <si>
    <t xml:space="preserve">BR-V V CVT Petrol                                  </t>
  </si>
  <si>
    <t xml:space="preserve">TUV300 T6 Plus AMT                                 </t>
  </si>
  <si>
    <t xml:space="preserve">Xcent S 1.1 CRDi Special Edition                   </t>
  </si>
  <si>
    <t xml:space="preserve">Ritz Ldi BS-IV                                     </t>
  </si>
  <si>
    <t xml:space="preserve">Rapid 1.6 MPI Active                               </t>
  </si>
  <si>
    <t xml:space="preserve">Aspire Titanium1.5 TDCi [2018-2020]                </t>
  </si>
  <si>
    <t xml:space="preserve">Alcazar Signature (O) 7 Seater 1.5 Diesel AT       </t>
  </si>
  <si>
    <t xml:space="preserve">Seltos HTK 1.5 Diesel [2020-2021]                  </t>
  </si>
  <si>
    <t xml:space="preserve">Innova 2.5 GX BS IV 8 STR                          </t>
  </si>
  <si>
    <t xml:space="preserve">Alto 800 VXi                                       </t>
  </si>
  <si>
    <t xml:space="preserve">Alto LXi                                           </t>
  </si>
  <si>
    <t xml:space="preserve">Verna SX (O) 1.6 CRDi                              </t>
  </si>
  <si>
    <t xml:space="preserve">5-Series 530d M Sport [2017-2019]                  </t>
  </si>
  <si>
    <t xml:space="preserve">Polo Highline1.5L (D)                              </t>
  </si>
  <si>
    <t xml:space="preserve">X3 20d M Sport                                     </t>
  </si>
  <si>
    <t xml:space="preserve">Q3 35 TDI Premium Plus + Sunroof                   </t>
  </si>
  <si>
    <t xml:space="preserve">Terrano XE (D)                                     </t>
  </si>
  <si>
    <t xml:space="preserve">Tiago NRG Petrol                                   </t>
  </si>
  <si>
    <t xml:space="preserve">S-Class S 450                                      </t>
  </si>
  <si>
    <t xml:space="preserve">362 bhp @ 5250 rpm  </t>
  </si>
  <si>
    <t xml:space="preserve">Celerio ZXi AMT [2017-2019]                        </t>
  </si>
  <si>
    <t xml:space="preserve">Spark LS 1.0 BS-III                                </t>
  </si>
  <si>
    <t xml:space="preserve">995 cc  </t>
  </si>
  <si>
    <t xml:space="preserve">62 bhp @ 5400 rpm   </t>
  </si>
  <si>
    <t xml:space="preserve">Grand i10 NIOS Sportz 1.2 Kappa VTVT               </t>
  </si>
  <si>
    <t xml:space="preserve">CR-V 2.0L 2WD AT                                   </t>
  </si>
  <si>
    <t xml:space="preserve">154 bhp @ 6500 rpm  </t>
  </si>
  <si>
    <t xml:space="preserve">Swift DZire LXI                                    </t>
  </si>
  <si>
    <t xml:space="preserve">B-class B180 Sports                                </t>
  </si>
  <si>
    <t xml:space="preserve">120 bhp @ 5000 rpm  </t>
  </si>
  <si>
    <t xml:space="preserve">Xcent SX 1.1 CRDi (O)                              </t>
  </si>
  <si>
    <t xml:space="preserve">Octavia 2.0 TDI L&amp;K                                </t>
  </si>
  <si>
    <t xml:space="preserve">Santro Sportz [2018-2020]                          </t>
  </si>
  <si>
    <t xml:space="preserve">Corolla Altis GL Petrol                            </t>
  </si>
  <si>
    <t xml:space="preserve">Altroz XT Petrol                                   </t>
  </si>
  <si>
    <t xml:space="preserve">XC40 D4 R-Design                                   </t>
  </si>
  <si>
    <t xml:space="preserve">WR-V VX MT Diesel                                  </t>
  </si>
  <si>
    <t xml:space="preserve">City CVT                                           </t>
  </si>
  <si>
    <t xml:space="preserve">KUV100 K6 D 6 STR [2016-2017]                      </t>
  </si>
  <si>
    <t xml:space="preserve">77 bhp @ 3750 rpm   </t>
  </si>
  <si>
    <t xml:space="preserve">Innova 2.7 GX AT 7 STR [2016-2020]                 </t>
  </si>
  <si>
    <t xml:space="preserve">Sunny XL                                           </t>
  </si>
  <si>
    <t xml:space="preserve">98 bhp @ 6000 rpm   </t>
  </si>
  <si>
    <t xml:space="preserve">Ciaz Zeta 1.3 Hybrid                               </t>
  </si>
  <si>
    <t xml:space="preserve">Discovery Sport HSE Petrol 7-Seater                </t>
  </si>
  <si>
    <t xml:space="preserve">236 bhp @ 5500 rpm  </t>
  </si>
  <si>
    <t xml:space="preserve">Ecosport Titanium 1.5 TDCi                         </t>
  </si>
  <si>
    <t xml:space="preserve">Brio VX AT                                         </t>
  </si>
  <si>
    <t xml:space="preserve">Wagon R LXi 1.0 CNG                                </t>
  </si>
  <si>
    <t xml:space="preserve">Fiesta Titanium Diesel                             </t>
  </si>
  <si>
    <t xml:space="preserve">GLA 200 d Style                                    </t>
  </si>
  <si>
    <t xml:space="preserve">Innova 2.0 G1 BS-IV                                </t>
  </si>
  <si>
    <t xml:space="preserve">Alto 800 Std                                       </t>
  </si>
  <si>
    <t xml:space="preserve">City 1.5 E MT                                      </t>
  </si>
  <si>
    <t xml:space="preserve">Ciaz Alpha 1.4 AT                                  </t>
  </si>
  <si>
    <t xml:space="preserve">Compass Limited (O) 1.4 Petrol DCT                 </t>
  </si>
  <si>
    <t xml:space="preserve">Vento Highline Petrol AT                           </t>
  </si>
  <si>
    <t xml:space="preserve">E-Class 280 CDI Elegance                           </t>
  </si>
  <si>
    <t xml:space="preserve">XUV500 W11 (O) AT                                  </t>
  </si>
  <si>
    <t xml:space="preserve">Creta SX (O) 1.5 Diesel Automatic                  </t>
  </si>
  <si>
    <t xml:space="preserve">XUV500 W10 AWD                                     </t>
  </si>
  <si>
    <t xml:space="preserve">Etios VXD                                          </t>
  </si>
  <si>
    <t xml:space="preserve">E-Class E200                                       </t>
  </si>
  <si>
    <t xml:space="preserve">B-class B180                                       </t>
  </si>
  <si>
    <t xml:space="preserve">Sail Sedan 1.2 LS                                  </t>
  </si>
  <si>
    <t xml:space="preserve">XUV700 AX 7 Petrol AT Luxury Pack 7 STR            </t>
  </si>
  <si>
    <t xml:space="preserve">197 bhp @ 5000 rpm  </t>
  </si>
  <si>
    <t xml:space="preserve">Grand i10 Asta 1.1 CRDi [2013-2016]                </t>
  </si>
  <si>
    <t xml:space="preserve">70 bhp @ 4000 rpm   </t>
  </si>
  <si>
    <t xml:space="preserve">GLS 400 4MATIC                                     </t>
  </si>
  <si>
    <t xml:space="preserve">329 bhp @ 5250 rpm  </t>
  </si>
  <si>
    <t xml:space="preserve">Ritz Vxi (ABS) BS-IV                               </t>
  </si>
  <si>
    <t xml:space="preserve">XUV500 W8 [2015-2017]                              </t>
  </si>
  <si>
    <t xml:space="preserve">Figo Duratec Petrol ZXI 1.2                        </t>
  </si>
  <si>
    <t xml:space="preserve">Price INR   </t>
  </si>
  <si>
    <t>Price EUR</t>
  </si>
  <si>
    <t>Fuel Tank Capacity L</t>
  </si>
  <si>
    <t>Etiquetas de fila</t>
  </si>
  <si>
    <t>Total general</t>
  </si>
  <si>
    <t>Rango1</t>
  </si>
  <si>
    <t>&lt;10000</t>
  </si>
  <si>
    <t>Rango2</t>
  </si>
  <si>
    <t>Rango3</t>
  </si>
  <si>
    <t>Rango4</t>
  </si>
  <si>
    <t>Rango5</t>
  </si>
  <si>
    <t>Rango6</t>
  </si>
  <si>
    <t>Rango7</t>
  </si>
  <si>
    <t>Rango8</t>
  </si>
  <si>
    <t>Rango9</t>
  </si>
  <si>
    <t>Rango10</t>
  </si>
  <si>
    <t>&gt;100000</t>
  </si>
  <si>
    <t xml:space="preserve">Promedio de Kilometer </t>
  </si>
  <si>
    <t>Promedio de Fuel Tank Capacity L</t>
  </si>
  <si>
    <t>TABLA DE PRECIOS</t>
  </si>
  <si>
    <t>0-10000</t>
  </si>
  <si>
    <t>10000-20000</t>
  </si>
  <si>
    <t>20000-30000</t>
  </si>
  <si>
    <t>30000-40000</t>
  </si>
  <si>
    <t>40000-50000</t>
  </si>
  <si>
    <t>50000-60000</t>
  </si>
  <si>
    <t>60000-70000</t>
  </si>
  <si>
    <t>70000-80000</t>
  </si>
  <si>
    <t>80000-90000</t>
  </si>
  <si>
    <t>90000-100000</t>
  </si>
  <si>
    <t>Id</t>
  </si>
  <si>
    <t>Modelo</t>
  </si>
  <si>
    <t>Marca</t>
  </si>
  <si>
    <t>Marcas</t>
  </si>
  <si>
    <t>Recuento</t>
  </si>
  <si>
    <t>Familiar</t>
  </si>
  <si>
    <t>Caballos</t>
  </si>
  <si>
    <t xml:space="preserve">240 bhp@4000            </t>
  </si>
  <si>
    <t>Tipo</t>
  </si>
  <si>
    <t>Promedio de precio</t>
  </si>
  <si>
    <t>CNG= COCHES DE GAS NATURAL COMPRIMIDO</t>
  </si>
  <si>
    <t>LPG=LIQUIFIED PETROLUM GAS</t>
  </si>
  <si>
    <t>RECUENTO</t>
  </si>
  <si>
    <t>Total</t>
  </si>
  <si>
    <t>Colores</t>
  </si>
  <si>
    <t>Promedio de Caballos</t>
  </si>
  <si>
    <t xml:space="preserve">87 bhp @ 6000             </t>
  </si>
  <si>
    <t xml:space="preserve">207 bhp @4200            </t>
  </si>
  <si>
    <t xml:space="preserve">171 bhp @3600            </t>
  </si>
  <si>
    <t xml:space="preserve">90 bhp @6000             </t>
  </si>
  <si>
    <t xml:space="preserve">152 bhp @6000            </t>
  </si>
  <si>
    <t xml:space="preserve">118 bhp @6600            </t>
  </si>
  <si>
    <t xml:space="preserve">132 bhp @6000            </t>
  </si>
  <si>
    <t xml:space="preserve">35 bhp @5250             </t>
  </si>
  <si>
    <t xml:space="preserve">204 bhp @6100            </t>
  </si>
  <si>
    <t xml:space="preserve">68 bhp @6200             </t>
  </si>
  <si>
    <t xml:space="preserve">47 bhp @6200             </t>
  </si>
  <si>
    <t xml:space="preserve">80 bhp @5200             </t>
  </si>
  <si>
    <t xml:space="preserve">56 bhp @5500             </t>
  </si>
  <si>
    <t xml:space="preserve">78 bhp @5500             </t>
  </si>
  <si>
    <t xml:space="preserve">58 bhp @6000             </t>
  </si>
  <si>
    <t xml:space="preserve">171 bhp @3600           </t>
  </si>
  <si>
    <t xml:space="preserve">171 bhp@3600            </t>
  </si>
  <si>
    <t xml:space="preserve">102 bhp @5600            </t>
  </si>
  <si>
    <t xml:space="preserve">90 bhp @4300             </t>
  </si>
  <si>
    <t xml:space="preserve">120 bhp@4000            </t>
  </si>
  <si>
    <t xml:space="preserve">120 bhp@5500            </t>
  </si>
  <si>
    <t xml:space="preserve">177 bhp @4000            </t>
  </si>
  <si>
    <t xml:space="preserve">67 bhp@5500             </t>
  </si>
  <si>
    <t xml:space="preserve">59 bhp @6200             </t>
  </si>
  <si>
    <t xml:space="preserve">198 bhp @4000            </t>
  </si>
  <si>
    <t xml:space="preserve">80  bhp @5200             </t>
  </si>
  <si>
    <t xml:space="preserve">47  bhp @6200             </t>
  </si>
  <si>
    <t xml:space="preserve">67  bhp @6200             </t>
  </si>
  <si>
    <t xml:space="preserve">87  bhp @6000             </t>
  </si>
  <si>
    <t xml:space="preserve">136  bhp @5600            </t>
  </si>
  <si>
    <t xml:space="preserve">218  bhp @4000            </t>
  </si>
  <si>
    <t xml:space="preserve">75  bhp @4000             </t>
  </si>
  <si>
    <t xml:space="preserve">170  bhp @3700            </t>
  </si>
  <si>
    <t xml:space="preserve">234  bhp @3800            </t>
  </si>
  <si>
    <t xml:space="preserve">63  bhp @5500             </t>
  </si>
  <si>
    <t xml:space="preserve">67  bhp @5500             </t>
  </si>
  <si>
    <t xml:space="preserve">165  bhp @5500            </t>
  </si>
  <si>
    <t xml:space="preserve">90  bhp @4000             </t>
  </si>
  <si>
    <t xml:space="preserve">64  bhp @6200             </t>
  </si>
  <si>
    <t xml:space="preserve">150  bhp @4000            </t>
  </si>
  <si>
    <t xml:space="preserve">272  bhp @6000            </t>
  </si>
  <si>
    <t xml:space="preserve">59  bhp @6200             </t>
  </si>
  <si>
    <t xml:space="preserve">177  bhp @4000            </t>
  </si>
  <si>
    <t xml:space="preserve">231  bhp @3800            </t>
  </si>
  <si>
    <t xml:space="preserve">95  bhp @3600             </t>
  </si>
  <si>
    <t xml:space="preserve">69  bhp @4000             </t>
  </si>
  <si>
    <t xml:space="preserve">68  bhp @4000             </t>
  </si>
  <si>
    <t xml:space="preserve">132  bhp @6000            </t>
  </si>
  <si>
    <t xml:space="preserve">90  bhp @6000             </t>
  </si>
  <si>
    <t xml:space="preserve">56  bhp @5500             </t>
  </si>
  <si>
    <t xml:space="preserve">142  bhp @4000            </t>
  </si>
  <si>
    <t xml:space="preserve">100 bhp @5500            </t>
  </si>
  <si>
    <t xml:space="preserve">102 bhp @5500            </t>
  </si>
  <si>
    <t xml:space="preserve">105 bhp @3800            </t>
  </si>
  <si>
    <t xml:space="preserve">116 bhp @3800            </t>
  </si>
  <si>
    <t xml:space="preserve">120 bhp @4000            </t>
  </si>
  <si>
    <t xml:space="preserve">122 bhp @4000            </t>
  </si>
  <si>
    <t xml:space="preserve">67 bhp @ 6200 rpm </t>
  </si>
  <si>
    <t>Coches en venta</t>
  </si>
  <si>
    <t>Kilómetros</t>
  </si>
  <si>
    <t>Precio</t>
  </si>
  <si>
    <t>SI</t>
  </si>
  <si>
    <t>Precios</t>
  </si>
  <si>
    <t>Promedio de Km</t>
  </si>
  <si>
    <t>Promedio de combustible</t>
  </si>
  <si>
    <t>Promedio de CV</t>
  </si>
  <si>
    <t xml:space="preserve">240 bhp @4000            </t>
  </si>
  <si>
    <t>COLOR</t>
  </si>
  <si>
    <t>REGLA</t>
  </si>
  <si>
    <t>&lt;100 CV</t>
  </si>
  <si>
    <t>ENTRE 100 Y 200 CV</t>
  </si>
  <si>
    <t>&gt;200 CV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</si>
</sst>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#,##0.00\ &quot;€&quot;;\-#,##0.00\ &quot;€&quot;"/>
    <numFmt numFmtId="164" formatCode="#,##0.00\ &quot;€&quot;"/>
    <numFmt numFmtId="165" formatCode="[$₹-861]\ #,##0.00"/>
    <numFmt numFmtId="166" formatCode="General\ &quot;bpm&quot;"/>
    <numFmt numFmtId="167" formatCode="General\ &quot;dB&quot;"/>
  </numFmts>
  <fonts count="1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FF0000"/>
      <name val="Aptos Narrow"/>
      <family val="2"/>
      <scheme val="minor"/>
    </font>
    <font>
      <sz val="10"/>
      <color rgb="FFFF0000"/>
      <name val="Arial"/>
      <family val="2"/>
    </font>
    <font>
      <sz val="11"/>
      <name val="Engravers MT"/>
      <family val="1"/>
    </font>
    <font>
      <sz val="16"/>
      <color rgb="FFFF0000"/>
      <name val="Berlin Sans FB Demi"/>
      <family val="2"/>
    </font>
    <font>
      <sz val="14"/>
      <color theme="1"/>
      <name val="Aptos Narrow"/>
      <family val="2"/>
      <scheme val="minor"/>
    </font>
    <font>
      <sz val="14"/>
      <name val="Engravers MT"/>
      <family val="1"/>
    </font>
    <font>
      <sz val="11"/>
      <color theme="0"/>
      <name val="Aptos Narrow"/>
      <family val="2"/>
      <scheme val="minor"/>
    </font>
    <font>
      <b/>
      <sz val="16"/>
      <color theme="4" tint="0.59999389629810485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19A69"/>
        <bgColor indexed="64"/>
      </patternFill>
    </fill>
    <fill>
      <patternFill patternType="solid">
        <fgColor rgb="FFE66B2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8D7C4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5" fillId="0" borderId="0" applyBorder="0"/>
  </cellStyleXfs>
  <cellXfs count="52">
    <xf numFmtId="0" fontId="0" fillId="0" borderId="0" xfId="0"/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0" fontId="2" fillId="0" borderId="0" xfId="0" applyFont="1"/>
    <xf numFmtId="0" fontId="3" fillId="0" borderId="0" xfId="1"/>
    <xf numFmtId="49" fontId="0" fillId="0" borderId="0" xfId="0" applyNumberFormat="1"/>
    <xf numFmtId="1" fontId="0" fillId="0" borderId="0" xfId="0" applyNumberFormat="1"/>
    <xf numFmtId="2" fontId="0" fillId="0" borderId="0" xfId="0" applyNumberFormat="1" applyAlignment="1">
      <alignment horizontal="left"/>
    </xf>
    <xf numFmtId="0" fontId="5" fillId="0" borderId="0" xfId="0" applyFont="1"/>
    <xf numFmtId="0" fontId="5" fillId="2" borderId="0" xfId="0" applyFont="1" applyFill="1"/>
    <xf numFmtId="0" fontId="0" fillId="0" borderId="0" xfId="0" applyNumberFormat="1"/>
    <xf numFmtId="0" fontId="0" fillId="0" borderId="0" xfId="0" applyNumberFormat="1" applyAlignment="1">
      <alignment horizontal="left"/>
    </xf>
    <xf numFmtId="0" fontId="5" fillId="0" borderId="0" xfId="0" applyFont="1" applyFill="1"/>
    <xf numFmtId="0" fontId="6" fillId="0" borderId="0" xfId="0" applyFont="1" applyFill="1"/>
    <xf numFmtId="0" fontId="10" fillId="0" borderId="5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7" fillId="0" borderId="0" xfId="0" applyFont="1" applyFill="1"/>
    <xf numFmtId="167" fontId="7" fillId="0" borderId="0" xfId="0" applyNumberFormat="1" applyFont="1" applyFill="1"/>
    <xf numFmtId="0" fontId="7" fillId="0" borderId="0" xfId="0" applyFont="1" applyFill="1" applyAlignment="1">
      <alignment horizontal="center"/>
    </xf>
    <xf numFmtId="0" fontId="9" fillId="0" borderId="0" xfId="0" applyFont="1" applyFill="1"/>
    <xf numFmtId="1" fontId="9" fillId="0" borderId="0" xfId="0" applyNumberFormat="1" applyFont="1" applyFill="1"/>
    <xf numFmtId="49" fontId="9" fillId="0" borderId="0" xfId="0" applyNumberFormat="1" applyFont="1" applyFill="1"/>
    <xf numFmtId="164" fontId="9" fillId="0" borderId="0" xfId="0" applyNumberFormat="1" applyFont="1" applyFill="1"/>
    <xf numFmtId="0" fontId="8" fillId="0" borderId="0" xfId="0" applyFont="1" applyFill="1" applyAlignment="1">
      <alignment horizontal="center" vertical="center"/>
    </xf>
    <xf numFmtId="0" fontId="0" fillId="0" borderId="0" xfId="0" applyFill="1"/>
    <xf numFmtId="0" fontId="5" fillId="0" borderId="8" xfId="0" applyFont="1" applyFill="1" applyBorder="1"/>
    <xf numFmtId="0" fontId="7" fillId="0" borderId="0" xfId="0" applyFont="1" applyFill="1" applyBorder="1"/>
    <xf numFmtId="7" fontId="5" fillId="0" borderId="0" xfId="0" applyNumberFormat="1" applyFont="1" applyFill="1"/>
    <xf numFmtId="0" fontId="10" fillId="5" borderId="2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166" fontId="7" fillId="0" borderId="0" xfId="0" applyNumberFormat="1" applyFont="1" applyFill="1" applyBorder="1"/>
    <xf numFmtId="0" fontId="5" fillId="0" borderId="0" xfId="0" applyFont="1" applyBorder="1"/>
    <xf numFmtId="0" fontId="10" fillId="5" borderId="9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3" fillId="0" borderId="0" xfId="0" applyFont="1" applyFill="1"/>
    <xf numFmtId="164" fontId="13" fillId="0" borderId="0" xfId="0" applyNumberFormat="1" applyFont="1" applyFill="1" applyAlignment="1">
      <alignment horizontal="left"/>
    </xf>
    <xf numFmtId="0" fontId="13" fillId="0" borderId="0" xfId="0" applyNumberFormat="1" applyFont="1" applyFill="1"/>
    <xf numFmtId="2" fontId="13" fillId="0" borderId="0" xfId="0" applyNumberFormat="1" applyFont="1" applyFill="1"/>
    <xf numFmtId="7" fontId="5" fillId="0" borderId="0" xfId="0" applyNumberFormat="1" applyFont="1"/>
    <xf numFmtId="0" fontId="5" fillId="5" borderId="0" xfId="0" applyFont="1" applyFill="1"/>
    <xf numFmtId="0" fontId="11" fillId="0" borderId="0" xfId="0" applyFont="1" applyFill="1"/>
    <xf numFmtId="0" fontId="14" fillId="6" borderId="0" xfId="0" applyFont="1" applyFill="1"/>
    <xf numFmtId="0" fontId="14" fillId="3" borderId="0" xfId="0" applyFont="1" applyFill="1"/>
    <xf numFmtId="0" fontId="14" fillId="4" borderId="0" xfId="0" applyFont="1" applyFill="1"/>
    <xf numFmtId="0" fontId="15" fillId="0" borderId="0" xfId="0" applyFont="1" applyFill="1"/>
  </cellXfs>
  <cellStyles count="3">
    <cellStyle name="Estilo 1" xfId="2" xr:uid="{A740A63E-2316-4809-A51D-767B26B5BE03}"/>
    <cellStyle name="Hipervínculo" xfId="1" builtinId="8"/>
    <cellStyle name="Normal" xfId="0" builtinId="0"/>
  </cellStyles>
  <dxfs count="107">
    <dxf>
      <fill>
        <patternFill>
          <bgColor rgb="FFF19A69"/>
        </patternFill>
      </fill>
    </dxf>
    <dxf>
      <fill>
        <patternFill>
          <bgColor rgb="FFF7C7AC"/>
        </patternFill>
      </fill>
    </dxf>
    <dxf>
      <fill>
        <patternFill>
          <bgColor rgb="FFE66B26"/>
        </patternFill>
      </fill>
    </dxf>
    <dxf>
      <fill>
        <patternFill>
          <bgColor rgb="FFF19A69"/>
        </patternFill>
      </fill>
    </dxf>
    <dxf>
      <fill>
        <patternFill>
          <bgColor rgb="FFF7C7AC"/>
        </patternFill>
      </fill>
    </dxf>
    <dxf>
      <fill>
        <patternFill>
          <bgColor rgb="FFE66B2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z val="22"/>
      </font>
    </dxf>
    <dxf>
      <font>
        <sz val="22"/>
      </font>
    </dxf>
    <dxf>
      <font>
        <sz val="22"/>
      </font>
    </dxf>
    <dxf>
      <font>
        <sz val="22"/>
      </font>
    </dxf>
    <dxf>
      <font>
        <sz val="22"/>
      </font>
    </dxf>
    <dxf>
      <font>
        <sz val="22"/>
      </font>
    </dxf>
    <dxf>
      <font>
        <sz val="22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64" formatCode="#,##0.00\ &quot;€&quot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64" formatCode="#,##0.00\ &quot;€&quot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2" formatCode="0.00"/>
    </dxf>
    <dxf>
      <numFmt numFmtId="164" formatCode="#,##0.00\ &quot;€&quot;"/>
    </dxf>
    <dxf>
      <numFmt numFmtId="0" formatCode="General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165" formatCode="[$₹-861]\ #,##0.00"/>
    </dxf>
    <dxf>
      <numFmt numFmtId="1" formatCode="0"/>
    </dxf>
    <dxf>
      <numFmt numFmtId="30" formatCode="@"/>
    </dxf>
    <dxf>
      <numFmt numFmtId="30" formatCode="@"/>
    </dxf>
    <dxf>
      <numFmt numFmtId="164" formatCode="#,##0.00\ &quot;€&quot;"/>
    </dxf>
    <dxf>
      <numFmt numFmtId="0" formatCode="General"/>
    </dxf>
    <dxf>
      <numFmt numFmtId="30" formatCode="@"/>
    </dxf>
    <dxf>
      <numFmt numFmtId="30" formatCode="@"/>
    </dxf>
    <dxf>
      <numFmt numFmtId="1" formatCode="0"/>
    </dxf>
    <dxf>
      <numFmt numFmtId="164" formatCode="#,##0.00\ &quot;€&quot;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164" formatCode="#,##0.00\ &quot;€&quot;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F19A69"/>
      <color rgb="FFE66B26"/>
      <color rgb="FFF7C7AC"/>
      <color rgb="FFF8D7C4"/>
      <color rgb="FFFFC7AB"/>
      <color rgb="FFEA6922"/>
      <color rgb="FFF09562"/>
      <color rgb="FFFF33CC"/>
      <color rgb="FFFF6600"/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07/relationships/slicerCache" Target="slicerCaches/slicerCache6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5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microsoft.com/office/2007/relationships/slicerCache" Target="slicerCaches/slicerCache8.xml"/><Relationship Id="rId23" Type="http://schemas.microsoft.com/office/2006/relationships/vbaProject" Target="vbaProject.bin"/><Relationship Id="rId10" Type="http://schemas.microsoft.com/office/2007/relationships/slicerCache" Target="slicerCaches/slicerCache3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7/relationships/slicerCache" Target="slicerCaches/slicerCache7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COLORES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'Tablas y graficos'!$B$41</c:f>
              <c:strCache>
                <c:ptCount val="1"/>
                <c:pt idx="0">
                  <c:v>Recuento</c:v>
                </c:pt>
              </c:strCache>
            </c:strRef>
          </c:tx>
          <c:dPt>
            <c:idx val="0"/>
            <c:bubble3D val="0"/>
            <c:spPr>
              <a:solidFill>
                <a:srgbClr val="FFCC9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F02-4AE5-9917-8B259CC0798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F02-4AE5-9917-8B259CC0798D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F02-4AE5-9917-8B259CC0798D}"/>
              </c:ext>
            </c:extLst>
          </c:dPt>
          <c:dPt>
            <c:idx val="3"/>
            <c:bubble3D val="0"/>
            <c:spPr>
              <a:solidFill>
                <a:srgbClr val="CC66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F02-4AE5-9917-8B259CC0798D}"/>
              </c:ext>
            </c:extLst>
          </c:dPt>
          <c:dPt>
            <c:idx val="4"/>
            <c:bubble3D val="0"/>
            <c:spPr>
              <a:solidFill>
                <a:srgbClr val="6633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F02-4AE5-9917-8B259CC0798D}"/>
              </c:ext>
            </c:extLst>
          </c:dPt>
          <c:dPt>
            <c:idx val="5"/>
            <c:bubble3D val="0"/>
            <c:spPr>
              <a:solidFill>
                <a:srgbClr val="FFC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F02-4AE5-9917-8B259CC0798D}"/>
              </c:ext>
            </c:extLst>
          </c:dPt>
          <c:dPt>
            <c:idx val="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F02-4AE5-9917-8B259CC0798D}"/>
              </c:ext>
            </c:extLst>
          </c:dPt>
          <c:dPt>
            <c:idx val="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F02-4AE5-9917-8B259CC0798D}"/>
              </c:ext>
            </c:extLst>
          </c:dPt>
          <c:dPt>
            <c:idx val="8"/>
            <c:bubble3D val="0"/>
            <c:spPr>
              <a:solidFill>
                <a:srgbClr val="99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F02-4AE5-9917-8B259CC0798D}"/>
              </c:ext>
            </c:extLst>
          </c:dPt>
          <c:dPt>
            <c:idx val="9"/>
            <c:bubble3D val="0"/>
            <c:spPr>
              <a:solidFill>
                <a:srgbClr val="FF66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F02-4AE5-9917-8B259CC0798D}"/>
              </c:ext>
            </c:extLst>
          </c:dPt>
          <c:dPt>
            <c:idx val="1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F02-4AE5-9917-8B259CC0798D}"/>
              </c:ext>
            </c:extLst>
          </c:dPt>
          <c:dPt>
            <c:idx val="11"/>
            <c:bubble3D val="0"/>
            <c:spPr>
              <a:solidFill>
                <a:srgbClr val="FF33C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F02-4AE5-9917-8B259CC0798D}"/>
              </c:ext>
            </c:extLst>
          </c:dPt>
          <c:dPt>
            <c:idx val="12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AF02-4AE5-9917-8B259CC0798D}"/>
              </c:ext>
            </c:extLst>
          </c:dPt>
          <c:dPt>
            <c:idx val="1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AF02-4AE5-9917-8B259CC0798D}"/>
              </c:ext>
            </c:extLst>
          </c:dPt>
          <c:dPt>
            <c:idx val="14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AF02-4AE5-9917-8B259CC0798D}"/>
              </c:ext>
            </c:extLst>
          </c:dPt>
          <c:dPt>
            <c:idx val="15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AF02-4AE5-9917-8B259CC0798D}"/>
              </c:ext>
            </c:extLst>
          </c:dPt>
          <c:dPt>
            <c:idx val="16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AF02-4AE5-9917-8B259CC0798D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'Tablas y graficos'!$A$42:$A$59</c15:sqref>
                  </c15:fullRef>
                </c:ext>
              </c:extLst>
              <c:f>'Tablas y graficos'!$A$42:$A$58</c:f>
              <c:strCache>
                <c:ptCount val="17"/>
                <c:pt idx="0">
                  <c:v>Beige  </c:v>
                </c:pt>
                <c:pt idx="1">
                  <c:v>Black  </c:v>
                </c:pt>
                <c:pt idx="2">
                  <c:v>Blue   </c:v>
                </c:pt>
                <c:pt idx="3">
                  <c:v>Bronze </c:v>
                </c:pt>
                <c:pt idx="4">
                  <c:v>Brown  </c:v>
                </c:pt>
                <c:pt idx="5">
                  <c:v>Gold   </c:v>
                </c:pt>
                <c:pt idx="6">
                  <c:v>Green  </c:v>
                </c:pt>
                <c:pt idx="7">
                  <c:v>Grey   </c:v>
                </c:pt>
                <c:pt idx="8">
                  <c:v>Maroon </c:v>
                </c:pt>
                <c:pt idx="9">
                  <c:v>Orange </c:v>
                </c:pt>
                <c:pt idx="10">
                  <c:v>Others </c:v>
                </c:pt>
                <c:pt idx="11">
                  <c:v>Pink   </c:v>
                </c:pt>
                <c:pt idx="12">
                  <c:v>Purple </c:v>
                </c:pt>
                <c:pt idx="13">
                  <c:v>Red    </c:v>
                </c:pt>
                <c:pt idx="14">
                  <c:v>Silver </c:v>
                </c:pt>
                <c:pt idx="15">
                  <c:v>White  </c:v>
                </c:pt>
                <c:pt idx="16">
                  <c:v>Yellow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'Tablas y graficos'!$B$42:$B$59</c15:sqref>
                  </c15:fullRef>
                </c:ext>
              </c:extLst>
              <c:f>'Tablas y graficos'!$B$42:$B$58</c:f>
              <c:numCache>
                <c:formatCode>General</c:formatCode>
                <c:ptCount val="17"/>
                <c:pt idx="0">
                  <c:v>6</c:v>
                </c:pt>
                <c:pt idx="1">
                  <c:v>154</c:v>
                </c:pt>
                <c:pt idx="2">
                  <c:v>174</c:v>
                </c:pt>
                <c:pt idx="3">
                  <c:v>26</c:v>
                </c:pt>
                <c:pt idx="4">
                  <c:v>79</c:v>
                </c:pt>
                <c:pt idx="5">
                  <c:v>30</c:v>
                </c:pt>
                <c:pt idx="6">
                  <c:v>14</c:v>
                </c:pt>
                <c:pt idx="7">
                  <c:v>210</c:v>
                </c:pt>
                <c:pt idx="8">
                  <c:v>34</c:v>
                </c:pt>
                <c:pt idx="9">
                  <c:v>16</c:v>
                </c:pt>
                <c:pt idx="10">
                  <c:v>11</c:v>
                </c:pt>
                <c:pt idx="11">
                  <c:v>1</c:v>
                </c:pt>
                <c:pt idx="12">
                  <c:v>4</c:v>
                </c:pt>
                <c:pt idx="13">
                  <c:v>148</c:v>
                </c:pt>
                <c:pt idx="14">
                  <c:v>278</c:v>
                </c:pt>
                <c:pt idx="15">
                  <c:v>744</c:v>
                </c:pt>
                <c:pt idx="16">
                  <c:v>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2-AF02-4AE5-9917-8B259CC07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cOCHES SEGÚN</a:t>
            </a:r>
            <a:r>
              <a:rPr lang="en-US" baseline="0"/>
              <a:t> SU COMBUSTIBLE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y graficos'!$I$7</c:f>
              <c:strCache>
                <c:ptCount val="1"/>
                <c:pt idx="0">
                  <c:v>RECUENTO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chemeClr val="accent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y graficos'!$H$8:$H$12</c:f>
              <c:strCache>
                <c:ptCount val="5"/>
                <c:pt idx="0">
                  <c:v>Diesel       </c:v>
                </c:pt>
                <c:pt idx="1">
                  <c:v>Petrol       </c:v>
                </c:pt>
                <c:pt idx="2">
                  <c:v>CNG          </c:v>
                </c:pt>
                <c:pt idx="3">
                  <c:v>Hybrid       </c:v>
                </c:pt>
                <c:pt idx="4">
                  <c:v>LPG          </c:v>
                </c:pt>
              </c:strCache>
            </c:strRef>
          </c:cat>
          <c:val>
            <c:numRef>
              <c:f>'Tablas y graficos'!$I$8:$I$12</c:f>
              <c:numCache>
                <c:formatCode>General</c:formatCode>
                <c:ptCount val="5"/>
                <c:pt idx="0">
                  <c:v>979</c:v>
                </c:pt>
                <c:pt idx="1">
                  <c:v>898</c:v>
                </c:pt>
                <c:pt idx="2">
                  <c:v>50</c:v>
                </c:pt>
                <c:pt idx="3">
                  <c:v>3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84-473E-9A41-214FDBB0617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893979823"/>
        <c:axId val="1893993743"/>
      </c:barChart>
      <c:catAx>
        <c:axId val="18939798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3993743"/>
        <c:crosses val="autoZero"/>
        <c:auto val="1"/>
        <c:lblAlgn val="ctr"/>
        <c:lblOffset val="100"/>
        <c:noMultiLvlLbl val="0"/>
      </c:catAx>
      <c:valAx>
        <c:axId val="18939937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39798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precio POR COMBUSTIBLE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y graficos'!$J$7</c:f>
              <c:strCache>
                <c:ptCount val="1"/>
                <c:pt idx="0">
                  <c:v>Promedio de precio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strRef>
              <c:f>'Tablas y graficos'!$H$8:$H$12</c:f>
              <c:strCache>
                <c:ptCount val="5"/>
                <c:pt idx="0">
                  <c:v>Diesel       </c:v>
                </c:pt>
                <c:pt idx="1">
                  <c:v>Petrol       </c:v>
                </c:pt>
                <c:pt idx="2">
                  <c:v>CNG          </c:v>
                </c:pt>
                <c:pt idx="3">
                  <c:v>Hybrid       </c:v>
                </c:pt>
                <c:pt idx="4">
                  <c:v>LPG          </c:v>
                </c:pt>
              </c:strCache>
            </c:strRef>
          </c:cat>
          <c:val>
            <c:numRef>
              <c:f>'Tablas y graficos'!$J$8:$J$12</c:f>
              <c:numCache>
                <c:formatCode>#,##0.00\ "€"</c:formatCode>
                <c:ptCount val="5"/>
                <c:pt idx="0">
                  <c:v>22798.33657303371</c:v>
                </c:pt>
                <c:pt idx="1">
                  <c:v>14425.335751670382</c:v>
                </c:pt>
                <c:pt idx="2">
                  <c:v>4899.18</c:v>
                </c:pt>
                <c:pt idx="3">
                  <c:v>78833.333333333328</c:v>
                </c:pt>
                <c:pt idx="4">
                  <c:v>2310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32-44ED-B458-5CEA5100F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1893980783"/>
        <c:axId val="1893969743"/>
      </c:barChart>
      <c:catAx>
        <c:axId val="1893980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3969743"/>
        <c:crosses val="autoZero"/>
        <c:auto val="1"/>
        <c:lblAlgn val="ctr"/>
        <c:lblOffset val="100"/>
        <c:noMultiLvlLbl val="0"/>
      </c:catAx>
      <c:valAx>
        <c:axId val="1893969743"/>
        <c:scaling>
          <c:orientation val="minMax"/>
        </c:scaling>
        <c:delete val="0"/>
        <c:axPos val="l"/>
        <c:numFmt formatCode="#,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3980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[Cuadro_de_mando.xlsm]Hoja5!TablaDinámica3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KILÓMETROS</a:t>
            </a:r>
            <a:r>
              <a:rPr lang="en-US" sz="1800" baseline="0"/>
              <a:t> POR AÑO</a:t>
            </a:r>
            <a:endParaRPr lang="en-US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Hoja5!$C$3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Hoja5!$B$4:$B$16</c:f>
              <c:strCache>
                <c:ptCount val="12"/>
                <c:pt idx="0">
                  <c:v>2009,00</c:v>
                </c:pt>
                <c:pt idx="1">
                  <c:v>2010,00</c:v>
                </c:pt>
                <c:pt idx="2">
                  <c:v>2012,00</c:v>
                </c:pt>
                <c:pt idx="3">
                  <c:v>2013,00</c:v>
                </c:pt>
                <c:pt idx="4">
                  <c:v>2014,00</c:v>
                </c:pt>
                <c:pt idx="5">
                  <c:v>2015,00</c:v>
                </c:pt>
                <c:pt idx="6">
                  <c:v>2016,00</c:v>
                </c:pt>
                <c:pt idx="7">
                  <c:v>2017,00</c:v>
                </c:pt>
                <c:pt idx="8">
                  <c:v>2018,00</c:v>
                </c:pt>
                <c:pt idx="9">
                  <c:v>2019,00</c:v>
                </c:pt>
                <c:pt idx="10">
                  <c:v>2020,00</c:v>
                </c:pt>
                <c:pt idx="11">
                  <c:v>2021,00</c:v>
                </c:pt>
              </c:strCache>
            </c:strRef>
          </c:cat>
          <c:val>
            <c:numRef>
              <c:f>Hoja5!$C$4:$C$16</c:f>
              <c:numCache>
                <c:formatCode>General</c:formatCode>
                <c:ptCount val="12"/>
                <c:pt idx="0">
                  <c:v>88000</c:v>
                </c:pt>
                <c:pt idx="1">
                  <c:v>72000</c:v>
                </c:pt>
                <c:pt idx="2">
                  <c:v>85000</c:v>
                </c:pt>
                <c:pt idx="3">
                  <c:v>68372.875</c:v>
                </c:pt>
                <c:pt idx="4">
                  <c:v>74197</c:v>
                </c:pt>
                <c:pt idx="5">
                  <c:v>56000</c:v>
                </c:pt>
                <c:pt idx="6">
                  <c:v>66241</c:v>
                </c:pt>
                <c:pt idx="7">
                  <c:v>67331.857142857145</c:v>
                </c:pt>
                <c:pt idx="8">
                  <c:v>44265.666666666664</c:v>
                </c:pt>
                <c:pt idx="9">
                  <c:v>38787.444444444445</c:v>
                </c:pt>
                <c:pt idx="10">
                  <c:v>20000</c:v>
                </c:pt>
                <c:pt idx="11">
                  <c:v>23162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D3-4209-9BA8-DC9C1F69B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25387184"/>
        <c:axId val="725380464"/>
      </c:barChart>
      <c:catAx>
        <c:axId val="7253871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25380464"/>
        <c:crosses val="autoZero"/>
        <c:auto val="1"/>
        <c:lblAlgn val="ctr"/>
        <c:lblOffset val="100"/>
        <c:noMultiLvlLbl val="0"/>
      </c:catAx>
      <c:valAx>
        <c:axId val="72538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2538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[Cuadro_de_mando.xlsm]Hoja5!TablaDinámica3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Hoja5!$C$3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Hoja5!$B$4:$B$16</c:f>
              <c:strCache>
                <c:ptCount val="12"/>
                <c:pt idx="0">
                  <c:v>2009,00</c:v>
                </c:pt>
                <c:pt idx="1">
                  <c:v>2010,00</c:v>
                </c:pt>
                <c:pt idx="2">
                  <c:v>2012,00</c:v>
                </c:pt>
                <c:pt idx="3">
                  <c:v>2013,00</c:v>
                </c:pt>
                <c:pt idx="4">
                  <c:v>2014,00</c:v>
                </c:pt>
                <c:pt idx="5">
                  <c:v>2015,00</c:v>
                </c:pt>
                <c:pt idx="6">
                  <c:v>2016,00</c:v>
                </c:pt>
                <c:pt idx="7">
                  <c:v>2017,00</c:v>
                </c:pt>
                <c:pt idx="8">
                  <c:v>2018,00</c:v>
                </c:pt>
                <c:pt idx="9">
                  <c:v>2019,00</c:v>
                </c:pt>
                <c:pt idx="10">
                  <c:v>2020,00</c:v>
                </c:pt>
                <c:pt idx="11">
                  <c:v>2021,00</c:v>
                </c:pt>
              </c:strCache>
            </c:strRef>
          </c:cat>
          <c:val>
            <c:numRef>
              <c:f>Hoja5!$C$4:$C$16</c:f>
              <c:numCache>
                <c:formatCode>General</c:formatCode>
                <c:ptCount val="12"/>
                <c:pt idx="0">
                  <c:v>88000</c:v>
                </c:pt>
                <c:pt idx="1">
                  <c:v>72000</c:v>
                </c:pt>
                <c:pt idx="2">
                  <c:v>85000</c:v>
                </c:pt>
                <c:pt idx="3">
                  <c:v>68372.875</c:v>
                </c:pt>
                <c:pt idx="4">
                  <c:v>74197</c:v>
                </c:pt>
                <c:pt idx="5">
                  <c:v>56000</c:v>
                </c:pt>
                <c:pt idx="6">
                  <c:v>66241</c:v>
                </c:pt>
                <c:pt idx="7">
                  <c:v>67331.857142857145</c:v>
                </c:pt>
                <c:pt idx="8">
                  <c:v>44265.666666666664</c:v>
                </c:pt>
                <c:pt idx="9">
                  <c:v>38787.444444444445</c:v>
                </c:pt>
                <c:pt idx="10">
                  <c:v>20000</c:v>
                </c:pt>
                <c:pt idx="11">
                  <c:v>23162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7C-41F7-A3E5-64F2FB4CE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5387184"/>
        <c:axId val="725380464"/>
      </c:barChart>
      <c:catAx>
        <c:axId val="72538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25380464"/>
        <c:crosses val="autoZero"/>
        <c:auto val="1"/>
        <c:lblAlgn val="ctr"/>
        <c:lblOffset val="100"/>
        <c:noMultiLvlLbl val="0"/>
      </c:catAx>
      <c:valAx>
        <c:axId val="72538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2538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y graficos'!$J$7</c:f>
              <c:strCache>
                <c:ptCount val="1"/>
                <c:pt idx="0">
                  <c:v>Promedio de precio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y graficos'!$H$8:$H$12</c:f>
              <c:strCache>
                <c:ptCount val="5"/>
                <c:pt idx="0">
                  <c:v>Diesel       </c:v>
                </c:pt>
                <c:pt idx="1">
                  <c:v>Petrol       </c:v>
                </c:pt>
                <c:pt idx="2">
                  <c:v>CNG          </c:v>
                </c:pt>
                <c:pt idx="3">
                  <c:v>Hybrid       </c:v>
                </c:pt>
                <c:pt idx="4">
                  <c:v>LPG          </c:v>
                </c:pt>
              </c:strCache>
            </c:strRef>
          </c:cat>
          <c:val>
            <c:numRef>
              <c:f>'Tablas y graficos'!$J$8:$J$12</c:f>
              <c:numCache>
                <c:formatCode>#,##0.00\ "€"</c:formatCode>
                <c:ptCount val="5"/>
                <c:pt idx="0">
                  <c:v>22798.33657303371</c:v>
                </c:pt>
                <c:pt idx="1">
                  <c:v>14425.335751670382</c:v>
                </c:pt>
                <c:pt idx="2">
                  <c:v>4899.18</c:v>
                </c:pt>
                <c:pt idx="3">
                  <c:v>78833.333333333328</c:v>
                </c:pt>
                <c:pt idx="4">
                  <c:v>2310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BF-425F-93A8-E40ECB3CC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3980783"/>
        <c:axId val="1893969743"/>
      </c:barChart>
      <c:catAx>
        <c:axId val="1893980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3969743"/>
        <c:crosses val="autoZero"/>
        <c:auto val="1"/>
        <c:lblAlgn val="ctr"/>
        <c:lblOffset val="100"/>
        <c:noMultiLvlLbl val="0"/>
      </c:catAx>
      <c:valAx>
        <c:axId val="1893969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3980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y graficos'!$I$7</c:f>
              <c:strCache>
                <c:ptCount val="1"/>
                <c:pt idx="0">
                  <c:v>RECUENTO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y graficos'!$H$8:$H$12</c:f>
              <c:strCache>
                <c:ptCount val="5"/>
                <c:pt idx="0">
                  <c:v>Diesel       </c:v>
                </c:pt>
                <c:pt idx="1">
                  <c:v>Petrol       </c:v>
                </c:pt>
                <c:pt idx="2">
                  <c:v>CNG          </c:v>
                </c:pt>
                <c:pt idx="3">
                  <c:v>Hybrid       </c:v>
                </c:pt>
                <c:pt idx="4">
                  <c:v>LPG          </c:v>
                </c:pt>
              </c:strCache>
            </c:strRef>
          </c:cat>
          <c:val>
            <c:numRef>
              <c:f>'Tablas y graficos'!$I$8:$I$12</c:f>
              <c:numCache>
                <c:formatCode>General</c:formatCode>
                <c:ptCount val="5"/>
                <c:pt idx="0">
                  <c:v>979</c:v>
                </c:pt>
                <c:pt idx="1">
                  <c:v>898</c:v>
                </c:pt>
                <c:pt idx="2">
                  <c:v>50</c:v>
                </c:pt>
                <c:pt idx="3">
                  <c:v>3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6F-4316-BB40-563D7C8DC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3979823"/>
        <c:axId val="1893993743"/>
      </c:barChart>
      <c:catAx>
        <c:axId val="1893979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3993743"/>
        <c:crosses val="autoZero"/>
        <c:auto val="1"/>
        <c:lblAlgn val="ctr"/>
        <c:lblOffset val="100"/>
        <c:noMultiLvlLbl val="0"/>
      </c:catAx>
      <c:valAx>
        <c:axId val="1893993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39798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'Tablas y graficos'!$B$41</c:f>
              <c:strCache>
                <c:ptCount val="1"/>
                <c:pt idx="0">
                  <c:v>Recuento</c:v>
                </c:pt>
              </c:strCache>
            </c:strRef>
          </c:tx>
          <c:dPt>
            <c:idx val="0"/>
            <c:bubble3D val="0"/>
            <c:spPr>
              <a:solidFill>
                <a:srgbClr val="FFCC9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A6C-4002-801B-88EEA231935E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A6C-4002-801B-88EEA231935E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A6C-4002-801B-88EEA231935E}"/>
              </c:ext>
            </c:extLst>
          </c:dPt>
          <c:dPt>
            <c:idx val="3"/>
            <c:bubble3D val="0"/>
            <c:spPr>
              <a:solidFill>
                <a:srgbClr val="CC66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A6C-4002-801B-88EEA231935E}"/>
              </c:ext>
            </c:extLst>
          </c:dPt>
          <c:dPt>
            <c:idx val="4"/>
            <c:bubble3D val="0"/>
            <c:spPr>
              <a:solidFill>
                <a:srgbClr val="6633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A6C-4002-801B-88EEA231935E}"/>
              </c:ext>
            </c:extLst>
          </c:dPt>
          <c:dPt>
            <c:idx val="5"/>
            <c:bubble3D val="0"/>
            <c:spPr>
              <a:solidFill>
                <a:srgbClr val="FFC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A6C-4002-801B-88EEA231935E}"/>
              </c:ext>
            </c:extLst>
          </c:dPt>
          <c:dPt>
            <c:idx val="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A6C-4002-801B-88EEA231935E}"/>
              </c:ext>
            </c:extLst>
          </c:dPt>
          <c:dPt>
            <c:idx val="7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A6C-4002-801B-88EEA231935E}"/>
              </c:ext>
            </c:extLst>
          </c:dPt>
          <c:dPt>
            <c:idx val="8"/>
            <c:bubble3D val="0"/>
            <c:spPr>
              <a:solidFill>
                <a:srgbClr val="99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A6C-4002-801B-88EEA231935E}"/>
              </c:ext>
            </c:extLst>
          </c:dPt>
          <c:dPt>
            <c:idx val="9"/>
            <c:bubble3D val="0"/>
            <c:spPr>
              <a:solidFill>
                <a:srgbClr val="FF66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A6C-4002-801B-88EEA231935E}"/>
              </c:ext>
            </c:extLst>
          </c:dPt>
          <c:dPt>
            <c:idx val="1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A6C-4002-801B-88EEA231935E}"/>
              </c:ext>
            </c:extLst>
          </c:dPt>
          <c:dPt>
            <c:idx val="11"/>
            <c:bubble3D val="0"/>
            <c:spPr>
              <a:solidFill>
                <a:srgbClr val="FF33C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6A6C-4002-801B-88EEA231935E}"/>
              </c:ext>
            </c:extLst>
          </c:dPt>
          <c:dPt>
            <c:idx val="12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6A6C-4002-801B-88EEA231935E}"/>
              </c:ext>
            </c:extLst>
          </c:dPt>
          <c:dPt>
            <c:idx val="1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6A6C-4002-801B-88EEA231935E}"/>
              </c:ext>
            </c:extLst>
          </c:dPt>
          <c:dPt>
            <c:idx val="14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6A6C-4002-801B-88EEA231935E}"/>
              </c:ext>
            </c:extLst>
          </c:dPt>
          <c:dPt>
            <c:idx val="15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6A6C-4002-801B-88EEA231935E}"/>
              </c:ext>
            </c:extLst>
          </c:dPt>
          <c:dPt>
            <c:idx val="16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6A6C-4002-801B-88EEA231935E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'Tablas y graficos'!$A$42:$A$59</c15:sqref>
                  </c15:fullRef>
                </c:ext>
              </c:extLst>
              <c:f>'Tablas y graficos'!$A$42:$A$58</c:f>
              <c:strCache>
                <c:ptCount val="17"/>
                <c:pt idx="0">
                  <c:v>Beige  </c:v>
                </c:pt>
                <c:pt idx="1">
                  <c:v>Black  </c:v>
                </c:pt>
                <c:pt idx="2">
                  <c:v>Blue   </c:v>
                </c:pt>
                <c:pt idx="3">
                  <c:v>Bronze </c:v>
                </c:pt>
                <c:pt idx="4">
                  <c:v>Brown  </c:v>
                </c:pt>
                <c:pt idx="5">
                  <c:v>Gold   </c:v>
                </c:pt>
                <c:pt idx="6">
                  <c:v>Green  </c:v>
                </c:pt>
                <c:pt idx="7">
                  <c:v>Grey   </c:v>
                </c:pt>
                <c:pt idx="8">
                  <c:v>Maroon </c:v>
                </c:pt>
                <c:pt idx="9">
                  <c:v>Orange </c:v>
                </c:pt>
                <c:pt idx="10">
                  <c:v>Others </c:v>
                </c:pt>
                <c:pt idx="11">
                  <c:v>Pink   </c:v>
                </c:pt>
                <c:pt idx="12">
                  <c:v>Purple </c:v>
                </c:pt>
                <c:pt idx="13">
                  <c:v>Red    </c:v>
                </c:pt>
                <c:pt idx="14">
                  <c:v>Silver </c:v>
                </c:pt>
                <c:pt idx="15">
                  <c:v>White  </c:v>
                </c:pt>
                <c:pt idx="16">
                  <c:v>Yellow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'Tablas y graficos'!$B$42:$B$59</c15:sqref>
                  </c15:fullRef>
                </c:ext>
              </c:extLst>
              <c:f>'Tablas y graficos'!$B$42:$B$58</c:f>
              <c:numCache>
                <c:formatCode>General</c:formatCode>
                <c:ptCount val="17"/>
                <c:pt idx="0">
                  <c:v>6</c:v>
                </c:pt>
                <c:pt idx="1">
                  <c:v>154</c:v>
                </c:pt>
                <c:pt idx="2">
                  <c:v>174</c:v>
                </c:pt>
                <c:pt idx="3">
                  <c:v>26</c:v>
                </c:pt>
                <c:pt idx="4">
                  <c:v>79</c:v>
                </c:pt>
                <c:pt idx="5">
                  <c:v>30</c:v>
                </c:pt>
                <c:pt idx="6">
                  <c:v>14</c:v>
                </c:pt>
                <c:pt idx="7">
                  <c:v>210</c:v>
                </c:pt>
                <c:pt idx="8">
                  <c:v>34</c:v>
                </c:pt>
                <c:pt idx="9">
                  <c:v>16</c:v>
                </c:pt>
                <c:pt idx="10">
                  <c:v>11</c:v>
                </c:pt>
                <c:pt idx="11">
                  <c:v>1</c:v>
                </c:pt>
                <c:pt idx="12">
                  <c:v>4</c:v>
                </c:pt>
                <c:pt idx="13">
                  <c:v>148</c:v>
                </c:pt>
                <c:pt idx="14">
                  <c:v>278</c:v>
                </c:pt>
                <c:pt idx="15">
                  <c:v>744</c:v>
                </c:pt>
                <c:pt idx="16">
                  <c:v>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2-6A6C-4002-801B-88EEA2319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25000"/>
        <a:lumOff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156244</xdr:colOff>
      <xdr:row>90</xdr:row>
      <xdr:rowOff>347463</xdr:rowOff>
    </xdr:from>
    <xdr:to>
      <xdr:col>16</xdr:col>
      <xdr:colOff>228889</xdr:colOff>
      <xdr:row>93</xdr:row>
      <xdr:rowOff>243109</xdr:rowOff>
    </xdr:to>
    <xdr:sp macro="" textlink="">
      <xdr:nvSpPr>
        <xdr:cNvPr id="39" name="Rectángulo 38">
          <a:extLst>
            <a:ext uri="{FF2B5EF4-FFF2-40B4-BE49-F238E27FC236}">
              <a16:creationId xmlns:a16="http://schemas.microsoft.com/office/drawing/2014/main" id="{0A55437A-04A3-0F08-DC5A-D3EB73530B41}"/>
            </a:ext>
          </a:extLst>
        </xdr:cNvPr>
        <xdr:cNvSpPr/>
      </xdr:nvSpPr>
      <xdr:spPr>
        <a:xfrm>
          <a:off x="19243719" y="18460578"/>
          <a:ext cx="1684088" cy="98243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546218</xdr:colOff>
      <xdr:row>106</xdr:row>
      <xdr:rowOff>131786</xdr:rowOff>
    </xdr:from>
    <xdr:to>
      <xdr:col>9</xdr:col>
      <xdr:colOff>735968</xdr:colOff>
      <xdr:row>119</xdr:row>
      <xdr:rowOff>160220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1" name="Make           3">
              <a:extLst>
                <a:ext uri="{FF2B5EF4-FFF2-40B4-BE49-F238E27FC236}">
                  <a16:creationId xmlns:a16="http://schemas.microsoft.com/office/drawing/2014/main" id="{572D426D-6746-46A8-A327-EEE161DA4FA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ke          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05910" y="22874555"/>
              <a:ext cx="1850520" cy="23144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10</xdr:col>
      <xdr:colOff>1841500</xdr:colOff>
      <xdr:row>8</xdr:row>
      <xdr:rowOff>127001</xdr:rowOff>
    </xdr:from>
    <xdr:to>
      <xdr:col>29</xdr:col>
      <xdr:colOff>45493</xdr:colOff>
      <xdr:row>42</xdr:row>
      <xdr:rowOff>68239</xdr:rowOff>
    </xdr:to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2748D618-BC9C-2129-E0C7-97F0782E1975}"/>
            </a:ext>
          </a:extLst>
        </xdr:cNvPr>
        <xdr:cNvSpPr/>
      </xdr:nvSpPr>
      <xdr:spPr>
        <a:xfrm>
          <a:off x="14420187" y="1582762"/>
          <a:ext cx="21393813" cy="696983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2440744</xdr:colOff>
      <xdr:row>10</xdr:row>
      <xdr:rowOff>181707</xdr:rowOff>
    </xdr:from>
    <xdr:to>
      <xdr:col>28</xdr:col>
      <xdr:colOff>236482</xdr:colOff>
      <xdr:row>39</xdr:row>
      <xdr:rowOff>52553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008882FB-E2D1-C01F-4151-7FF1A11FCB8B}"/>
            </a:ext>
          </a:extLst>
        </xdr:cNvPr>
        <xdr:cNvSpPr/>
      </xdr:nvSpPr>
      <xdr:spPr>
        <a:xfrm>
          <a:off x="15000606" y="2021017"/>
          <a:ext cx="20156497" cy="601939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35728</xdr:colOff>
      <xdr:row>75</xdr:row>
      <xdr:rowOff>3444</xdr:rowOff>
    </xdr:from>
    <xdr:to>
      <xdr:col>29</xdr:col>
      <xdr:colOff>28222</xdr:colOff>
      <xdr:row>81</xdr:row>
      <xdr:rowOff>181969</xdr:rowOff>
    </xdr:to>
    <xdr:sp macro="" textlink="">
      <xdr:nvSpPr>
        <xdr:cNvPr id="23" name="Rectángulo 22">
          <a:extLst>
            <a:ext uri="{FF2B5EF4-FFF2-40B4-BE49-F238E27FC236}">
              <a16:creationId xmlns:a16="http://schemas.microsoft.com/office/drawing/2014/main" id="{9E59DB18-674E-47B3-A010-A4749E261388}"/>
            </a:ext>
          </a:extLst>
        </xdr:cNvPr>
        <xdr:cNvSpPr/>
      </xdr:nvSpPr>
      <xdr:spPr>
        <a:xfrm>
          <a:off x="831847" y="15027354"/>
          <a:ext cx="37216763" cy="1270346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66145</xdr:colOff>
      <xdr:row>0</xdr:row>
      <xdr:rowOff>50948</xdr:rowOff>
    </xdr:from>
    <xdr:to>
      <xdr:col>29</xdr:col>
      <xdr:colOff>79613</xdr:colOff>
      <xdr:row>7</xdr:row>
      <xdr:rowOff>11372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921A83D1-3C60-39D7-0A93-45C83A1588C7}"/>
            </a:ext>
          </a:extLst>
        </xdr:cNvPr>
        <xdr:cNvSpPr/>
      </xdr:nvSpPr>
      <xdr:spPr>
        <a:xfrm>
          <a:off x="860229" y="50948"/>
          <a:ext cx="37768563" cy="1251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291474</xdr:colOff>
      <xdr:row>0</xdr:row>
      <xdr:rowOff>146361</xdr:rowOff>
    </xdr:from>
    <xdr:to>
      <xdr:col>18</xdr:col>
      <xdr:colOff>407003</xdr:colOff>
      <xdr:row>6</xdr:row>
      <xdr:rowOff>10079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534012" y="498053"/>
          <a:ext cx="9860337" cy="9187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4000">
              <a:solidFill>
                <a:schemeClr val="bg1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  <a:latin typeface="Copperplate Gothic Bold" panose="020E0705020206020404" pitchFamily="34" charset="0"/>
              <a:cs typeface="Arabic Typesetting" panose="020F0502020204030204" pitchFamily="66" charset="-78"/>
            </a:rPr>
            <a:t>COCHES</a:t>
          </a:r>
          <a:r>
            <a:rPr lang="es-ES" sz="4000" baseline="0">
              <a:solidFill>
                <a:schemeClr val="bg1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  <a:latin typeface="Copperplate Gothic Bold" panose="020E0705020206020404" pitchFamily="34" charset="0"/>
              <a:cs typeface="Arabic Typesetting" panose="020F0502020204030204" pitchFamily="66" charset="-78"/>
            </a:rPr>
            <a:t> DE SEGUNDA MANO</a:t>
          </a:r>
          <a:endParaRPr lang="es-ES" sz="4000">
            <a:solidFill>
              <a:schemeClr val="bg1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</a:effectLst>
            <a:latin typeface="Copperplate Gothic Bold" panose="020E0705020206020404" pitchFamily="34" charset="0"/>
            <a:cs typeface="Arabic Typesetting" panose="020F0502020204030204" pitchFamily="66" charset="-7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500979</xdr:colOff>
          <xdr:row>91</xdr:row>
          <xdr:rowOff>345511</xdr:rowOff>
        </xdr:from>
        <xdr:to>
          <xdr:col>16</xdr:col>
          <xdr:colOff>103779</xdr:colOff>
          <xdr:row>93</xdr:row>
          <xdr:rowOff>24984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BUSCAR ID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82176</xdr:colOff>
      <xdr:row>8</xdr:row>
      <xdr:rowOff>172759</xdr:rowOff>
    </xdr:from>
    <xdr:to>
      <xdr:col>9</xdr:col>
      <xdr:colOff>941293</xdr:colOff>
      <xdr:row>12</xdr:row>
      <xdr:rowOff>77509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75926" y="1696759"/>
          <a:ext cx="11685867" cy="666750"/>
        </a:xfrm>
        <a:prstGeom prst="rect">
          <a:avLst/>
        </a:prstGeom>
        <a:solidFill>
          <a:schemeClr val="bg2">
            <a:lumMod val="9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2400" b="1" cap="none" spc="50">
              <a:ln w="9525" cmpd="sng">
                <a:noFill/>
                <a:prstDash val="solid"/>
              </a:ln>
              <a:solidFill>
                <a:srgbClr val="70AD47">
                  <a:tint val="1000"/>
                </a:srgbClr>
              </a:solidFill>
              <a:effectLst/>
              <a:latin typeface="Berlin Sans FB Demi" panose="020E0802020502020306" pitchFamily="34" charset="0"/>
            </a:rPr>
            <a:t>CONSULTA</a:t>
          </a:r>
          <a:r>
            <a:rPr lang="es-ES" sz="2400" b="1" cap="none" spc="50" baseline="0">
              <a:ln w="9525" cmpd="sng">
                <a:noFill/>
                <a:prstDash val="solid"/>
              </a:ln>
              <a:solidFill>
                <a:srgbClr val="70AD47">
                  <a:tint val="1000"/>
                </a:srgbClr>
              </a:solidFill>
              <a:effectLst/>
              <a:latin typeface="Berlin Sans FB Demi" panose="020E0802020502020306" pitchFamily="34" charset="0"/>
            </a:rPr>
            <a:t> LA OFERTA DE CADA MARCA</a:t>
          </a:r>
          <a:endParaRPr lang="es-ES" sz="2400" b="1" cap="none" spc="50">
            <a:ln w="9525" cmpd="sng">
              <a:noFill/>
              <a:prstDash val="solid"/>
            </a:ln>
            <a:solidFill>
              <a:srgbClr val="70AD47">
                <a:tint val="1000"/>
              </a:srgbClr>
            </a:solidFill>
            <a:effectLst/>
            <a:latin typeface="Berlin Sans FB Demi" panose="020E0802020502020306" pitchFamily="34" charset="0"/>
          </a:endParaRPr>
        </a:p>
      </xdr:txBody>
    </xdr:sp>
    <xdr:clientData/>
  </xdr:twoCellAnchor>
  <xdr:twoCellAnchor>
    <xdr:from>
      <xdr:col>5</xdr:col>
      <xdr:colOff>2490295</xdr:colOff>
      <xdr:row>75</xdr:row>
      <xdr:rowOff>40738</xdr:rowOff>
    </xdr:from>
    <xdr:to>
      <xdr:col>17</xdr:col>
      <xdr:colOff>3387993</xdr:colOff>
      <xdr:row>81</xdr:row>
      <xdr:rowOff>106969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19E6ECCD-EACE-4CD4-BB0C-E91789ABBD27}"/>
            </a:ext>
          </a:extLst>
        </xdr:cNvPr>
        <xdr:cNvSpPr txBox="1"/>
      </xdr:nvSpPr>
      <xdr:spPr>
        <a:xfrm>
          <a:off x="8268795" y="15502988"/>
          <a:ext cx="15566198" cy="13997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4000">
              <a:solidFill>
                <a:schemeClr val="bg1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  <a:latin typeface="Copperplate Gothic Bold" panose="020E0705020206020404" pitchFamily="34" charset="0"/>
              <a:cs typeface="Arabic Typesetting" panose="020F0502020204030204" pitchFamily="66" charset="-78"/>
            </a:rPr>
            <a:t>BUSCA TU COCHE IDEAL</a:t>
          </a:r>
        </a:p>
      </xdr:txBody>
    </xdr:sp>
    <xdr:clientData/>
  </xdr:twoCellAnchor>
  <xdr:twoCellAnchor>
    <xdr:from>
      <xdr:col>1</xdr:col>
      <xdr:colOff>79571</xdr:colOff>
      <xdr:row>19</xdr:row>
      <xdr:rowOff>235799</xdr:rowOff>
    </xdr:from>
    <xdr:to>
      <xdr:col>9</xdr:col>
      <xdr:colOff>947363</xdr:colOff>
      <xdr:row>42</xdr:row>
      <xdr:rowOff>102423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E5E16197-9417-43A6-BC59-E7B82E4CB8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94110</xdr:colOff>
      <xdr:row>50</xdr:row>
      <xdr:rowOff>112441</xdr:rowOff>
    </xdr:from>
    <xdr:to>
      <xdr:col>6</xdr:col>
      <xdr:colOff>433552</xdr:colOff>
      <xdr:row>71</xdr:row>
      <xdr:rowOff>78827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5E2A526-C535-488F-89E8-5897604BF5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709449</xdr:colOff>
      <xdr:row>50</xdr:row>
      <xdr:rowOff>140741</xdr:rowOff>
    </xdr:from>
    <xdr:to>
      <xdr:col>13</xdr:col>
      <xdr:colOff>332636</xdr:colOff>
      <xdr:row>71</xdr:row>
      <xdr:rowOff>39413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220FC2C6-BDD1-46E3-8A2B-C9E92DDA99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318633</xdr:colOff>
      <xdr:row>12</xdr:row>
      <xdr:rowOff>174247</xdr:rowOff>
    </xdr:from>
    <xdr:to>
      <xdr:col>22</xdr:col>
      <xdr:colOff>338667</xdr:colOff>
      <xdr:row>37</xdr:row>
      <xdr:rowOff>48381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E8568683-343E-4F24-A769-FCE0D799A2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24</xdr:col>
      <xdr:colOff>782493</xdr:colOff>
      <xdr:row>16</xdr:row>
      <xdr:rowOff>273121</xdr:rowOff>
    </xdr:from>
    <xdr:to>
      <xdr:col>26</xdr:col>
      <xdr:colOff>12896</xdr:colOff>
      <xdr:row>34</xdr:row>
      <xdr:rowOff>18777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5" name="Make           2">
              <a:extLst>
                <a:ext uri="{FF2B5EF4-FFF2-40B4-BE49-F238E27FC236}">
                  <a16:creationId xmlns:a16="http://schemas.microsoft.com/office/drawing/2014/main" id="{60DEF6A3-7576-47A1-8DAC-264893F6EE9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ke          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532493" y="3809583"/>
              <a:ext cx="3118557" cy="30671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15</xdr:col>
      <xdr:colOff>693510</xdr:colOff>
      <xdr:row>33</xdr:row>
      <xdr:rowOff>162306</xdr:rowOff>
    </xdr:from>
    <xdr:to>
      <xdr:col>25</xdr:col>
      <xdr:colOff>670222</xdr:colOff>
      <xdr:row>36</xdr:row>
      <xdr:rowOff>23348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E0A07177-0A7F-462B-8AC7-F8FD2DE91AF9}"/>
            </a:ext>
          </a:extLst>
        </xdr:cNvPr>
        <xdr:cNvSpPr txBox="1"/>
      </xdr:nvSpPr>
      <xdr:spPr>
        <a:xfrm>
          <a:off x="17989138" y="7215236"/>
          <a:ext cx="7951131" cy="445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s-ES" sz="2400" b="1" cap="none" spc="50">
            <a:ln w="9525" cmpd="sng">
              <a:solidFill>
                <a:schemeClr val="accent1"/>
              </a:solidFill>
              <a:prstDash val="solid"/>
            </a:ln>
            <a:solidFill>
              <a:srgbClr val="70AD47">
                <a:tint val="1000"/>
              </a:srgbClr>
            </a:solidFill>
            <a:effectLst>
              <a:glow rad="38100">
                <a:schemeClr val="accent1">
                  <a:alpha val="40000"/>
                </a:schemeClr>
              </a:glow>
            </a:effectLst>
            <a:latin typeface="Berlin Sans FB Demi" panose="020E0802020502020306" pitchFamily="34" charset="0"/>
          </a:endParaRPr>
        </a:p>
      </xdr:txBody>
    </xdr:sp>
    <xdr:clientData/>
  </xdr:twoCellAnchor>
  <xdr:twoCellAnchor editAs="oneCell">
    <xdr:from>
      <xdr:col>10</xdr:col>
      <xdr:colOff>2358072</xdr:colOff>
      <xdr:row>106</xdr:row>
      <xdr:rowOff>23170</xdr:rowOff>
    </xdr:from>
    <xdr:to>
      <xdr:col>13</xdr:col>
      <xdr:colOff>183841</xdr:colOff>
      <xdr:row>119</xdr:row>
      <xdr:rowOff>36576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8" name="Year  1">
              <a:extLst>
                <a:ext uri="{FF2B5EF4-FFF2-40B4-BE49-F238E27FC236}">
                  <a16:creationId xmlns:a16="http://schemas.microsoft.com/office/drawing/2014/main" id="{45A90DC8-E50B-43EC-9AE7-14EEF2060CE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ear 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444304" y="22765939"/>
              <a:ext cx="1828614" cy="22994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533779</xdr:colOff>
      <xdr:row>106</xdr:row>
      <xdr:rowOff>241035</xdr:rowOff>
    </xdr:from>
    <xdr:to>
      <xdr:col>9</xdr:col>
      <xdr:colOff>722947</xdr:colOff>
      <xdr:row>120</xdr:row>
      <xdr:rowOff>25435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9" name="Fuel Type     1">
              <a:extLst>
                <a:ext uri="{FF2B5EF4-FFF2-40B4-BE49-F238E27FC236}">
                  <a16:creationId xmlns:a16="http://schemas.microsoft.com/office/drawing/2014/main" id="{6C144FDB-19D8-461C-8EB7-6DDB9807FC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uel Type    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93471" y="22922844"/>
              <a:ext cx="1849938" cy="23072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185145</xdr:colOff>
      <xdr:row>105</xdr:row>
      <xdr:rowOff>262253</xdr:rowOff>
    </xdr:from>
    <xdr:to>
      <xdr:col>7</xdr:col>
      <xdr:colOff>533631</xdr:colOff>
      <xdr:row>119</xdr:row>
      <xdr:rowOff>13047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0" name="Color   1">
              <a:extLst>
                <a:ext uri="{FF2B5EF4-FFF2-40B4-BE49-F238E27FC236}">
                  <a16:creationId xmlns:a16="http://schemas.microsoft.com/office/drawing/2014/main" id="{D298EB48-068A-45E6-9A9F-1745A25A4BF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or  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59914" y="22752976"/>
              <a:ext cx="1833409" cy="2288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1595104</xdr:colOff>
      <xdr:row>100</xdr:row>
      <xdr:rowOff>22621</xdr:rowOff>
    </xdr:from>
    <xdr:to>
      <xdr:col>13</xdr:col>
      <xdr:colOff>185954</xdr:colOff>
      <xdr:row>110</xdr:row>
      <xdr:rowOff>48101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4" name="Model                                               1">
              <a:extLst>
                <a:ext uri="{FF2B5EF4-FFF2-40B4-BE49-F238E27FC236}">
                  <a16:creationId xmlns:a16="http://schemas.microsoft.com/office/drawing/2014/main" id="{7C073169-EAEA-48CC-9C7A-13427D1BBDB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                                              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443336" y="21124159"/>
              <a:ext cx="1831695" cy="23700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</xdr:col>
      <xdr:colOff>104621</xdr:colOff>
      <xdr:row>15</xdr:row>
      <xdr:rowOff>290086</xdr:rowOff>
    </xdr:from>
    <xdr:to>
      <xdr:col>9</xdr:col>
      <xdr:colOff>962595</xdr:colOff>
      <xdr:row>18</xdr:row>
      <xdr:rowOff>187660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6319BB0E-F78A-4FAE-BDF8-2A7F78C119B0}"/>
            </a:ext>
          </a:extLst>
        </xdr:cNvPr>
        <xdr:cNvSpPr txBox="1"/>
      </xdr:nvSpPr>
      <xdr:spPr>
        <a:xfrm>
          <a:off x="890434" y="3838149"/>
          <a:ext cx="11597411" cy="802449"/>
        </a:xfrm>
        <a:prstGeom prst="rect">
          <a:avLst/>
        </a:prstGeom>
        <a:solidFill>
          <a:schemeClr val="bg2">
            <a:lumMod val="9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2400" b="1" cap="none" spc="50">
              <a:ln w="9525" cmpd="sng">
                <a:noFill/>
                <a:prstDash val="solid"/>
              </a:ln>
              <a:solidFill>
                <a:srgbClr val="70AD47">
                  <a:tint val="1000"/>
                </a:srgbClr>
              </a:solidFill>
              <a:effectLst/>
              <a:latin typeface="Berlin Sans FB Demi" panose="020E0802020502020306" pitchFamily="34" charset="0"/>
            </a:rPr>
            <a:t>¿QUÉ</a:t>
          </a:r>
          <a:r>
            <a:rPr lang="es-ES" sz="2400" b="1" cap="none" spc="50" baseline="0">
              <a:ln w="9525" cmpd="sng">
                <a:noFill/>
                <a:prstDash val="solid"/>
              </a:ln>
              <a:solidFill>
                <a:srgbClr val="70AD47">
                  <a:tint val="1000"/>
                </a:srgbClr>
              </a:solidFill>
              <a:effectLst/>
              <a:latin typeface="Berlin Sans FB Demi" panose="020E0802020502020306" pitchFamily="34" charset="0"/>
            </a:rPr>
            <a:t> COLOR TE GUSTA?</a:t>
          </a:r>
          <a:endParaRPr lang="es-ES" sz="2400" b="1" cap="none" spc="50">
            <a:ln w="9525" cmpd="sng">
              <a:noFill/>
              <a:prstDash val="solid"/>
            </a:ln>
            <a:solidFill>
              <a:srgbClr val="70AD47">
                <a:tint val="1000"/>
              </a:srgbClr>
            </a:solidFill>
            <a:effectLst/>
            <a:latin typeface="Berlin Sans FB Demi" panose="020E0802020502020306" pitchFamily="34" charset="0"/>
          </a:endParaRPr>
        </a:p>
      </xdr:txBody>
    </xdr:sp>
    <xdr:clientData/>
  </xdr:twoCellAnchor>
  <xdr:twoCellAnchor>
    <xdr:from>
      <xdr:col>1</xdr:col>
      <xdr:colOff>66520</xdr:colOff>
      <xdr:row>44</xdr:row>
      <xdr:rowOff>61486</xdr:rowOff>
    </xdr:from>
    <xdr:to>
      <xdr:col>13</xdr:col>
      <xdr:colOff>317499</xdr:colOff>
      <xdr:row>49</xdr:row>
      <xdr:rowOff>31750</xdr:rowOff>
    </xdr:to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C27FABB6-EA02-49BC-A001-EB3A9405F0D9}"/>
            </a:ext>
          </a:extLst>
        </xdr:cNvPr>
        <xdr:cNvSpPr txBox="1"/>
      </xdr:nvSpPr>
      <xdr:spPr>
        <a:xfrm>
          <a:off x="866620" y="9548386"/>
          <a:ext cx="16252979" cy="922764"/>
        </a:xfrm>
        <a:prstGeom prst="rect">
          <a:avLst/>
        </a:prstGeom>
        <a:solidFill>
          <a:schemeClr val="bg2">
            <a:lumMod val="9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2400" b="1" cap="none" spc="50">
              <a:ln w="9525" cmpd="sng">
                <a:noFill/>
                <a:prstDash val="solid"/>
              </a:ln>
              <a:solidFill>
                <a:srgbClr val="70AD47">
                  <a:tint val="1000"/>
                </a:srgbClr>
              </a:solidFill>
              <a:effectLst/>
              <a:latin typeface="Berlin Sans FB Demi" panose="020E0802020502020306" pitchFamily="34" charset="0"/>
            </a:rPr>
            <a:t>¿PREOCUPADO POR EL MEDIAMBIENTE? CONSULTA LOS DISITNTOS COMBUSTIBLES</a:t>
          </a:r>
        </a:p>
      </xdr:txBody>
    </xdr:sp>
    <xdr:clientData/>
  </xdr:twoCellAnchor>
  <xdr:twoCellAnchor>
    <xdr:from>
      <xdr:col>23</xdr:col>
      <xdr:colOff>204107</xdr:colOff>
      <xdr:row>12</xdr:row>
      <xdr:rowOff>215659</xdr:rowOff>
    </xdr:from>
    <xdr:to>
      <xdr:col>27</xdr:col>
      <xdr:colOff>603849</xdr:colOff>
      <xdr:row>16</xdr:row>
      <xdr:rowOff>190499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C80B979F-093D-B725-26C1-974C6460F39D}"/>
            </a:ext>
          </a:extLst>
        </xdr:cNvPr>
        <xdr:cNvSpPr txBox="1"/>
      </xdr:nvSpPr>
      <xdr:spPr>
        <a:xfrm>
          <a:off x="24860250" y="2447230"/>
          <a:ext cx="3556599" cy="14308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2400" b="1">
              <a:ln>
                <a:solidFill>
                  <a:schemeClr val="bg2">
                    <a:lumMod val="75000"/>
                  </a:schemeClr>
                </a:solidFill>
              </a:ln>
              <a:solidFill>
                <a:schemeClr val="bg1"/>
              </a:solidFill>
              <a:latin typeface="Berlin Sans FB" panose="020E0602020502020306" pitchFamily="34" charset="0"/>
            </a:rPr>
            <a:t>SELECCIONA LA MARCA QUE</a:t>
          </a:r>
          <a:r>
            <a:rPr lang="es-ES" sz="2400" b="1" baseline="0">
              <a:ln>
                <a:solidFill>
                  <a:schemeClr val="bg2">
                    <a:lumMod val="75000"/>
                  </a:schemeClr>
                </a:solidFill>
              </a:ln>
              <a:solidFill>
                <a:schemeClr val="bg1"/>
              </a:solidFill>
              <a:latin typeface="Berlin Sans FB" panose="020E0602020502020306" pitchFamily="34" charset="0"/>
            </a:rPr>
            <a:t> TE INTERSA</a:t>
          </a:r>
          <a:endParaRPr lang="es-ES" sz="2400" b="1">
            <a:ln>
              <a:solidFill>
                <a:schemeClr val="bg2">
                  <a:lumMod val="75000"/>
                </a:schemeClr>
              </a:solidFill>
            </a:ln>
            <a:solidFill>
              <a:schemeClr val="bg1"/>
            </a:solidFill>
            <a:latin typeface="Berlin Sans FB" panose="020E0602020502020306" pitchFamily="34" charset="0"/>
          </a:endParaRPr>
        </a:p>
      </xdr:txBody>
    </xdr:sp>
    <xdr:clientData/>
  </xdr:twoCellAnchor>
  <xdr:twoCellAnchor>
    <xdr:from>
      <xdr:col>14</xdr:col>
      <xdr:colOff>45493</xdr:colOff>
      <xdr:row>44</xdr:row>
      <xdr:rowOff>70278</xdr:rowOff>
    </xdr:from>
    <xdr:to>
      <xdr:col>29</xdr:col>
      <xdr:colOff>21168</xdr:colOff>
      <xdr:row>49</xdr:row>
      <xdr:rowOff>34119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8FA20FB5-14D0-4F24-99A5-93E262C8106A}"/>
            </a:ext>
          </a:extLst>
        </xdr:cNvPr>
        <xdr:cNvSpPr txBox="1"/>
      </xdr:nvSpPr>
      <xdr:spPr>
        <a:xfrm>
          <a:off x="17651105" y="8918577"/>
          <a:ext cx="18138570" cy="873691"/>
        </a:xfrm>
        <a:prstGeom prst="rect">
          <a:avLst/>
        </a:prstGeom>
        <a:solidFill>
          <a:schemeClr val="bg2">
            <a:lumMod val="9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2400" b="1" cap="none" spc="50">
              <a:ln w="9525" cmpd="sng">
                <a:noFill/>
                <a:prstDash val="solid"/>
              </a:ln>
              <a:solidFill>
                <a:srgbClr val="70AD47">
                  <a:tint val="1000"/>
                </a:srgbClr>
              </a:solidFill>
              <a:effectLst/>
              <a:latin typeface="Berlin Sans FB Demi" panose="020E0802020502020306" pitchFamily="34" charset="0"/>
            </a:rPr>
            <a:t>10 COHES MÁS CAROS vs 10 COCHES MÁS BARATOS</a:t>
          </a:r>
        </a:p>
      </xdr:txBody>
    </xdr:sp>
    <xdr:clientData/>
  </xdr:twoCellAnchor>
  <xdr:twoCellAnchor>
    <xdr:from>
      <xdr:col>20</xdr:col>
      <xdr:colOff>518160</xdr:colOff>
      <xdr:row>57</xdr:row>
      <xdr:rowOff>60959</xdr:rowOff>
    </xdr:from>
    <xdr:to>
      <xdr:col>22</xdr:col>
      <xdr:colOff>250209</xdr:colOff>
      <xdr:row>64</xdr:row>
      <xdr:rowOff>68238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1EC121A9-4B20-1A65-F645-AD2327A0914D}"/>
            </a:ext>
          </a:extLst>
        </xdr:cNvPr>
        <xdr:cNvSpPr txBox="1"/>
      </xdr:nvSpPr>
      <xdr:spPr>
        <a:xfrm>
          <a:off x="26767354" y="11365855"/>
          <a:ext cx="1324288" cy="163363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66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  <a:latin typeface="Berlin Sans FB" panose="020E0602020502020306" pitchFamily="34" charset="0"/>
            </a:rPr>
            <a:t>VS</a:t>
          </a:r>
          <a:endParaRPr lang="es-ES" sz="1100" b="1" cap="none" spc="50">
            <a:ln w="9525" cmpd="sng">
              <a:solidFill>
                <a:schemeClr val="accent1"/>
              </a:solidFill>
              <a:prstDash val="solid"/>
            </a:ln>
            <a:solidFill>
              <a:srgbClr val="70AD47">
                <a:tint val="1000"/>
              </a:srgbClr>
            </a:solidFill>
            <a:effectLst>
              <a:glow rad="38100">
                <a:schemeClr val="accent1">
                  <a:alpha val="40000"/>
                </a:schemeClr>
              </a:glow>
            </a:effectLst>
            <a:latin typeface="Berlin Sans FB" panose="020E0602020502020306" pitchFamily="34" charset="0"/>
          </a:endParaRPr>
        </a:p>
      </xdr:txBody>
    </xdr:sp>
    <xdr:clientData/>
  </xdr:twoCellAnchor>
  <xdr:twoCellAnchor>
    <xdr:from>
      <xdr:col>1</xdr:col>
      <xdr:colOff>12326</xdr:colOff>
      <xdr:row>84</xdr:row>
      <xdr:rowOff>102909</xdr:rowOff>
    </xdr:from>
    <xdr:to>
      <xdr:col>10</xdr:col>
      <xdr:colOff>1753809</xdr:colOff>
      <xdr:row>88</xdr:row>
      <xdr:rowOff>48381</xdr:rowOff>
    </xdr:to>
    <xdr:sp macro="" textlink="">
      <xdr:nvSpPr>
        <xdr:cNvPr id="35" name="CuadroTexto 34">
          <a:extLst>
            <a:ext uri="{FF2B5EF4-FFF2-40B4-BE49-F238E27FC236}">
              <a16:creationId xmlns:a16="http://schemas.microsoft.com/office/drawing/2014/main" id="{1048D713-2F20-4AB4-A435-52D69D9C8DFC}"/>
            </a:ext>
          </a:extLst>
        </xdr:cNvPr>
        <xdr:cNvSpPr txBox="1"/>
      </xdr:nvSpPr>
      <xdr:spPr>
        <a:xfrm>
          <a:off x="810612" y="16745957"/>
          <a:ext cx="16279959" cy="671186"/>
        </a:xfrm>
        <a:prstGeom prst="rect">
          <a:avLst/>
        </a:prstGeom>
        <a:solidFill>
          <a:schemeClr val="bg2">
            <a:lumMod val="9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2400" b="1" cap="none" spc="50">
              <a:ln w="9525" cmpd="sng">
                <a:noFill/>
                <a:prstDash val="solid"/>
              </a:ln>
              <a:solidFill>
                <a:srgbClr val="70AD47">
                  <a:tint val="1000"/>
                </a:srgbClr>
              </a:solidFill>
              <a:effectLst/>
              <a:latin typeface="Berlin Sans FB Demi" panose="020E0802020502020306" pitchFamily="34" charset="0"/>
            </a:rPr>
            <a:t>SELECCIONA</a:t>
          </a:r>
          <a:r>
            <a:rPr lang="es-ES" sz="2400" b="1" cap="none" spc="50" baseline="0">
              <a:ln w="9525" cmpd="sng">
                <a:noFill/>
                <a:prstDash val="solid"/>
              </a:ln>
              <a:solidFill>
                <a:srgbClr val="70AD47">
                  <a:tint val="1000"/>
                </a:srgbClr>
              </a:solidFill>
              <a:effectLst/>
              <a:latin typeface="Berlin Sans FB Demi" panose="020E0802020502020306" pitchFamily="34" charset="0"/>
            </a:rPr>
            <a:t> LAS CARACTERÍSTICAS Y ENCUENTRA TU COCHE</a:t>
          </a:r>
          <a:endParaRPr lang="es-ES" sz="2400" b="1" cap="none" spc="50">
            <a:ln w="9525" cmpd="sng">
              <a:noFill/>
              <a:prstDash val="solid"/>
            </a:ln>
            <a:solidFill>
              <a:srgbClr val="70AD47">
                <a:tint val="1000"/>
              </a:srgbClr>
            </a:solidFill>
            <a:effectLst/>
            <a:latin typeface="Berlin Sans FB Demi" panose="020E0802020502020306" pitchFamily="34" charset="0"/>
          </a:endParaRPr>
        </a:p>
      </xdr:txBody>
    </xdr:sp>
    <xdr:clientData/>
  </xdr:twoCellAnchor>
  <xdr:twoCellAnchor editAs="oneCell">
    <xdr:from>
      <xdr:col>10</xdr:col>
      <xdr:colOff>2317396</xdr:colOff>
      <xdr:row>107</xdr:row>
      <xdr:rowOff>277666</xdr:rowOff>
    </xdr:from>
    <xdr:to>
      <xdr:col>13</xdr:col>
      <xdr:colOff>181853</xdr:colOff>
      <xdr:row>114</xdr:row>
      <xdr:rowOff>130526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6" name="Familiar">
              <a:extLst>
                <a:ext uri="{FF2B5EF4-FFF2-40B4-BE49-F238E27FC236}">
                  <a16:creationId xmlns:a16="http://schemas.microsoft.com/office/drawing/2014/main" id="{B83D4760-E8F0-A2FA-624A-43B678CD1DB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milia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441728" y="23104841"/>
              <a:ext cx="1829202" cy="11752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529942</xdr:colOff>
      <xdr:row>110</xdr:row>
      <xdr:rowOff>244518</xdr:rowOff>
    </xdr:from>
    <xdr:to>
      <xdr:col>13</xdr:col>
      <xdr:colOff>134133</xdr:colOff>
      <xdr:row>117</xdr:row>
      <xdr:rowOff>105715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7" name="Transmission ">
              <a:extLst>
                <a:ext uri="{FF2B5EF4-FFF2-40B4-BE49-F238E27FC236}">
                  <a16:creationId xmlns:a16="http://schemas.microsoft.com/office/drawing/2014/main" id="{CB063DD2-EBBE-6AA8-130D-E6D1D78420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ansmission 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391634" y="23629712"/>
              <a:ext cx="1831576" cy="11530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784860</xdr:colOff>
      <xdr:row>84</xdr:row>
      <xdr:rowOff>94472</xdr:rowOff>
    </xdr:from>
    <xdr:to>
      <xdr:col>29</xdr:col>
      <xdr:colOff>43131</xdr:colOff>
      <xdr:row>88</xdr:row>
      <xdr:rowOff>7620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DC93DEB6-28EA-4CE3-A73F-9FD774FF9EF4}"/>
            </a:ext>
          </a:extLst>
        </xdr:cNvPr>
        <xdr:cNvSpPr txBox="1"/>
      </xdr:nvSpPr>
      <xdr:spPr>
        <a:xfrm>
          <a:off x="18714720" y="16827992"/>
          <a:ext cx="19839891" cy="644668"/>
        </a:xfrm>
        <a:prstGeom prst="rect">
          <a:avLst/>
        </a:prstGeom>
        <a:solidFill>
          <a:schemeClr val="bg2">
            <a:lumMod val="9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2400" b="1" cap="none" spc="50">
              <a:ln w="9525" cmpd="sng">
                <a:noFill/>
                <a:prstDash val="solid"/>
              </a:ln>
              <a:solidFill>
                <a:srgbClr val="70AD47">
                  <a:tint val="1000"/>
                </a:srgbClr>
              </a:solidFill>
              <a:effectLst/>
              <a:latin typeface="Berlin Sans FB Demi" panose="020E0802020502020306" pitchFamily="34" charset="0"/>
            </a:rPr>
            <a:t>BUSCA EL ID DEL COCHE QUE MÁS TE</a:t>
          </a:r>
          <a:r>
            <a:rPr lang="es-ES" sz="2400" b="1" cap="none" spc="50" baseline="0">
              <a:ln w="9525" cmpd="sng">
                <a:noFill/>
                <a:prstDash val="solid"/>
              </a:ln>
              <a:solidFill>
                <a:srgbClr val="70AD47">
                  <a:tint val="1000"/>
                </a:srgbClr>
              </a:solidFill>
              <a:effectLst/>
              <a:latin typeface="Berlin Sans FB Demi" panose="020E0802020502020306" pitchFamily="34" charset="0"/>
            </a:rPr>
            <a:t> GUSTA</a:t>
          </a:r>
          <a:endParaRPr lang="es-ES" sz="2400" b="1" cap="none" spc="50">
            <a:ln w="9525" cmpd="sng">
              <a:noFill/>
              <a:prstDash val="solid"/>
            </a:ln>
            <a:solidFill>
              <a:srgbClr val="70AD47">
                <a:tint val="1000"/>
              </a:srgbClr>
            </a:solidFill>
            <a:effectLst/>
            <a:latin typeface="Berlin Sans FB Demi" panose="020E0802020502020306" pitchFamily="34" charset="0"/>
          </a:endParaRPr>
        </a:p>
      </xdr:txBody>
    </xdr:sp>
    <xdr:clientData/>
  </xdr:twoCellAnchor>
  <xdr:twoCellAnchor>
    <xdr:from>
      <xdr:col>8</xdr:col>
      <xdr:colOff>138506</xdr:colOff>
      <xdr:row>90</xdr:row>
      <xdr:rowOff>74951</xdr:rowOff>
    </xdr:from>
    <xdr:to>
      <xdr:col>10</xdr:col>
      <xdr:colOff>305181</xdr:colOff>
      <xdr:row>91</xdr:row>
      <xdr:rowOff>130628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2AB08A02-864E-A934-4537-EA89A32D5722}"/>
            </a:ext>
          </a:extLst>
        </xdr:cNvPr>
        <xdr:cNvSpPr txBox="1"/>
      </xdr:nvSpPr>
      <xdr:spPr>
        <a:xfrm>
          <a:off x="13680717" y="18229267"/>
          <a:ext cx="2118464" cy="4166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2800">
              <a:ln>
                <a:solidFill>
                  <a:srgbClr val="92D050"/>
                </a:solidFill>
              </a:ln>
              <a:solidFill>
                <a:schemeClr val="bg1"/>
              </a:solidFill>
              <a:latin typeface="Berlin Sans FB Demi" panose="020E0802020502020306" pitchFamily="34" charset="0"/>
            </a:rPr>
            <a:t>LEYENDA</a:t>
          </a:r>
        </a:p>
      </xdr:txBody>
    </xdr:sp>
    <xdr:clientData/>
  </xdr:twoCellAnchor>
  <xdr:twoCellAnchor>
    <xdr:from>
      <xdr:col>7</xdr:col>
      <xdr:colOff>787019</xdr:colOff>
      <xdr:row>91</xdr:row>
      <xdr:rowOff>220196</xdr:rowOff>
    </xdr:from>
    <xdr:to>
      <xdr:col>10</xdr:col>
      <xdr:colOff>26737</xdr:colOff>
      <xdr:row>92</xdr:row>
      <xdr:rowOff>227263</xdr:rowOff>
    </xdr:to>
    <xdr:sp macro="[0]!MostrarOcultarTabla" textlink="">
      <xdr:nvSpPr>
        <xdr:cNvPr id="42" name="boton_leyenda">
          <a:extLst>
            <a:ext uri="{FF2B5EF4-FFF2-40B4-BE49-F238E27FC236}">
              <a16:creationId xmlns:a16="http://schemas.microsoft.com/office/drawing/2014/main" id="{BFD5525F-061D-4424-B998-7A5BCBA78D48}"/>
            </a:ext>
          </a:extLst>
        </xdr:cNvPr>
        <xdr:cNvSpPr/>
      </xdr:nvSpPr>
      <xdr:spPr>
        <a:xfrm>
          <a:off x="13540493" y="18735459"/>
          <a:ext cx="1980244" cy="36801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_tradnl" sz="2000" b="1">
              <a:solidFill>
                <a:schemeClr val="bg2">
                  <a:lumMod val="25000"/>
                </a:schemeClr>
              </a:solidFill>
            </a:rPr>
            <a:t>Ocultar</a:t>
          </a:r>
          <a:endParaRPr lang="es-ES_tradnl" sz="1100" b="1">
            <a:solidFill>
              <a:schemeClr val="bg2">
                <a:lumMod val="2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399662</xdr:colOff>
      <xdr:row>8</xdr:row>
      <xdr:rowOff>44360</xdr:rowOff>
    </xdr:from>
    <xdr:to>
      <xdr:col>21</xdr:col>
      <xdr:colOff>397601</xdr:colOff>
      <xdr:row>22</xdr:row>
      <xdr:rowOff>53613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Fuel Type    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uel Type   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21839" y="1523612"/>
              <a:ext cx="1815465" cy="25965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172620</xdr:colOff>
      <xdr:row>4</xdr:row>
      <xdr:rowOff>44551</xdr:rowOff>
    </xdr:from>
    <xdr:to>
      <xdr:col>19</xdr:col>
      <xdr:colOff>841586</xdr:colOff>
      <xdr:row>18</xdr:row>
      <xdr:rowOff>36658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Year 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ear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59728" y="785129"/>
              <a:ext cx="1800225" cy="2575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1402857</xdr:colOff>
      <xdr:row>18</xdr:row>
      <xdr:rowOff>67997</xdr:rowOff>
    </xdr:from>
    <xdr:to>
      <xdr:col>24</xdr:col>
      <xdr:colOff>210443</xdr:colOff>
      <xdr:row>32</xdr:row>
      <xdr:rowOff>56295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ake          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ke         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19319" y="3390123"/>
              <a:ext cx="1847850" cy="25793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210987</xdr:colOff>
      <xdr:row>19</xdr:row>
      <xdr:rowOff>103065</xdr:rowOff>
    </xdr:from>
    <xdr:to>
      <xdr:col>19</xdr:col>
      <xdr:colOff>708037</xdr:colOff>
      <xdr:row>33</xdr:row>
      <xdr:rowOff>95173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Color  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or 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84269" y="3609859"/>
              <a:ext cx="1838325" cy="25831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22</xdr:col>
      <xdr:colOff>366498</xdr:colOff>
      <xdr:row>2</xdr:row>
      <xdr:rowOff>50462</xdr:rowOff>
    </xdr:from>
    <xdr:to>
      <xdr:col>27</xdr:col>
      <xdr:colOff>131366</xdr:colOff>
      <xdr:row>16</xdr:row>
      <xdr:rowOff>59715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Model                                              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                                             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06795" y="423609"/>
              <a:ext cx="1813560" cy="25869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96202</xdr:rowOff>
    </xdr:from>
    <xdr:to>
      <xdr:col>10</xdr:col>
      <xdr:colOff>386715</xdr:colOff>
      <xdr:row>26</xdr:row>
      <xdr:rowOff>49530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529590</xdr:colOff>
      <xdr:row>4</xdr:row>
      <xdr:rowOff>91440</xdr:rowOff>
    </xdr:from>
    <xdr:to>
      <xdr:col>13</xdr:col>
      <xdr:colOff>777239</xdr:colOff>
      <xdr:row>18</xdr:row>
      <xdr:rowOff>135255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ake           1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ke         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35815" y="819150"/>
              <a:ext cx="1832610" cy="25698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160020</xdr:colOff>
      <xdr:row>12</xdr:row>
      <xdr:rowOff>103822</xdr:rowOff>
    </xdr:from>
    <xdr:to>
      <xdr:col>14</xdr:col>
      <xdr:colOff>167640</xdr:colOff>
      <xdr:row>27</xdr:row>
      <xdr:rowOff>130492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662066</xdr:colOff>
      <xdr:row>12</xdr:row>
      <xdr:rowOff>74950</xdr:rowOff>
    </xdr:from>
    <xdr:to>
      <xdr:col>8</xdr:col>
      <xdr:colOff>2136567</xdr:colOff>
      <xdr:row>27</xdr:row>
      <xdr:rowOff>103525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E5981C9-BE91-45A8-8F4E-0567B392C0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49</xdr:row>
      <xdr:rowOff>0</xdr:rowOff>
    </xdr:from>
    <xdr:to>
      <xdr:col>11</xdr:col>
      <xdr:colOff>592702</xdr:colOff>
      <xdr:row>72</xdr:row>
      <xdr:rowOff>15665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30546F9-B352-41DE-872E-A79A386570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784860</xdr:colOff>
          <xdr:row>64</xdr:row>
          <xdr:rowOff>45720</xdr:rowOff>
        </xdr:from>
        <xdr:to>
          <xdr:col>15</xdr:col>
          <xdr:colOff>411480</xdr:colOff>
          <xdr:row>66</xdr:row>
          <xdr:rowOff>91440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5C5097AF-E8E9-1B1B-B508-96A785CB6C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BUSCAR ID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rnando Gomez Comendador" refreshedDate="45410.751904976853" createdVersion="8" refreshedVersion="8" minRefreshableVersion="3" recordCount="1935" xr:uid="{F611A22C-AEAF-42D2-BCA7-3BC3A8F015BE}">
  <cacheSource type="worksheet">
    <worksheetSource name="datos_limpios"/>
  </cacheSource>
  <cacheFields count="20">
    <cacheField name="Make          " numFmtId="49">
      <sharedItems count="32">
        <s v="Tata          "/>
        <s v="Hyundai       "/>
        <s v="Maruti Suzuki "/>
        <s v="Ford          "/>
        <s v="Toyota        "/>
        <s v="Honda         "/>
        <s v="Chevrolet     "/>
        <s v="Datsun        "/>
        <s v="Mahindra      "/>
        <s v="Skoda         "/>
        <s v="Fiat          "/>
        <s v="Renault       "/>
        <s v="Nissan        "/>
        <s v="Volkswagen    "/>
        <s v="Mercedes-Benz "/>
        <s v="Mitsubishi    "/>
        <s v="Ssangyong     "/>
        <s v="BMW           "/>
        <s v="Audi          "/>
        <s v="Volvo         "/>
        <s v="Jeep          "/>
        <s v="Kia           "/>
        <s v="MINI          "/>
        <s v="MG            "/>
        <s v="Isuzu         "/>
        <s v="Land Rover    "/>
        <s v="Jaguar        "/>
        <s v="Porsche       "/>
        <s v="Lexus         "/>
        <s v="Maserati      "/>
        <s v="Rolls-Royce   "/>
        <s v="Ferrari       "/>
      </sharedItems>
    </cacheField>
    <cacheField name="Model                                              " numFmtId="49">
      <sharedItems count="980">
        <s v="Nano Base                                          "/>
        <s v="Manza Aqua Safire BS-IV                            "/>
        <s v="Santro GL LPG                                      "/>
        <s v="Ritz Vdi BS-IV                                     "/>
        <s v="i10 Era                                            "/>
        <s v="Estilo VXi                                         "/>
        <s v="Alto LXi BS-III                                    "/>
        <s v="Santro GLS                                         "/>
        <s v="Santro GL (CNG)                                    "/>
        <s v="Wagon R LXi Minor                                  "/>
        <s v="Ikon DuraTorq 1.4 TDCi                             "/>
        <s v="i10 Magna (O)                                      "/>
        <s v="Alto LXi CNG                                       "/>
        <s v="Innova 2.5 E                                       "/>
        <s v="Alto VXi (O) [2014-2019]                           "/>
        <s v="Ritz Ldi BS-IV                                     "/>
        <s v="i10 Magna 1.2                                      "/>
        <s v="i10 Magna                                          "/>
        <s v="Swift DZire VDI                                    "/>
        <s v="Santro XO eRLX - Euro III                          "/>
        <s v="Alto 800 Std                                       "/>
        <s v="SX4 VXi                                            "/>
        <s v="Eon Magna [2011-2012]                              "/>
        <s v="Alto VXi                                           "/>
        <s v="City CVT                                           "/>
        <s v="i10 Sportz 1.2 AT                                  "/>
        <s v="Civic 1.8S MT                                      "/>
        <s v="Spark LS 1.0 BS-III                                "/>
        <s v="i10 Sportz 1.2                                     "/>
        <s v="Wagon R Duo LXi LPG                                "/>
        <s v="Jazz S                                             "/>
        <s v="Redigo T(O) 1.0 [2017-2019]                        "/>
        <s v="Grande GX                                          "/>
        <s v="Xcent SX 1.1 CRDi (O)                              "/>
        <s v="Alto 800 Lxi                                       "/>
        <s v="Eon Era +                                          "/>
        <s v="Xylo D2 BS-IV                                      "/>
        <s v="Eon Sportz                                         "/>
        <s v="Estilo LXi BS-IV                                   "/>
        <s v="Wagon R LXi                                        "/>
        <s v="i10 Magna 1.2 Kappa2                               "/>
        <s v="Fabia Elegance 1.6 MPI                             "/>
        <s v="Sonata 2.0 CRDi                                    "/>
        <s v="Wagon R LXi CNG                                    "/>
        <s v="Figo Duratorq Diesel ZXI 1.4                       "/>
        <s v="i10 Magna 1.1 LPG                                  "/>
        <s v="i10 Era 1.1 iRDE2 [2010-2017]                      "/>
        <s v="Beat LT Diesel                                     "/>
        <s v="Estilo VXi BS-IV                                   "/>
        <s v="Swift DZire VXi                                    "/>
        <s v="Verna Fluidic 1.6 CRDi SX                          "/>
        <s v="Wagon R LXi LPG                                    "/>
        <s v="Wagon R VXi                                        "/>
        <s v="i20 Asta 1.2                                       "/>
        <s v="Linea Emotion 1.4                                  "/>
        <s v="Quanto C8                                          "/>
        <s v="Go D                                               "/>
        <s v="Eon 1.0 Kappa Magna + [2014-2016]                  "/>
        <s v="Figo Duratorq Diesel Titanium 1.4                  "/>
        <s v="Figo Duratec Petrol ZXI 1.2                        "/>
        <s v="City 1.5 V AT                                      "/>
        <s v="Alto 800 Lxi CNG                                   "/>
        <s v="Alto VXi [2014-2019]                               "/>
        <s v="Ritz Vxi (ABS) BS-IV                               "/>
        <s v="Quanto C4                                          "/>
        <s v="City 1.5 S MT                                      "/>
        <s v="City 1.5 S AT                                      "/>
        <s v="CR-V 2.4 AT                                        "/>
        <s v="Kwid RXT [2015-2019]                               "/>
        <s v="Eon D-Lite +                                       "/>
        <s v="Redigo T(O) 1.0                                    "/>
        <s v="i10 Sportz 1.2 Kappa2                              "/>
        <s v="City S Diesel                                      "/>
        <s v="Santro GL Plus                                     "/>
        <s v="i10 1.1L iRDE ERA Special Edition                  "/>
        <s v="Celerio LXi                                        "/>
        <s v="Kwid 1.0 RXT [2016-2019]                           "/>
        <s v="Etios V                                            "/>
        <s v="City 1.5 V MT                                      "/>
        <s v="Go T (O)                                           "/>
        <s v="Figo Duratec Petrol Titanium 1.2                   "/>
        <s v="Alto LXi                                           "/>
        <s v="Duster 85 PS RxL Diesel                            "/>
        <s v="Alto 800 Vxi                                       "/>
        <s v="Ecosport Trend 1.5 TDCi                            "/>
        <s v="Swift VDi                                          "/>
        <s v="Swift VDi BS-IV                                    "/>
        <s v="Swift DZire LXi                                    "/>
        <s v="Fiesta Style Diesel [2011-2014]                    "/>
        <s v="Amaze 1.5 S i-DTEC                                 "/>
        <s v="SX4 ZDI                                            "/>
        <s v="Celerio LDi [2015-2017]                            "/>
        <s v="Alto 800 Lx CNG                                    "/>
        <s v="Wagon R LXI CNG (O)                                "/>
        <s v="Wagon R VXI+                                       "/>
        <s v="Etios GD                                           "/>
        <s v="Sail Sedan 1.2 LS                                  "/>
        <s v="Swift VXi                                          "/>
        <s v="Civic 1.8V MT                                      "/>
        <s v="i20 Magna 1.2                                      "/>
        <s v="Swift LXi                                          "/>
        <s v="Kwid RXL [2015-2019]                               "/>
        <s v="i20 Asta 1.4 AT with AVN                           "/>
        <s v="Brio S MT                                          "/>
        <s v="Etios Liva G                                       "/>
        <s v="Sunny XL                                           "/>
        <s v="Cruze LTZ                                          "/>
        <s v="Redigo S 1.0 AMT [2018-2019]                       "/>
        <s v="Eeco 5 STR [2014-2019]                             "/>
        <s v="Polo GT TDI                                        "/>
        <s v="Eon Magna +                                        "/>
        <s v="Polo Highline1.2L (P)                              "/>
        <s v="Swift DZire ZDi BS-IV                              "/>
        <s v="i10 Asta 1.2 AT with Sunroof                       "/>
        <s v="Sunny XV Diesel                                    "/>
        <s v="Ritz Zxi BS-IV                                     "/>
        <s v="Brio EX MT                                         "/>
        <s v="Etios G                                            "/>
        <s v="Xylo D4                                            "/>
        <s v="Eeco 5 STR WITH A/C+HTR [2019-2020]                "/>
        <s v="Celerio VXi AMT                                    "/>
        <s v="Alto LXi CNG [2014-2018]                           "/>
        <s v="E-Class 280 CDI Elegance                           "/>
        <s v="Go Plus T                                          "/>
        <s v="Grand i10 Magna U2 1.2 CRDi                        "/>
        <s v="i10 Sportz 1.2 AT Kappa2                           "/>
        <s v="Brio VX AT                                         "/>
        <s v="Corolla Altis 1.8 G                                "/>
        <s v="Pulse RxL ABS Diesel [2015-2017]                   "/>
        <s v="i20 Magna 1.4 CRDI                                 "/>
        <s v="Grand Vitara 2015 2.0 AT                           "/>
        <s v="Wagon R LXI ABS                                    "/>
        <s v="Grand i10 Asta 1.1 CRDi [2013-2016]                "/>
        <s v="Polo Comfortline 1.5L (D)                          "/>
        <s v="Vento Highline Diesel                              "/>
        <s v="Rapid Ambition 1.6 TDI CR MT                       "/>
        <s v="Polo Highline1.2L (D)                              "/>
        <s v="Fiesta Titanium Diesel                             "/>
        <s v="Amaze 1.5 SX i-DTEC                                "/>
        <s v="Brio V MT                                          "/>
        <s v="Alto 800 Vxi (Airbag)                              "/>
        <s v="Vento Comfortline Petrol                           "/>
        <s v="Eon 1.0 Kappa Magna AirBag                         "/>
        <s v="i20 Sportz 1.4 CRDI                                "/>
        <s v="Scorpio LX BS-III                                  "/>
        <s v="Kwid 1.0 RXL [2017-2019]                           "/>
        <s v="Alto VXi AMT [2014-2018]                           "/>
        <s v="Grand i10 Sports Edition 1.2L Kappa VTVT           "/>
        <s v="City 1.5 E MT                                      "/>
        <s v="Safari 2.2 EX 4x2                                  "/>
        <s v="Kwid RXT Opt                                       "/>
        <s v="Kwid 1.0 RXT Edition                               "/>
        <s v="Kwid CLIMBER 1.0 [2017-2019]                       "/>
        <s v="Polo Comfortline 1.2L (P)                          "/>
        <s v="Punto Active 1.3                                   "/>
        <s v="Grand i10 Sportz 1.2 Kappa VTVT [2013-2016]        "/>
        <s v="i20 Sportz 1.2                                     "/>
        <s v="Tigor Revotron XM                                  "/>
        <s v="Brio E MT                                          "/>
        <s v="i20 Magna (O) 1.4 CRDI                             "/>
        <s v="Tiago Revotron XT [2016-2019]                      "/>
        <s v="Verna Fluidic 1.6 VTVT SX Opt                      "/>
        <s v="Wagon R VXI+ AMT                                   "/>
        <s v="i10 Asta 1.2 AT Kappa2 with Sunroof                "/>
        <s v="Grand i10 Asta 1.2 Kappa VTVT [2013-2016]          "/>
        <s v="Verna Fluidic 1.6 VTVT SX                          "/>
        <s v="Terrano XL D Plus                                  "/>
        <s v="Fluence 1.5 E4                                     "/>
        <s v="Alto VXi (O)                                       "/>
        <s v="Xcent S 1.1 CRDi (O)                               "/>
        <s v="Grand i10 Magna 1.2 Kappa VTVT [2013-2016]         "/>
        <s v="Amaze 1.2 S AT i-VTEC                              "/>
        <s v="Celerio ZXi [2017-2019]                            "/>
        <s v="Tiago Revotron XE [2016-2019]                      "/>
        <s v="Amaze 1.2 S i-VTEC                                 "/>
        <s v="Vento Highline Petrol AT                           "/>
        <s v="Xcent S 1.2                                        "/>
        <s v="Scorpio SLE BS-IV                                  "/>
        <s v="Grand i10 Sportz 1.2 Kappa VTVT [2016-2017]        "/>
        <s v="Tiago Revotron XM (O) [2016-2019]                  "/>
        <s v="Jazz V Petrol                                      "/>
        <s v="Accent Executive                                   "/>
        <s v="Santro Era                                         "/>
        <s v="Duster 110 PS RxZ Diesel                           "/>
        <s v="Swift DZire LXI (O)                                "/>
        <s v="Rapid Elegance 1.6 MPI AT                          "/>
        <s v="Rapid Ambition 1.6 MPI AT Plus                     "/>
        <s v="Duster 110 PS RxL Diesel                           "/>
        <s v="S-Presso VXi (O)                                   "/>
        <s v="S-Presso VXi Plus                                  "/>
        <s v="Celerio ZXi (O) AMT [2019-2020]                    "/>
        <s v="Zest XM 75 PS Diesel                               "/>
        <s v="Swift ZDi                                          "/>
        <s v="Xcent S 1.2 (O)                                    "/>
        <s v="Grand i10 Sportz (O) 1.2 Kappa VTVT [2017-2018]    "/>
        <s v="Duster 85 PS RxL                                   "/>
        <s v="Terrano XE (D)                                     "/>
        <s v="Ertiga VDi                                         "/>
        <s v="Amaze 1.5 E i-DTEC                                 "/>
        <s v="City SV Diesel                                     "/>
        <s v="Kwid 1.0 RXT AMT Opt                               "/>
        <s v="S-Presso VXi                                       "/>
        <s v="Alto VXi AMT                                       "/>
        <s v="Celerio X Vxi AMT [2017-2019]                      "/>
        <s v="Vento Comfortline Diesel                           "/>
        <s v="Santro Sportz AMT [2018-2020]                      "/>
        <s v="Xcent SX CRDi                                      "/>
        <s v="Etios 1.2 G                                        "/>
        <s v="Aspire Titanium 1.2 Ti-VCT                         "/>
        <s v="Amaze 1.2 VX AT i-VTEC                             "/>
        <s v="i20 Asta 1.4 CRDI                                  "/>
        <s v="Grand i10 Asta AT 1.2 Kappa VTVT [2013-2016]       "/>
        <s v="Xcent E Plus CRDi                                  "/>
        <s v="Grand i10 Magna 1.2 Kappa VTVT [2017-2020]         "/>
        <s v="Amaze 1.2 SX i-VTEC                                "/>
        <s v="Ecosport Ambiente 1.5L TDCi                        "/>
        <s v="Alto 800 LXi (O)                                   "/>
        <s v="Tiago Revotron XZ                                  "/>
        <s v="Duster 110 PS RXZ 4X2 MT Diesel                    "/>
        <s v="City E [2013-2016]                                 "/>
        <s v="Scorpio VLX 2WD Airbag BS-IV                       "/>
        <s v="Corolla Altis 1.8 VL AT                            "/>
        <s v="Celerio ZXi AMT [2019-2020]                        "/>
        <s v="Wagon R VXi (O)                                    "/>
        <s v="Eeco 7 STR [2019-2020]                             "/>
        <s v="i20 Magna (O) 1.2                                  "/>
        <s v="Swift VXi [2014-2017]                              "/>
        <s v="Swift Lxi (O) [2014-2017]                          "/>
        <s v="Aspire Titanium1.5 TDCi                            "/>
        <s v="Xcent S 1.1 CRDi Special Edition                   "/>
        <s v="Ecosport Trend 1.5 Ti-VCT                          "/>
        <s v="Grand i10 Sportz U2 1.2 CRDi                       "/>
        <s v="Santro Sportz CNG [2018-2020]                      "/>
        <s v="Etios VXD                                          "/>
        <s v="Swift ZXi                                          "/>
        <s v="Figo Trend 1.5L TDCi [2015-2016]                   "/>
        <s v="S-Presso VXi AMT                                   "/>
        <s v="Ecosport Ambiente 1.5L Ti-VCT                      "/>
        <s v="Verna Fluidic 1.6 VTVT SX Opt AT                   "/>
        <s v="Captiva LTZ AWD AT                                 "/>
        <s v="Cruze LTZ AT                                       "/>
        <s v="Accord 2.4 AT                                      "/>
        <s v="Celerio ZXi [2019-2020]                            "/>
        <s v="Baleno Sigma 1.2                                   "/>
        <s v="Tiago Revotron XZA [2017-2019]                     "/>
        <s v="Mobilio S Diesel                                   "/>
        <s v="City V                                             "/>
        <s v="Swift DZire LDI                                    "/>
        <s v="Amaze 1.2 S i-VTEC Opt                             "/>
        <s v="Verna EX 1.6 CRDi [2017-2018]                      "/>
        <s v="XUV500 W8                                          "/>
        <s v="Celerio X Zxi AMT [2017-2019]                      "/>
        <s v="Etios Liva VD Dual Tone                            "/>
        <s v="Baleno Delta 1.2                                   "/>
        <s v="Tiago Revotron XTA [2017-2019]                     "/>
        <s v="Tigor Revotorq XT                                  "/>
        <s v="Micra XV CVT [2016-2017]                           "/>
        <s v="Verna 1.6 VTVT S                                   "/>
        <s v="C-Class 220 CDI Elegance AT                        "/>
        <s v="KUV100 K6 D 6 STR [2016-2017]                      "/>
        <s v="Grand i10 Asta 1.2 Kappa VTVT (O) [2013-2017]      "/>
        <s v="Grand i10 Asta 1.2 Kappa VTVT                      "/>
        <s v="Jazz SV Petrol                                     "/>
        <s v="Rapid 1.5 TDI CR Ambition Plus AT                  "/>
        <s v="City E Diesel                                      "/>
        <s v="Rapid Elegance 1.6 TDI CR MT                       "/>
        <s v="XUV500 W6 2013                                     "/>
        <s v="Etios Liva GD                                      "/>
        <s v="Polo 1.5 TDI                                       "/>
        <s v="Amaze 1.2 VX i-VTEC                                "/>
        <s v="Celerio ZXi                                        "/>
        <s v="Celerio VXi (O) [2019-2020]                        "/>
        <s v="Santro Magna [2018-2020]                           "/>
        <s v="Ciaz VXi                                           "/>
        <s v="Santro Sportz [2018-2020]                          "/>
        <s v="Amaze 1.5 VX i-DTEC                                "/>
        <s v="Wagon R LXi 1.0 CNG [2019-2020]                    "/>
        <s v="Jazz S AT [2015-2016]                              "/>
        <s v="Ignis Zeta 1.2 AMT                                 "/>
        <s v="Polo GT TSI                                        "/>
        <s v="Thar CRDe 4x4 Non AC                               "/>
        <s v="Verna Fluidic 1.6 CRDi SX Opt                      "/>
        <s v="Wagon R LXi (O) 1.0 CNG [2019-2020]                "/>
        <s v="Bolero SLE BS IV                                   "/>
        <s v="Xcent SX 1.1 CRDi                                  "/>
        <s v="Elite i20 Asta 1.2                                 "/>
        <s v="Elite i20 Magna 1.2                                "/>
        <s v="Tiago NRG Petrol                                   "/>
        <s v="Jazz V Diesel                                      "/>
        <s v="City V Diesel                                      "/>
        <s v="i20 Active 1.2 S                                   "/>
        <s v="Zest XE 75 PS Diesel                               "/>
        <s v="Ecosport Titanium 1.5 TDCi                         "/>
        <s v="Ecosport Titanium+ 1.0L EcoBoost                   "/>
        <s v="Elite i20 Asta 1.4 CRDI [2016-2017]                "/>
        <s v="Celerio VXi [2019-2020]                            "/>
        <s v="i20 Active 1.4 SX                                  "/>
        <s v="Ciaz VXi (O)                                       "/>
        <s v="Elantra 1.8 SX AT                                  "/>
        <s v="Swift DZire ZXI                                    "/>
        <s v="i20 Active 1.4 S                                   "/>
        <s v="Jazz V AT Petrol                                   "/>
        <s v="Grand i10 Magna AT 1.2 Kappa VTVT                  "/>
        <s v="Terrano XL D THP 110 PS                            "/>
        <s v="Ecosport Titanium 1.5 Ti-VCT                       "/>
        <s v="Scorpio 2.6 Turbo 7 Str                            "/>
        <s v="City VX                                            "/>
        <s v="Baleno Delta 1.3                                   "/>
        <s v="Swift DZire ZDI                                    "/>
        <s v="Grand i10 Magna 1.2 Kappa VTVT [2016-2017]         "/>
        <s v="Wagon R VXi 1.2                                    "/>
        <s v="Santro Sportz                                      "/>
        <s v="Innova 2.0 G1 BS-IV                                "/>
        <s v="Tiago Revotron XZA                                 "/>
        <s v="DZire LDi                                          "/>
        <s v="i20 Active 1.2 SX                                  "/>
        <s v="Ignis Delta 1.2 AMT                                "/>
        <s v="Elite i20 Asta 1.4 (O) CRDi                        "/>
        <s v="Baleno Zeta 1.2                                    "/>
        <s v="Elite i20 Sportz 1.4                               "/>
        <s v="Verna Fluidic 1.6 CRDi                             "/>
        <s v="Celerio VXi                                        "/>
        <s v="TUV300 T8                                          "/>
        <s v="Safari 4x2 EX TCIC                                 "/>
        <s v="Ciaz Delta 1.4 MT                                  "/>
        <s v="Baleno Delta 1.2 AT                                "/>
        <s v="Jazz VX Petrol                                     "/>
        <s v="Ciaz ZXI+                                          "/>
        <s v="Ecosport Titanium 1.5L TDCi                        "/>
        <s v="Ameo Trendline 1.5L (D)                            "/>
        <s v="Innova 2.0 V                                       "/>
        <s v="Celerio ZXi AMT [2017-2019]                        "/>
        <s v="Terrano XL (D)                                     "/>
        <s v="Altroz XT Petrol                                   "/>
        <s v="WR-V VX MT Petrol                                  "/>
        <s v="Elite i20 Sportz 1.4 CRDI [2016-2017]              "/>
        <s v="Figo Titanium1.5 TDCi                              "/>
        <s v="Nexon XMA Petrol                                   "/>
        <s v="Scorpio VLX 4WD BS-III                             "/>
        <s v="Swift ZDi Plus                                     "/>
        <s v="Elite i20 Magna 1.2 [2016-2017]                    "/>
        <s v="Ciaz S 1.4 MT                                      "/>
        <s v="City SV CVT                                        "/>
        <s v="S-Cross Alpha 1.6                                  "/>
        <s v="Eeco 5 STR WITH HTR CNG [2018-2019]                "/>
        <s v="DZire VDi                                          "/>
        <s v="Grand i10 NIOS Magna 1.2 Kappa VTVT                "/>
        <s v="Elite i20 Sportz 1.2                               "/>
        <s v="Ciaz VDi+ SHVS                                     "/>
        <s v="City VX (O) MT                                     "/>
        <s v="Elite i20 Magna Executive 1.2                      "/>
        <s v="Baleno Alpha 1.2 AT                                "/>
        <s v="Swift DZire VXI AT                                 "/>
        <s v="Verna Fluidic 1.6 VTVT SX AT                       "/>
        <s v="Grand i10 NIOS Sportz AMT 1.2 Kappa VTVT           "/>
        <s v="Duster RXL Petrol                                  "/>
        <s v="Scorpio VLX 2WD BS-IV                              "/>
        <s v="Ciaz Delta 1.3 Hybrid                              "/>
        <s v="S-Presso VXi CNG                                   "/>
        <s v="Elite i20 Sportz 1.2 (O)                           "/>
        <s v="Elite i20 Sportz 1.4 CRDI                          "/>
        <s v="TUV300 T8 AMT mHAWK100                             "/>
        <s v="S-Cross Delta 1.6                                  "/>
        <s v="Baleno Alpha 1.2                                   "/>
        <s v="Ertiga VDI SHVS                                    "/>
        <s v="Ertiga ZDi                                         "/>
        <s v="Thar CRDe 4x4 AC                                   "/>
        <s v="Pajero SFX 2.8                                     "/>
        <s v="Ecosport Titanium 1.5L Ti-VCT                      "/>
        <s v="Elantra 1.6 SX AT                                  "/>
        <s v="Magnite XL                                         "/>
        <s v="Eeco 7 STR STD (O)                                 "/>
        <s v="Ameo Highline1.2L (P) [2016-2018]                  "/>
        <s v="DZire VXi AMT                                      "/>
        <s v="Duster 85 PS Sandstorm Edition Diesel              "/>
        <s v="Ciaz VDi SHVS                                      "/>
        <s v="WR-V S MT Petrol                                   "/>
        <s v="Polo Highline1.5L (D)                              "/>
        <s v="Ciaz ZDi SHVS                                      "/>
        <s v="Amaze 1.2 S MT Petrol [2018-2020]                  "/>
        <s v="TUV300 T6 Plus                                     "/>
        <s v="Ciaz ZDi (O) [2014-2015]                           "/>
        <s v="Celerio ZXi AMT                                    "/>
        <s v="Verna 1.6 CRDI SX                                  "/>
        <s v="Vitara Brezza ZDi+ Dual Tone [2017-2018]           "/>
        <s v="Vitara Brezza VDi (O) [2016-2018]                  "/>
        <s v="Ertiga Vxi CNG                                     "/>
        <s v="Innova 2.5 G4 7 STR                                "/>
        <s v="City V Petrol [2017-2019]                          "/>
        <s v="Verna 1.6 VTVT SX                                  "/>
        <s v="Elantra 1.8 SX MT                                  "/>
        <s v="Eeco 5 STR WITH A/C+HTR CNG [2017-2019]            "/>
        <s v="Elite i20 Sportz 1.2 [2016-2017]                   "/>
        <s v="Innova 2.5 V 7 STR                                 "/>
        <s v="Vento TSI                                          "/>
        <s v="Terrano XV D THP 110 PS                            "/>
        <s v="Santa Fe 4 WD (AT)                                 "/>
        <s v="Swift DZire ZDI AMT                                "/>
        <s v="Scorpio S2                                         "/>
        <s v="Grand i10 Asta AT 1.2 Kappa VTVT (O) [2016-2017]   "/>
        <s v="Elite i20 Asta 1.2 [2016-2017]                     "/>
        <s v="TUV300 T6 Plus AMT                                 "/>
        <s v="Amaze 1.2 E i-VTEC                                 "/>
        <s v="Elite i20 Magna 1.4 CRDI [2016-2017]               "/>
        <s v="Ciaz VDi (O) SHVS                                  "/>
        <s v="Amaze 1.2 S CVT Petrol [2018-2020]                 "/>
        <s v="DZire VXi                                          "/>
        <s v="Baleno Zeta 1.2 AT                                 "/>
        <s v="Baleno Alpha 1.3                                   "/>
        <s v="Vitara Brezza LDi (O) [2016-2018]                  "/>
        <s v="Scorpio LX BS-IV                                   "/>
        <s v="Rexton RX7                                         "/>
        <s v="C-Class 250 CDI Avantgarde                         "/>
        <s v="Wagon R LXi 1.0 CNG                                "/>
        <s v="S-Cross Sigma 1.3                                  "/>
        <s v="Amaze 1.2 E MT Petrol [2018-2020]                  "/>
        <s v="Ciaz ZXi                                           "/>
        <s v="Ertiga VXI AT                                      "/>
        <s v="Ecosport Titanium + 1.5L TDCi                      "/>
        <s v="Aspire Titanium1.5 TDCi [2018-2020]                "/>
        <s v="Mobilio RS Diesel                                  "/>
        <s v="Corolla Altis GL                                   "/>
        <s v="Vento Highline Diesel AT                           "/>
        <s v="DZire ZDi Plus AMT                                 "/>
        <s v="Vento Comfortline 1.6 (P)                          "/>
        <s v="Duster 110 PS RXZ 4X2 AMT Diesel                   "/>
        <s v="Duster 110 PS RxL                                  "/>
        <s v="City VX CVT                                        "/>
        <s v="XUV500 W8 1.99 [2016-2017]                         "/>
        <s v="Glanza G                                           "/>
        <s v="Elite i20 Asta 1.2 (O) [2016]                      "/>
        <s v="Elite i20 Asta 1.4 CRDI                            "/>
        <s v="City S Petrol                                      "/>
        <s v="Grand i10 NIOS Sportz 1.2 Kappa VTVT CNG           "/>
        <s v="DZire VDi AMT                                      "/>
        <s v="Baleno Zeta 1.3                                    "/>
        <s v="Swift ZXi AMT [2018-2019]                          "/>
        <s v="DZire ZXi                                          "/>
        <s v="Swift VDi AMT [2018-2019]                          "/>
        <s v="Polo Trendline 1.0L (P)                            "/>
        <s v="Wagon R ZXi 1.2 AMT                                "/>
        <s v="Ecosport Titanium+ 1.5L TDCi                       "/>
        <s v="Swift LXi Special Edition                          "/>
        <s v="Elite i20 Sportz 1.2 MT                            "/>
        <s v="Amaze 1.2 VX MT Petrol [2018-2020]                 "/>
        <s v="Vitara Brezza VDi                                  "/>
        <s v="Grand i10 NIOS Magna AMT 1.2 Kappa VTVT            "/>
        <s v="Polo Highline1.0L (P)                              "/>
        <s v="Nexon XM Diesel                                    "/>
        <s v="Vitara Brezza ZDi Plus                             "/>
        <s v="Vitara Brezza ZDi                                  "/>
        <s v="Ciaz Alpha 1.4 AT                                  "/>
        <s v="Ertiga ZXI+                                        "/>
        <s v="XUV500 W10 AWD                                     "/>
        <s v="DZire ZXi Plus AMT                                 "/>
        <s v="Glanza V                                           "/>
        <s v="Creta 1.6 E Petrol                                 "/>
        <s v="Safari 2.2 VX 4x2                                  "/>
        <s v="Aura S 1.2 CNG                                     "/>
        <s v="Ciaz Zeta 1.4 AT                                   "/>
        <s v="BR-V V CVT Petrol                                  "/>
        <s v="Innova 2.5 G 7 STR BS-IV                           "/>
        <s v="Ciaz Delta Hybrid 1.5 [2018-2020]                  "/>
        <s v="Nexon XM                                           "/>
        <s v="Venue S 1.0 AT Petrol [2019-2020]                  "/>
        <s v="Fortuner 3.0 MT                                    "/>
        <s v="5-Series 520d Sedan                                "/>
        <s v="S-Class 350                                        "/>
        <s v="Elite i20 Asta 1.2 AT                              "/>
        <s v="Grand i10 NIOS Sportz 1.2 Kappa VTVT               "/>
        <s v="WR-V VX MT Diesel                                  "/>
        <s v="City V CVT Petrol [2017-2019]                      "/>
        <s v="Vento Comfortline Petrol AT                        "/>
        <s v="Ertiga ZDI + SHVS                                  "/>
        <s v="Verna 1.6 VTVT SX AT                               "/>
        <s v="Vento Highline Plus 1.2 (P) AT 16 Alloy            "/>
        <s v="Duster 110 PS RXL 4X2 AMT [2016-2017]              "/>
        <s v="Scorpio S10                                        "/>
        <s v="Creta SX Plus 1.6 CRDI Dual Tone                   "/>
        <s v="Baleno Alpha Automatic                             "/>
        <s v="Swift ZXi Plus AMT                                 "/>
        <s v="Ertiga VXI                                         "/>
        <s v="TUV300 T10                                         "/>
        <s v="Jazz VX CVT Petrol                                 "/>
        <s v="Glanza G CVT                                       "/>
        <s v="WR-V S MT Diesel                                   "/>
        <s v="Superb Elegance 1.8 TSI AT                         "/>
        <s v="Tigor XZA Plus                                     "/>
        <s v="Elite i20 Sportz 1.2 IVT                           "/>
        <s v="S-Cross Alpha 1.3                                  "/>
        <s v="Amaze 1.2 V CVT Petrol [2018-2020]                 "/>
        <s v="Ertiga LXI                                         "/>
        <s v="S-Cross Zeta 1.6                                   "/>
        <s v="Creta 1.6 SX Plus Special Edition                  "/>
        <s v="XUV500 W6                                          "/>
        <s v="XUV500 W4 1.99                                     "/>
        <s v="Creta 1.4 S                                        "/>
        <s v="Ciaz Alpha 1.4 MT                                  "/>
        <s v="Kiger RXT Turbo CVT                                "/>
        <s v="XUV500 W8 AWD                                      "/>
        <s v="Ertiga VDi 1.3 Diesel                              "/>
        <s v="Verna SX (O) 1.6 CRDi                              "/>
        <s v="Octavia Style 1.8 TSI AT                           "/>
        <s v="Ciaz Alpha Hybrid 1.5 AT [2018-2020]               "/>
        <s v="Santa Fe 2WD AT [2014-2017]                        "/>
        <s v="Q5 3.0 TDI quattro                                 "/>
        <s v="Creta E Plus 1.4 CRDI                              "/>
        <s v="Elite i20 Sportz 1.5 MT Diesel                     "/>
        <s v="City SV                                            "/>
        <s v="Swift ZXi Plus [2018-2019]                         "/>
        <s v="Verna 1.6 CRDI SX (O)                              "/>
        <s v="Vitara Brezza VXi                                  "/>
        <s v="Ciaz Delta Hybrid 1.5 AT [2018-2020]               "/>
        <s v="City VX Petrol [2017-2019]                         "/>
        <s v="Creta 1.6 SX                                       "/>
        <s v="XUV500 W8 [2015-2017]                              "/>
        <s v="Endeavour 3.0L 4x4 AT                              "/>
        <s v="Hexa XM 4x2 7 STR                                  "/>
        <s v="E-Class E250 CDI BlueEfficiency                    "/>
        <s v="Ecosport Titanium + 1.5L TDCi [2019-2020]          "/>
        <s v="Nexon XT Diesel [2017-2019]                        "/>
        <s v="Creta SX Plus 1.6  Petrol                          "/>
        <s v="Innova 2.5 GX BS IV 7 STR                          "/>
        <s v="Amaze VX CVT 1.2 Petrol                            "/>
        <s v="Creta SX 1.6 CRDI                                  "/>
        <s v="Creta 1.6 SX (O)                                   "/>
        <s v="Yaris J CVT [2018-2020]                            "/>
        <s v="City VX (O) MT BL                                  "/>
        <s v="Creta E Plus 1.6 Petrol                            "/>
        <s v="Rapid 1.6 MPI Active                               "/>
        <s v="Rapid Monte Carlo 1.6 MPI MT                       "/>
        <s v="Duster RXS 1.5 Petrol MT                           "/>
        <s v="Nexon XZA Plus Petrol                              "/>
        <s v="Creta 1.6 SX Plus AT                               "/>
        <s v="Corolla Altis 1.8 G AT                             "/>
        <s v="Punch Creative iRA Pack MT                         "/>
        <s v="Corolla Altis G AT Petrol                          "/>
        <s v="Vitara Brezza VDi AGS                              "/>
        <s v="Innova 2.5 GX BS IV 8 STR                          "/>
        <s v="Rapid Style 1.6 MPI AT                             "/>
        <s v="Venue SX 1.0 Turbo iMT                             "/>
        <s v="Rexton RX6                                         "/>
        <s v="Ciaz Alpha Hybrid 1.5 [2018-2020]                  "/>
        <s v="Ciaz Delta 1.5 Diesel                              "/>
        <s v="Nexon XZ Plus Diesel                               "/>
        <s v="XUV300 1.5 W6 [2019-2020]                          "/>
        <s v="Vento Highline Plus 1.6 (P)                        "/>
        <s v="Innova 2.5 G BS IV 8 STR                           "/>
        <s v="Polo Highline Plus 1.0L TSI                        "/>
        <s v="City V Petrol                                      "/>
        <s v="Scorpio S4 1.99 [2016-2017]                        "/>
        <s v="XUV500 W10                                         "/>
        <s v="E-Class E200                                       "/>
        <s v="Amaze 1.5 VX CVT Diesel                            "/>
        <s v="DZire ZXi AGS                                      "/>
        <s v="S-Cross Zeta 1.3                                   "/>
        <s v="XUV500 W10 AT 1.99                                 "/>
        <s v="Creta 1.6 SX Plus AT Petrol                        "/>
        <s v="Duster 85 PS RXS 4X2 MT Diesel                     "/>
        <s v="Creta SX 1.6 CRDi (O)                              "/>
        <s v="XL6 Zeta MT Petrol                                 "/>
        <s v="Verna SX (O) AT Anniversary Edition 1.6 VTVT       "/>
        <s v="C-Class 220 BlueEfficiency                         "/>
        <s v="A4 2.0 TDI (177bhp) Premium                        "/>
        <s v="E-Class E250 Elegance                              "/>
        <s v="Scorpio S6 Plus Intelli-Hybrid                     "/>
        <s v="Ertiga ZXi AT                                      "/>
        <s v="XUV500 W10 AT                                      "/>
        <s v="S60 Kinetic D4                                     "/>
        <s v="Venue SX 1.0 (O) Petrol [2019-2020]                "/>
        <s v="Innova 2.5 ZX 7 STR BS-IV                          "/>
        <s v="XUV500 W8 AWD [2015-2017]                          "/>
        <s v="Hexa XE 4x2 7 STR                                  "/>
        <s v="A4 1.8 TFSI Multitronic Premium Plus               "/>
        <s v="Kiger RXZ AMT                                      "/>
        <s v="Vitara Brezza ZDi Plus AGS                         "/>
        <s v="Venue SX 1.4 CRDi                                  "/>
        <s v="Vitara Brezza ZXi Plus                             "/>
        <s v="Urban Cruiser Premium Grade AT                     "/>
        <s v="City VX CVT Petrol [2017-2019]                     "/>
        <s v="Nexon XZ Plus Dark Edition                         "/>
        <s v="Venue SX (O) 1.0 Turbo iMT                         "/>
        <s v="Elite i20 Asta (O) 1.0 Turbo DCT                   "/>
        <s v="Marazzo M2 8 STR                                   "/>
        <s v="Creta SX Plus 1.6 AT CRDI                          "/>
        <s v="Hexa XT 4x2 6 STR                                  "/>
        <s v="Compass Limited (O) 2.0 Diesel [2017-2020]         "/>
        <s v="Ciaz Zeta 1.3 Hybrid                               "/>
        <s v="Sonet GTX Plus 1.0 DCT [2020-2021]                 "/>
        <s v="Venue SX Plus 1.0 Turbo DCT                        "/>
        <s v="Creta SX 1.6 AT Petrol                             "/>
        <s v="Corolla Altis GL Petrol                            "/>
        <s v="Fortuner 3.0 4x2 AT                                "/>
        <s v="Elite i20 Asta 1.2 IVT                             "/>
        <s v="Creta 1.4 S Plus                                   "/>
        <s v="Venue SX (O) 1.5 CRDi                              "/>
        <s v="Verna SX Plus 1.6 CRDi AT                          "/>
        <s v="Yaris V CVT                                        "/>
        <s v="Scorpio S6 Plus 1.99 [2016-2017]                   "/>
        <s v="X3 xDrive20d                                       "/>
        <s v="Creta EX 1.4 CRDi                                  "/>
        <s v="Corolla Altis VL AT Petrol                         "/>
        <s v="XUV500 W7 [2018-2020]                              "/>
        <s v="XUV500 W5 [2018-2020]                              "/>
        <s v="Venue SX 1.5 CRDi                                  "/>
        <s v="C-Class 250 CDI Elegance                           "/>
        <s v="Creta SX 1.6 (O) Petrol                            "/>
        <s v="XUV500 W9 [2018-2020]                              "/>
        <s v="Scorpio S3 2WD 7 STR                               "/>
        <s v="Rapid Style AT                                     "/>
        <s v="Elite i20 Asta 1.0 Turbo IMT Dual Tone             "/>
        <s v="CR-V 2.0L 2WD AT                                   "/>
        <s v="City ZX CVT Petrol [2017-2019]                     "/>
        <s v="Verna SX Plus 1.6 VTVT AT                          "/>
        <s v="B-class B180 Sports                                "/>
        <s v="B-class B180                                       "/>
        <s v="E-Class E350 CDI Avantgarde                        "/>
        <s v="Octavia Elegance 2.0 TDI AT                        "/>
        <s v="Scorpio S5 2WD 7 STR                               "/>
        <s v="Verna 1.6 VTVT SX (O)                              "/>
        <s v="Creta 1.6 SX Plus Petrol                           "/>
        <s v="Elantra SX (O) 2.0 AT                              "/>
        <s v="A6 2.0 TDI Premium                                 "/>
        <s v="A4 2.0 TDI (177bhp) Premium Plus                   "/>
        <s v="XL6 Alpha AT Petrol                                "/>
        <s v="Sonet GTX Plus 1.0 iMT [2020-2021]                 "/>
        <s v="5-Series 525d Sedan                                "/>
        <s v="Fortuner 3.0 4x4 MT                                "/>
        <s v="Vento Highline 1.0L TSI                            "/>
        <s v="Creta SX 1.6 AT CRDi                               "/>
        <s v="V40 D3 Kinetic                                     "/>
        <s v="Hexa XTA 4x2 7 STR                                 "/>
        <s v="Ertiga ZXi Plus                                    "/>
        <s v="Fortuner 3.0 4x2 MT                                "/>
        <s v="Compass Limited 2.0 Diesel [2017-2020]             "/>
        <s v="V40 Cross Country D3                               "/>
        <s v="Compass Limited (O) 1.4 Petrol AT [2017-2020]      "/>
        <s v="Scorpio S11 2WD 7 STR                              "/>
        <s v="Scorpio S9 2WD 7 STR                               "/>
        <s v="Seltos HTX 1.5 [2020-2021]                         "/>
        <s v="Seltos HTK Plus AT 1.5 Diesel [2020-2021]          "/>
        <s v="XUV500 W11                                         "/>
        <s v="E-Class E220 CDI Blue Efficiency                   "/>
        <s v="Innova 2.5 VX 7 STR BS-III                         "/>
        <s v="XL6 Alpha MT Petrol                                "/>
        <s v="XUV300 W8 (O) 1.5 Diesel                           "/>
        <s v="Countryman Cooper D                                "/>
        <s v="Seltos HTK 1.5 Diesel [2020-2021]                  "/>
        <s v="Q3 2.0 TDI quattro Premium Plus                    "/>
        <s v="Pajero 2.5 MT                                      "/>
        <s v="Octavia 1.8 TSI Style Plus AT [2017]               "/>
        <s v="E-Class E 200 Avantgarde                           "/>
        <s v="C-Class 200 CGI                                    "/>
        <s v="Seltos HTX Plus 1.5 Diesel [2020-2021]             "/>
        <s v="A-Class A 180 Sport Petrol                         "/>
        <s v="A3 35 TDI Premium + Sunroof                        "/>
        <s v="Compass Limited 1.4 Petrol AT [2017-2020]          "/>
        <s v="Q3 2.0 TDI quattro Premium                         "/>
        <s v="Creta 1.6 S Plus AT                                "/>
        <s v="Scorpio S11 4WD 7 STR                              "/>
        <s v="3-Series 320d Luxury Line                          "/>
        <s v="A4 2.0 TDI (143bhp)                                "/>
        <s v="City VX CVT Petrol                                 "/>
        <s v="A3 35 TDI Premium Plus                             "/>
        <s v="Octavia 2.0 TDI L&amp;K                                "/>
        <s v="3-Series 320d Sport Line                           "/>
        <s v="X5 3.0d                                            "/>
        <s v="Innova 2.4 VX 7 STR [2016-2020]                    "/>
        <s v="City ZX CVT Petrol                                 "/>
        <s v="Compass Limited 2.0 Diesel 4x4 [2017-2020]         "/>
        <s v="Fortuner 4x2 AT                                    "/>
        <s v="Q3 35 TDI Premium Plus + Sunroof                   "/>
        <s v="A6 2.0 TDI Premium Plus                            "/>
        <s v="A6 35 TDI Premium                                  "/>
        <s v="City ZX Diesel                                     "/>
        <s v="Elantra 2.0 SX (O) AT                              "/>
        <s v="Seltos HTK Plus 1.5 iMT                            "/>
        <s v="Thar LX 4-STR Hard Top Diesel MT                   "/>
        <s v="Pajero 2.5 AT                                      "/>
        <s v="Sonet GTX Plus 1.5 AT [2020-2021]                  "/>
        <s v="Marazzo M6 Plus 8 STR                              "/>
        <s v="Seltos GTX Plus AT 1.4 [2019-2020]                 "/>
        <s v="Q5 2.0 TDI quattro Premium Plus                    "/>
        <s v="S-Class 350 CDI L                                  "/>
        <s v="Taigun Highline 1.0 TSI AT                         "/>
        <s v="Thar LX 4-STR Hard Top Petrol MT                   "/>
        <s v="Superb L&amp;K TSI AT                                  "/>
        <s v="Octavia 1.8 TSI L&amp;K                                "/>
        <s v="Seltos HTK Plus 1.5 [2019-2020]                    "/>
        <s v="A3 35 TDI Technology + Sunroof                     "/>
        <s v="A4 35 TDI Premium Sunroof                          "/>
        <s v="Innova 2.4 G 7 STR [2016-2017]                     "/>
        <s v="Astor Sharp EX 1.5 MT                              "/>
        <s v="Thar AX 6-STR Soft Top Diesel MT                   "/>
        <s v="Scorpio S5                                         "/>
        <s v="Seltos GTX Plus 1.4 [2020-2021]                    "/>
        <s v="Innova 2.8 GX AT 7 STR [2016-2020]                 "/>
        <s v="Tucson GL 2WD AT Petrol                            "/>
        <s v="XUV500 W11 AT                                      "/>
        <s v="Creta SX 1.5 Diesel [2020-2022]                    "/>
        <s v="Camry Hybrid                                       "/>
        <s v="Kushaq Style 1.0L TSI MT                           "/>
        <s v="Tucson 2WD AT GLS Diesel                           "/>
        <s v="5-Series 530d M Sport [2013-2017]                  "/>
        <s v="Hector Sharp 2.0 Diesel [2019-2020]                "/>
        <s v="Creta SX (O) 1.5 Diesel [2020-2022]                "/>
        <s v="Kushaq Style 1.0L TSI AT                           "/>
        <s v="Hector Sharp 1.5 DCT Petrol [2019-2020]            "/>
        <s v="XUV500 W11 (O) AT                                  "/>
        <s v="Seltos HTK Plus 1.5 Diesel                         "/>
        <s v="GLA 200 CDI Sport                                  "/>
        <s v="Thar LX 4-STR Hard Top Petrol AT                   "/>
        <s v="Q3 35 TDI Premium + Sunroof                        "/>
        <s v="Superb Style TSI AT                                "/>
        <s v="E-Class E200 CGI Blue Efficiency                   "/>
        <s v="A6 3.0 TDI quattro Premium                         "/>
        <s v="S-Class 500L                                       "/>
        <s v="3-Series 320d Prestige                             "/>
        <s v="Octavia 1.8 TSI Ambition Plus AT                   "/>
        <s v="V40 D3 R-Design                                    "/>
        <s v="GLA 200 Sport                                      "/>
        <s v="Harrier XZ [2019-2020]                             "/>
        <s v="Thar LX 4-STR Hard Top Diesel AT                   "/>
        <s v="Thar LX 4-STR Convertible Diesel MT                "/>
        <s v="Thar AX 4-STR Convertible Petrol MT                "/>
        <s v="Q5 2.0 TDI quattro Premium                         "/>
        <s v="Innova 2.4 ZX 7 STR [2016-2020]                    "/>
        <s v="Creta SX (O) 1.5 Petrol CVT [2020-2022]            "/>
        <s v="Compass Sport 1.4 Petrol                           "/>
        <s v="Alcazar Platinum 7 STR 1.5 Diesel                  "/>
        <s v="GLA 200 CDI Style                                  "/>
        <s v="Creta SX (O) 1.4 Turbo 7 DCT Dual Tone [2022-2022] "/>
        <s v="Hector Sharp 1.5 DCT Petrol Dual Tone              "/>
        <s v="Compass Longitude (O) 1.4 Petrol AT [2019-2020]    "/>
        <s v="Harrier XZ                                         "/>
        <s v="Fortuner 3.0 4x4 AT                                "/>
        <s v="5-Series 520d Luxury Line                          "/>
        <s v="E-Class E250 CDI Avantgarde                        "/>
        <s v="A3 40 TFSI Premium                                 "/>
        <s v="Astor Sharp 1.5 CVT                                "/>
        <s v="Q3 35 TDI Premium                                  "/>
        <s v="Hector Sharp 2.0 Diesel Turbo MT                   "/>
        <s v="Tucson GLS 2WD AT Petrol                           "/>
        <s v="Innova 2.7 ZX AT 7 STR                             "/>
        <s v="MU-X 4x2                                           "/>
        <s v="A3 35 TDI Premium                                  "/>
        <s v="GLA 200 d Sport                                    "/>
        <s v="Seltos GTX Plus AT 1.5 Diesel [2019-2020]          "/>
        <s v="Q3 35 TDI Technology with Navigation               "/>
        <s v="Alcazar Prestige 7 STR 1.5 Diesel                  "/>
        <s v="A-Class A 200d                                     "/>
        <s v="Seltos GTX Plus 1.4 DCT                            "/>
        <s v="Thar AX 6-STR Soft Top Petrol MT                   "/>
        <s v="Innova 2.8 ZX AT 7 STR [2016-2020]                 "/>
        <s v="S-Class 350 L                                      "/>
        <s v="Thar LX 4-STR Convertible Diesel AT                "/>
        <s v="Hector Plus Sharp 1.5 DCT Petrol                   "/>
        <s v="Safari XZ Plus                                     "/>
        <s v="S-Class S 500                                      "/>
        <s v="Innova 2.4 G 8 STR [2016-2017]                     "/>
        <s v="Compass Longitude Plus 2.0 Diesel 4x4 AT           "/>
        <s v="Creta SX 1.4 Turbo 7 DCT                           "/>
        <s v="Creta SX 1.5 Petrol CVT [2020-2022]                "/>
        <s v="Hector Plus Smart 1.5 DCT Petrol                   "/>
        <s v="Harrier XT Plus Dark Edition                       "/>
        <s v="Cooper D 5 Door                                    "/>
        <s v="Innova 2.7 GX AT 7 STR [2016-2020]                 "/>
        <s v="A4 35 TDI Premium                                  "/>
        <s v="XC60 Inscription                                   "/>
        <s v="Innova 2.7 VX 7 STR [2016-2020]                    "/>
        <s v="Q3 30 TDI Premium FWD                              "/>
        <s v="A6 35 TDI Matrix                                   "/>
        <s v="Creta SX (O) 1.5 Diesel Automatic                  "/>
        <s v="Innova 2.4 VX 8 STR [2016-2020]                    "/>
        <s v="Harrier XZA Plus Dark Edition                      "/>
        <s v="Pajero Select Plus AT                              "/>
        <s v="CLA 200 CDI Sport                                  "/>
        <s v="Endeavour Titanium 3.2 4x4 AT                      "/>
        <s v="Tiguan Highline TDI                                "/>
        <s v="A3 35 TFSI Premium Plus                            "/>
        <s v="Tucson GL 2WD AT Diesel                            "/>
        <s v="Q3 35 TDI quattro Premium Plus                     "/>
        <s v="Alcazar Signature (O) 6 STR 2.0 Petrol AT          "/>
        <s v="Harrier XZ Plus                                    "/>
        <s v="5-Series 520d Luxury Line [2017-2019]              "/>
        <s v="Q3 35 TDI Technology                               "/>
        <s v="Evoque Pure SD4                                    "/>
        <s v="M-Class 350 CDI                                    "/>
        <s v="Innova 2.8 GX AT 8 STR [2016-2020]                 "/>
        <s v="X1 sDrive20d xLine                                 "/>
        <s v="Safari 2.2 VX 4x2 Varicor400                       "/>
        <s v="Q7 35 TDI Premium + Sunroof                        "/>
        <s v="A3 35 TDI Premium Plus + Sunroof                   "/>
        <s v="C-Class C 200 Avantgarde                           "/>
        <s v="GLA 220 d Activity Edition                         "/>
        <s v="M-Class ML 250 CDI                                 "/>
        <s v="E-Class E 250 CDI Avantgarde                       "/>
        <s v="Harrier XZA Plus Dual Tone                         "/>
        <s v="Compass Limited (O) 1.4 Petrol DCT                 "/>
        <s v="Harrier XZA Plus                                   "/>
        <s v="Evoque Dynamic SD4                                 "/>
        <s v="Camry 2.5L AT                                      "/>
        <s v="Endeavour Trend 2.2 4x2 AT                         "/>
        <s v="X1 sDrive20d Expedition                            "/>
        <s v="GL-Class 350 CDI                                   "/>
        <s v="Safari XZA Plus 6S Adventure New                   "/>
        <s v="Alcazar Signature (O) 7 Seater 1.5 Diesel AT       "/>
        <s v="SLK-Class SLK 200 K                                "/>
        <s v="E-Class E 200                                      "/>
        <s v="A4 35 TDI Technology                               "/>
        <s v="Innova GX 2.4 AT 7 STR                             "/>
        <s v="C-Class C 220 CDI Avantgarde                       "/>
        <s v="A3 40 TFSI Premium Plus + sunroof                  "/>
        <s v="Q7 3.0 TDI quattro Premium Plus                    "/>
        <s v="M-Class ML 350 CDI                                 "/>
        <s v="Compass Limited Plus 2.0 Diesel 4x4 AT             "/>
        <s v="Q7 35 TDI Premium Plus + Sunroof                   "/>
        <s v="R-Class R350 4MATIC                                "/>
        <s v="Evoque HSE Dynamic                                 "/>
        <s v="GLA 200 d Style                                    "/>
        <s v="Superb L&amp;K TDI AT                                  "/>
        <s v="XUV700 AX 7 Diesel AT 7 STR                        "/>
        <s v="Fortuner 2.8 4x2 AT [2016-2020]                    "/>
        <s v="XJ 3.0 Petrol                                      "/>
        <s v="Innova ZX 2.7 AT 7 STR                             "/>
        <s v="5-Series 520d M Sport                              "/>
        <s v="A7 Sportback 3.0 TDI quattro                       "/>
        <s v="X1 xDrive20d M Sport                               "/>
        <s v="Fortuner 2.8 4x4 AT [2016-2020]                    "/>
        <s v="Q5 2.0 TDI quattro Technology Pack                 "/>
        <s v="Compass Model S (O) 1.4 Petrol DCT                 "/>
        <s v="XE Prestige Diesel                                 "/>
        <s v="Innova 2.4 ZX AT 7 STR                             "/>
        <s v="XUV700 AX 7 Diesel AT AWD Luxury Pack 7 STR        "/>
        <s v="XUV700 AX 7 Petrol AT Luxury Pack 7 STR            "/>
        <s v="Alturas G4 4WD AT [2018-2020]                      "/>
        <s v="C-Class C 250 d                                    "/>
        <s v="Discovery HSE                                      "/>
        <s v="CLA 200 D Urban Sport                              "/>
        <s v="3-Series 320i Luxury Line                          "/>
        <s v="Innova ZX 2.4 AT 7 STR                             "/>
        <s v="A6 35 TFSI Matrix                                  "/>
        <s v="RS5 4.2 Coupe                                      "/>
        <s v="Compass Model S (O) Diesel 4x4 AT                  "/>
        <s v="Q2 Premium Plus I 40 TFSI quattro                  "/>
        <s v="Carnival Limousine Plus 7 STR                      "/>
        <s v="Fortuner 2.8 4x2 MT [2016-2020]                    "/>
        <s v="5-Series 520d Sport Line                           "/>
        <s v="A4 30 TFSI Technology Pack                         "/>
        <s v="XJ 3.0 V6 Portfolio                                "/>
        <s v="Discovery Sport HSE Luxury                         "/>
        <s v="Cooper S                                           "/>
        <s v="X1 sDrive20d                                       "/>
        <s v="Q3 35 TDI quattro Technology                       "/>
        <s v="Endeavour Titanium Plus 3.2 4x4 AT                 "/>
        <s v="Cooper D 3 Door                                    "/>
        <s v="Q7 3.0 TDI quattro Premium                         "/>
        <s v="Superb Sportline AT                                "/>
        <s v="Tiguan AllSpace 2.0 TSI                            "/>
        <s v="GLC 220 d Progressive                              "/>
        <s v="A4 35 TDI Premium Plus                             "/>
        <s v="C-Class C 220d Progressive [2018-2019]             "/>
        <s v="Octavia RS                                         "/>
        <s v="Evoque SE                                          "/>
        <s v="Q2 Premium 40 TFSI quattro                         "/>
        <s v="Gloster Savvy 6 STR 2.0 Twin Turbo 4WD             "/>
        <s v="Cayenne Turbo                                      "/>
        <s v="3-Series 330i M Sport Edition                      "/>
        <s v="XF Prestige Diesel CBU                             "/>
        <s v="Q7 45 TDI Technology Pack                          "/>
        <s v="Endeavour Titanium 2.0 4x2 AT                      "/>
        <s v="Evoque HSE                                         "/>
        <s v="X3 xDrive 20d Luxury Line [2018-2020]              "/>
        <s v="Countryman Cooper S JCW Inspired                   "/>
        <s v="Endeavour Sport 2.0 4x4 AT                         "/>
        <s v="ES 300h                                            "/>
        <s v="XC40 D4 R-Design                                   "/>
        <s v="Gloster Sharp 6 STR 2.0 Twin Turbo 4WD             "/>
        <s v="X1 sDrive20i xLine                                 "/>
        <s v="TT 2.0 TFSI Quattro                                "/>
        <s v="A-Class Sedan 200d                                 "/>
        <s v="A-Class Sedan 200                                  "/>
        <s v="2 Series Gran Coupe 220d M Sport [2020-2021]       "/>
        <s v="A4 Premium Plus 40 TFSI                            "/>
        <s v="E-Class E 220d Expression [2019-2019]              "/>
        <s v="S90 Momentum D4 [2018-2020]                        "/>
        <s v="GLE 250 d                                          "/>
        <s v="X3 20d M Sport                                     "/>
        <s v="Discovery Sport HSE 7-Seater                       "/>
        <s v="F-Pace Prestige                                    "/>
        <s v="A4 30 TFSI Premium Plus                            "/>
        <s v="5-Series 530i Sport Line                           "/>
        <s v="X5 xDrive30d xLine                                 "/>
        <s v="NX 300h Luxury [2017-2020]                         "/>
        <s v="XC40 T4 R-Design                                   "/>
        <s v="X3 xDrive-20d xLine                                "/>
        <s v="Q5 40 TDI Premium Plus                             "/>
        <s v="3-Series 320d Luxury Edition                       "/>
        <s v="Discovery Sport HSE Luxury 7-Seater                "/>
        <s v="XF Portfolio Diesel                                "/>
        <s v="ES 300h Exquisite [2020-2021]                      "/>
        <s v="C-Class C 200 Progressive [2018-2020]              "/>
        <s v="Q7 45 TDI Premium Plus                             "/>
        <s v="A8 3.0 TDI quattro                                 "/>
        <s v="Discovery Sport SE                                 "/>
        <s v="C-Class C200 Progressive                           "/>
        <s v="GLE 350 d                                          "/>
        <s v="Discovery Sport HSE Petrol 7-Seater                "/>
        <s v="C-Class Cabriolet C 300                            "/>
        <s v="6-Series GT 630d Luxury Line [2018-2019]           "/>
        <s v="GLC 220d 4MATIC Progressive [2019-2021]            "/>
        <s v="E-Class E 220d Exclusive [2019-2019]               "/>
        <s v="Cooper JCW Hatchback                               "/>
        <s v="C-Class C 300d AMG line                            "/>
        <s v="C-Class 220 CDI AT                                 "/>
        <s v="A6 Technology 45 TFSI                              "/>
        <s v="Cayenne Platinum Edition Diesel                    "/>
        <s v="Cayenne Diesel                                     "/>
        <s v="Range Rover Sport SDV6 HSE                         "/>
        <s v="5-Series 530d M Sport [2017-2019]                  "/>
        <s v="S-Class S 350 CDI                                  "/>
        <s v="Q5 45 TFSI Premium Plus                            "/>
        <s v="XJ 3.0 Portfolio                                   "/>
        <s v="XC60 Inscription [2017-2020]                       "/>
        <s v="Range Rover Sport SDV6 S                           "/>
        <s v="Evoque SE R-Dynamic                                "/>
        <s v="E-Class E 220 d Avantgarde                         "/>
        <s v="7-Series 730Ld DPE                                 "/>
        <s v="GLS 400 4MATIC                                     "/>
        <s v="Discovery Sport SE R-Dynamic                       "/>
        <s v="S90 D4 Inscription                                 "/>
        <s v="Range Rover Sport SDV6 SE                          "/>
        <s v="C-Class C220d Progressive                          "/>
        <s v="X4 xDrive30d M Sport X [2019-2020]                 "/>
        <s v="Wrangler Rubicon                                   "/>
        <s v="E-Class E 350 d Exclusive [2017-2019]              "/>
        <s v="V-Class Elite LWB                                  "/>
        <s v="GLC 220d 4MATIC Progressive                        "/>
        <s v="Discovery Sport S                                  "/>
        <s v="Evoque SE Dynamic                                  "/>
        <s v="E-Class E 200 Exclusive [2019-2019]                "/>
        <s v="GLC 200 Progressive                                "/>
        <s v="X3 xDrive30i M Sport                               "/>
        <s v="GLS 350 d                                          "/>
        <s v="7-Series 730Ld M Sport                             "/>
        <s v="CLS 300d [2018-2019]                               "/>
        <s v="Discovery Sport SE R-Dynamic Petrol                "/>
        <s v="C-Coupe 43 AMG 4MATIC                              "/>
        <s v="A6 2.0 TFSi Technology Pack                        "/>
        <s v="Macan S [2019-2020]                                "/>
        <s v="C-Class C 43 AMG                                   "/>
        <s v="5-Series 530d M Sport                              "/>
        <s v="S-Class S 350D [2018-2020]                         "/>
        <s v="Mustang GT Fastback 5.0L v8                        "/>
        <s v="GLE 300d 4MATIC LWB                                "/>
        <s v="XC90 D5 Inscription                                "/>
        <s v="GLE 43 4MATIC [2017-2019]                          "/>
        <s v="Macan Base [2019-2020]                             "/>
        <s v="Levante Diesel                                     "/>
        <s v="718 Cayman [2017-2020]                             "/>
        <s v="911 Carrera 4                                      "/>
        <s v="Q7 Technology 55 TFSI                              "/>
        <s v="718 Boxster                                        "/>
        <s v="Q8 Celebration                                     "/>
        <s v="X6 xDrive40i M Sport                               "/>
        <s v="Vellfire Hybrid                                    "/>
        <s v="S-Class Maybach S 500                              "/>
        <s v="Range Rover Sport SE 2.0 Petrol                    "/>
        <s v="X7 xDrive40i M Sport                               "/>
        <s v="GLS 400d 4MATIC                                    "/>
        <s v="GLS 450 4MATIC                                     "/>
        <s v="Cayenne Base                                       "/>
        <s v="Cayenne Coupe Platinum Edition                     "/>
        <s v="Ghost 6.5                                          "/>
        <s v="S-Class Maybach S 560                              "/>
        <s v="Range Rover 3.0 V6 Diesel Vogue                    "/>
        <s v="S-Class S 450                                      "/>
        <s v="Ghost Extended Wheelbase                           "/>
        <s v="Range Rover 3.0 V6 Diesel Vogue LWB                "/>
        <s v="488 GTB                                            "/>
      </sharedItems>
    </cacheField>
    <cacheField name="Id" numFmtId="1">
      <sharedItems containsSemiMixedTypes="0" containsString="0" containsNumber="1" containsInteger="1" minValue="1" maxValue="1937" count="1935">
        <n v="1699"/>
        <n v="1700"/>
        <n v="426"/>
        <n v="969"/>
        <n v="427"/>
        <n v="970"/>
        <n v="971"/>
        <n v="428"/>
        <n v="429"/>
        <n v="972"/>
        <n v="228"/>
        <n v="973"/>
        <n v="430"/>
        <n v="974"/>
        <n v="975"/>
        <n v="1750"/>
        <n v="977"/>
        <n v="976"/>
        <n v="978"/>
        <n v="431"/>
        <n v="979"/>
        <n v="432"/>
        <n v="433"/>
        <n v="434"/>
        <n v="980"/>
        <n v="435"/>
        <n v="981"/>
        <n v="983"/>
        <n v="436"/>
        <n v="982"/>
        <n v="276"/>
        <n v="437"/>
        <n v="984"/>
        <n v="277"/>
        <n v="438"/>
        <n v="210"/>
        <n v="439"/>
        <n v="985"/>
        <n v="986"/>
        <n v="278"/>
        <n v="217"/>
        <n v="1701"/>
        <n v="988"/>
        <n v="440"/>
        <n v="987"/>
        <n v="441"/>
        <n v="989"/>
        <n v="442"/>
        <n v="857"/>
        <n v="443"/>
        <n v="990"/>
        <n v="991"/>
        <n v="992"/>
        <n v="444"/>
        <n v="445"/>
        <n v="1659"/>
        <n v="446"/>
        <n v="449"/>
        <n v="993"/>
        <n v="229"/>
        <n v="447"/>
        <n v="448"/>
        <n v="994"/>
        <n v="211"/>
        <n v="995"/>
        <n v="996"/>
        <n v="997"/>
        <n v="452"/>
        <n v="999"/>
        <n v="451"/>
        <n v="998"/>
        <n v="230"/>
        <n v="450"/>
        <n v="226"/>
        <n v="858"/>
        <n v="218"/>
        <n v="453"/>
        <n v="231"/>
        <n v="232"/>
        <n v="279"/>
        <n v="1004"/>
        <n v="1000"/>
        <n v="1001"/>
        <n v="1003"/>
        <n v="1005"/>
        <n v="1002"/>
        <n v="859"/>
        <n v="284"/>
        <n v="282"/>
        <n v="281"/>
        <n v="280"/>
        <n v="1007"/>
        <n v="1613"/>
        <n v="459"/>
        <n v="455"/>
        <n v="219"/>
        <n v="1008"/>
        <n v="458"/>
        <n v="1009"/>
        <n v="457"/>
        <n v="454"/>
        <n v="456"/>
        <n v="283"/>
        <n v="1702"/>
        <n v="1614"/>
        <n v="461"/>
        <n v="460"/>
        <n v="1014"/>
        <n v="1010"/>
        <n v="1012"/>
        <n v="1013"/>
        <n v="1011"/>
        <n v="1016"/>
        <n v="1015"/>
        <n v="1615"/>
        <n v="1017"/>
        <n v="1751"/>
        <n v="285"/>
        <n v="286"/>
        <n v="220"/>
        <n v="1018"/>
        <n v="1019"/>
        <n v="233"/>
        <n v="463"/>
        <n v="462"/>
        <n v="287"/>
        <n v="1021"/>
        <n v="467"/>
        <n v="468"/>
        <n v="466"/>
        <n v="465"/>
        <n v="1022"/>
        <n v="1023"/>
        <n v="1020"/>
        <n v="464"/>
        <n v="1025"/>
        <n v="1024"/>
        <n v="1026"/>
        <n v="1616"/>
        <n v="1028"/>
        <n v="1030"/>
        <n v="1031"/>
        <n v="1027"/>
        <n v="1029"/>
        <n v="234"/>
        <n v="1032"/>
        <n v="1033"/>
        <n v="469"/>
        <n v="1034"/>
        <n v="470"/>
        <n v="289"/>
        <n v="288"/>
        <n v="1617"/>
        <n v="1038"/>
        <n v="1037"/>
        <n v="1035"/>
        <n v="1036"/>
        <n v="235"/>
        <n v="290"/>
        <n v="1039"/>
        <n v="1044"/>
        <n v="1041"/>
        <n v="1042"/>
        <n v="1618"/>
        <n v="1619"/>
        <n v="1040"/>
        <n v="1752"/>
        <n v="236"/>
        <n v="212"/>
        <n v="1043"/>
        <n v="291"/>
        <n v="471"/>
        <n v="1753"/>
        <n v="1754"/>
        <n v="472"/>
        <n v="1045"/>
        <n v="1620"/>
        <n v="473"/>
        <n v="1046"/>
        <n v="1048"/>
        <n v="1047"/>
        <n v="292"/>
        <n v="1621"/>
        <n v="1622"/>
        <n v="1049"/>
        <n v="474"/>
        <n v="475"/>
        <n v="1755"/>
        <n v="1586"/>
        <n v="1050"/>
        <n v="1623"/>
        <n v="213"/>
        <n v="1624"/>
        <n v="221"/>
        <n v="1052"/>
        <n v="1051"/>
        <n v="1058"/>
        <n v="1880"/>
        <n v="294"/>
        <n v="295"/>
        <n v="478"/>
        <n v="1059"/>
        <n v="1055"/>
        <n v="1881"/>
        <n v="1056"/>
        <n v="477"/>
        <n v="476"/>
        <n v="1057"/>
        <n v="1587"/>
        <n v="1053"/>
        <n v="1054"/>
        <n v="293"/>
        <n v="1756"/>
        <n v="860"/>
        <n v="1060"/>
        <n v="1061"/>
        <n v="1062"/>
        <n v="1396"/>
        <n v="222"/>
        <n v="480"/>
        <n v="479"/>
        <n v="296"/>
        <n v="1757"/>
        <n v="1064"/>
        <n v="1625"/>
        <n v="1063"/>
        <n v="481"/>
        <n v="297"/>
        <n v="1067"/>
        <n v="1068"/>
        <n v="223"/>
        <n v="1065"/>
        <n v="1069"/>
        <n v="1066"/>
        <n v="482"/>
        <n v="1882"/>
        <n v="1884"/>
        <n v="1660"/>
        <n v="1072"/>
        <n v="1070"/>
        <n v="1883"/>
        <n v="1071"/>
        <n v="483"/>
        <n v="1758"/>
        <n v="237"/>
        <n v="298"/>
        <n v="1073"/>
        <n v="299"/>
        <n v="1074"/>
        <n v="1075"/>
        <n v="1885"/>
        <n v="484"/>
        <n v="1588"/>
        <n v="485"/>
        <n v="301"/>
        <n v="861"/>
        <n v="1079"/>
        <n v="1626"/>
        <n v="1076"/>
        <n v="1886"/>
        <n v="1077"/>
        <n v="486"/>
        <n v="1078"/>
        <n v="300"/>
        <n v="1080"/>
        <n v="1081"/>
        <n v="1082"/>
        <n v="487"/>
        <n v="305"/>
        <n v="304"/>
        <n v="302"/>
        <n v="1759"/>
        <n v="1703"/>
        <n v="1627"/>
        <n v="1083"/>
        <n v="1628"/>
        <n v="1629"/>
        <n v="1085"/>
        <n v="1887"/>
        <n v="1084"/>
        <n v="227"/>
        <n v="490"/>
        <n v="488"/>
        <n v="489"/>
        <n v="1704"/>
        <n v="303"/>
        <n v="491"/>
        <n v="1705"/>
        <n v="492"/>
        <n v="1087"/>
        <n v="1086"/>
        <n v="493"/>
        <n v="494"/>
        <n v="1589"/>
        <n v="497"/>
        <n v="1888"/>
        <n v="496"/>
        <n v="495"/>
        <n v="1590"/>
        <n v="1088"/>
        <n v="306"/>
        <n v="1630"/>
        <n v="1760"/>
        <n v="1094"/>
        <n v="1092"/>
        <n v="1090"/>
        <n v="1631"/>
        <n v="1089"/>
        <n v="1091"/>
        <n v="1093"/>
        <n v="500"/>
        <n v="499"/>
        <n v="498"/>
        <n v="501"/>
        <n v="307"/>
        <n v="1095"/>
        <n v="1632"/>
        <n v="1096"/>
        <n v="502"/>
        <n v="1706"/>
        <n v="308"/>
        <n v="1889"/>
        <n v="504"/>
        <n v="503"/>
        <n v="238"/>
        <n v="310"/>
        <n v="862"/>
        <n v="506"/>
        <n v="214"/>
        <n v="1101"/>
        <n v="1097"/>
        <n v="1099"/>
        <n v="1100"/>
        <n v="1098"/>
        <n v="507"/>
        <n v="1707"/>
        <n v="309"/>
        <n v="505"/>
        <n v="508"/>
        <n v="1708"/>
        <n v="1104"/>
        <n v="1106"/>
        <n v="509"/>
        <n v="1102"/>
        <n v="510"/>
        <n v="1103"/>
        <n v="1105"/>
        <n v="511"/>
        <n v="1107"/>
        <n v="1633"/>
        <n v="512"/>
        <n v="1108"/>
        <n v="1109"/>
        <n v="1110"/>
        <n v="1634"/>
        <n v="1635"/>
        <n v="1111"/>
        <n v="1112"/>
        <n v="1662"/>
        <n v="1661"/>
        <n v="1636"/>
        <n v="513"/>
        <n v="1710"/>
        <n v="1118"/>
        <n v="1119"/>
        <n v="224"/>
        <n v="1117"/>
        <n v="1115"/>
        <n v="1120"/>
        <n v="1709"/>
        <n v="1890"/>
        <n v="1114"/>
        <n v="1121"/>
        <n v="515"/>
        <n v="514"/>
        <n v="1637"/>
        <n v="1591"/>
        <n v="1116"/>
        <n v="315"/>
        <n v="312"/>
        <n v="1113"/>
        <n v="314"/>
        <n v="313"/>
        <n v="311"/>
        <n v="1638"/>
        <n v="1891"/>
        <n v="1123"/>
        <n v="1122"/>
        <n v="1124"/>
        <n v="1125"/>
        <n v="1126"/>
        <n v="1892"/>
        <n v="863"/>
        <n v="1639"/>
        <n v="517"/>
        <n v="516"/>
        <n v="1761"/>
        <n v="239"/>
        <n v="316"/>
        <n v="518"/>
        <n v="519"/>
        <n v="1127"/>
        <n v="317"/>
        <n v="319"/>
        <n v="1129"/>
        <n v="1130"/>
        <n v="521"/>
        <n v="1128"/>
        <n v="520"/>
        <n v="1592"/>
        <n v="318"/>
        <n v="240"/>
        <n v="1131"/>
        <n v="1711"/>
        <n v="1640"/>
        <n v="321"/>
        <n v="320"/>
        <n v="864"/>
        <n v="1762"/>
        <n v="1140"/>
        <n v="1138"/>
        <n v="1136"/>
        <n v="1132"/>
        <n v="524"/>
        <n v="522"/>
        <n v="523"/>
        <n v="1135"/>
        <n v="1137"/>
        <n v="1133"/>
        <n v="1134"/>
        <n v="1593"/>
        <n v="1139"/>
        <n v="1141"/>
        <n v="241"/>
        <n v="525"/>
        <n v="242"/>
        <n v="526"/>
        <n v="1142"/>
        <n v="529"/>
        <n v="1641"/>
        <n v="528"/>
        <n v="1144"/>
        <n v="527"/>
        <n v="1143"/>
        <n v="531"/>
        <n v="1763"/>
        <n v="530"/>
        <n v="1145"/>
        <n v="1146"/>
        <n v="1147"/>
        <n v="322"/>
        <n v="243"/>
        <n v="532"/>
        <n v="1148"/>
        <n v="1642"/>
        <n v="1149"/>
        <n v="244"/>
        <n v="325"/>
        <n v="534"/>
        <n v="535"/>
        <n v="216"/>
        <n v="215"/>
        <n v="326"/>
        <n v="1151"/>
        <n v="1152"/>
        <n v="1150"/>
        <n v="533"/>
        <n v="536"/>
        <n v="1153"/>
        <n v="1712"/>
        <n v="324"/>
        <n v="323"/>
        <n v="328"/>
        <n v="1155"/>
        <n v="1154"/>
        <n v="537"/>
        <n v="327"/>
        <n v="245"/>
        <n v="539"/>
        <n v="540"/>
        <n v="865"/>
        <n v="1157"/>
        <n v="1764"/>
        <n v="1893"/>
        <n v="538"/>
        <n v="1156"/>
        <n v="1713"/>
        <n v="1644"/>
        <n v="1714"/>
        <n v="1894"/>
        <n v="1594"/>
        <n v="541"/>
        <n v="542"/>
        <n v="1158"/>
        <n v="1643"/>
        <n v="1765"/>
        <n v="330"/>
        <n v="543"/>
        <n v="1397"/>
        <n v="547"/>
        <n v="1159"/>
        <n v="866"/>
        <n v="545"/>
        <n v="544"/>
        <n v="546"/>
        <n v="1160"/>
        <n v="329"/>
        <n v="1663"/>
        <n v="332"/>
        <n v="331"/>
        <n v="1664"/>
        <n v="333"/>
        <n v="867"/>
        <n v="1766"/>
        <n v="1162"/>
        <n v="1161"/>
        <n v="1164"/>
        <n v="1165"/>
        <n v="1163"/>
        <n v="1895"/>
        <n v="334"/>
        <n v="335"/>
        <n v="1167"/>
        <n v="1168"/>
        <n v="548"/>
        <n v="1166"/>
        <n v="1169"/>
        <n v="549"/>
        <n v="1170"/>
        <n v="1171"/>
        <n v="336"/>
        <n v="1172"/>
        <n v="1173"/>
        <n v="1174"/>
        <n v="337"/>
        <n v="1175"/>
        <n v="1896"/>
        <n v="868"/>
        <n v="553"/>
        <n v="1177"/>
        <n v="869"/>
        <n v="552"/>
        <n v="1897"/>
        <n v="550"/>
        <n v="551"/>
        <n v="1176"/>
        <n v="1715"/>
        <n v="1645"/>
        <n v="1178"/>
        <n v="340"/>
        <n v="339"/>
        <n v="338"/>
        <n v="554"/>
        <n v="1716"/>
        <n v="246"/>
        <n v="247"/>
        <n v="1179"/>
        <n v="1180"/>
        <n v="1181"/>
        <n v="555"/>
        <n v="556"/>
        <n v="1183"/>
        <n v="341"/>
        <n v="557"/>
        <n v="1182"/>
        <n v="342"/>
        <n v="1898"/>
        <n v="558"/>
        <n v="562"/>
        <n v="561"/>
        <n v="563"/>
        <n v="1185"/>
        <n v="559"/>
        <n v="1188"/>
        <n v="1184"/>
        <n v="1186"/>
        <n v="1187"/>
        <n v="560"/>
        <n v="343"/>
        <n v="564"/>
        <n v="1665"/>
        <n v="870"/>
        <n v="566"/>
        <n v="565"/>
        <n v="1666"/>
        <n v="1595"/>
        <n v="248"/>
        <n v="871"/>
        <n v="346"/>
        <n v="345"/>
        <n v="1191"/>
        <n v="1193"/>
        <n v="1189"/>
        <n v="567"/>
        <n v="570"/>
        <n v="569"/>
        <n v="1192"/>
        <n v="571"/>
        <n v="1190"/>
        <n v="1194"/>
        <n v="568"/>
        <n v="344"/>
        <n v="573"/>
        <n v="574"/>
        <n v="572"/>
        <n v="1767"/>
        <n v="1717"/>
        <n v="1195"/>
        <n v="1197"/>
        <n v="578"/>
        <n v="577"/>
        <n v="1196"/>
        <n v="575"/>
        <n v="576"/>
        <n v="1198"/>
        <n v="579"/>
        <n v="581"/>
        <n v="1199"/>
        <n v="1899"/>
        <n v="580"/>
        <n v="872"/>
        <n v="347"/>
        <n v="582"/>
        <n v="1718"/>
        <n v="1200"/>
        <n v="1201"/>
        <n v="583"/>
        <n v="1204"/>
        <n v="1202"/>
        <n v="348"/>
        <n v="1203"/>
        <n v="249"/>
        <n v="1900"/>
        <n v="1768"/>
        <n v="1719"/>
        <n v="1206"/>
        <n v="1210"/>
        <n v="1205"/>
        <n v="1211"/>
        <n v="584"/>
        <n v="1596"/>
        <n v="1209"/>
        <n v="1720"/>
        <n v="349"/>
        <n v="585"/>
        <n v="1207"/>
        <n v="250"/>
        <n v="1212"/>
        <n v="1721"/>
        <n v="873"/>
        <n v="1213"/>
        <n v="1214"/>
        <n v="350"/>
        <n v="586"/>
        <n v="1722"/>
        <n v="351"/>
        <n v="1215"/>
        <n v="352"/>
        <n v="251"/>
        <n v="587"/>
        <n v="354"/>
        <n v="353"/>
        <n v="1220"/>
        <n v="1219"/>
        <n v="1216"/>
        <n v="1221"/>
        <n v="588"/>
        <n v="1217"/>
        <n v="1597"/>
        <n v="1218"/>
        <n v="589"/>
        <n v="1222"/>
        <n v="355"/>
        <n v="593"/>
        <n v="590"/>
        <n v="591"/>
        <n v="592"/>
        <n v="1223"/>
        <n v="1225"/>
        <n v="1224"/>
        <n v="357"/>
        <n v="356"/>
        <n v="252"/>
        <n v="594"/>
        <n v="595"/>
        <n v="1226"/>
        <n v="1646"/>
        <n v="358"/>
        <n v="874"/>
        <n v="1229"/>
        <n v="1228"/>
        <n v="1230"/>
        <n v="875"/>
        <n v="1598"/>
        <n v="1227"/>
        <n v="1231"/>
        <n v="359"/>
        <n v="1232"/>
        <n v="596"/>
        <n v="1233"/>
        <n v="1234"/>
        <n v="1235"/>
        <n v="597"/>
        <n v="598"/>
        <n v="876"/>
        <n v="1236"/>
        <n v="1237"/>
        <n v="1238"/>
        <n v="1239"/>
        <n v="253"/>
        <n v="1240"/>
        <n v="1901"/>
        <n v="877"/>
        <n v="1582"/>
        <n v="878"/>
        <n v="254"/>
        <n v="600"/>
        <n v="1248"/>
        <n v="1769"/>
        <n v="1599"/>
        <n v="1245"/>
        <n v="1902"/>
        <n v="601"/>
        <n v="599"/>
        <n v="1244"/>
        <n v="602"/>
        <n v="1246"/>
        <n v="1242"/>
        <n v="1647"/>
        <n v="1241"/>
        <n v="360"/>
        <n v="1247"/>
        <n v="1903"/>
        <n v="603"/>
        <n v="1243"/>
        <n v="361"/>
        <n v="879"/>
        <n v="1250"/>
        <n v="1249"/>
        <n v="1251"/>
        <n v="362"/>
        <n v="1252"/>
        <n v="1253"/>
        <n v="1667"/>
        <n v="1256"/>
        <n v="604"/>
        <n v="1255"/>
        <n v="1257"/>
        <n v="1254"/>
        <n v="1258"/>
        <n v="1770"/>
        <n v="363"/>
        <n v="608"/>
        <n v="606"/>
        <n v="605"/>
        <n v="1259"/>
        <n v="607"/>
        <n v="364"/>
        <n v="609"/>
        <n v="610"/>
        <n v="1771"/>
        <n v="1904"/>
        <n v="1600"/>
        <n v="614"/>
        <n v="1261"/>
        <n v="880"/>
        <n v="611"/>
        <n v="615"/>
        <n v="616"/>
        <n v="617"/>
        <n v="613"/>
        <n v="1265"/>
        <n v="1260"/>
        <n v="881"/>
        <n v="366"/>
        <n v="612"/>
        <n v="1263"/>
        <n v="1266"/>
        <n v="365"/>
        <n v="1262"/>
        <n v="1264"/>
        <n v="1267"/>
        <n v="367"/>
        <n v="618"/>
        <n v="1268"/>
        <n v="1269"/>
        <n v="1270"/>
        <n v="1271"/>
        <n v="882"/>
        <n v="368"/>
        <n v="883"/>
        <n v="1696"/>
        <n v="1398"/>
        <n v="1279"/>
        <n v="619"/>
        <n v="1275"/>
        <n v="1274"/>
        <n v="369"/>
        <n v="1277"/>
        <n v="1273"/>
        <n v="1276"/>
        <n v="371"/>
        <n v="372"/>
        <n v="1272"/>
        <n v="1278"/>
        <n v="255"/>
        <n v="256"/>
        <n v="370"/>
        <n v="1772"/>
        <n v="1905"/>
        <n v="373"/>
        <n v="1280"/>
        <n v="621"/>
        <n v="620"/>
        <n v="1281"/>
        <n v="1282"/>
        <n v="1906"/>
        <n v="1648"/>
        <n v="1649"/>
        <n v="376"/>
        <n v="374"/>
        <n v="884"/>
        <n v="1283"/>
        <n v="1773"/>
        <n v="622"/>
        <n v="623"/>
        <n v="375"/>
        <n v="1284"/>
        <n v="377"/>
        <n v="624"/>
        <n v="1285"/>
        <n v="1289"/>
        <n v="1292"/>
        <n v="625"/>
        <n v="1288"/>
        <n v="1286"/>
        <n v="1290"/>
        <n v="1291"/>
        <n v="1287"/>
        <n v="626"/>
        <n v="1294"/>
        <n v="1907"/>
        <n v="1293"/>
        <n v="257"/>
        <n v="627"/>
        <n v="1774"/>
        <n v="1295"/>
        <n v="628"/>
        <n v="378"/>
        <n v="1297"/>
        <n v="1296"/>
        <n v="1298"/>
        <n v="1301"/>
        <n v="629"/>
        <n v="1300"/>
        <n v="1299"/>
        <n v="1908"/>
        <n v="1302"/>
        <n v="1723"/>
        <n v="631"/>
        <n v="1775"/>
        <n v="632"/>
        <n v="633"/>
        <n v="1305"/>
        <n v="1307"/>
        <n v="1310"/>
        <n v="630"/>
        <n v="1303"/>
        <n v="1304"/>
        <n v="1306"/>
        <n v="1308"/>
        <n v="1311"/>
        <n v="1312"/>
        <n v="1309"/>
        <n v="379"/>
        <n v="1313"/>
        <n v="885"/>
        <n v="1314"/>
        <n v="1776"/>
        <n v="634"/>
        <n v="1724"/>
        <n v="886"/>
        <n v="635"/>
        <n v="1315"/>
        <n v="1316"/>
        <n v="1668"/>
        <n v="380"/>
        <n v="381"/>
        <n v="1318"/>
        <n v="1317"/>
        <n v="258"/>
        <n v="1319"/>
        <n v="1778"/>
        <n v="1323"/>
        <n v="1725"/>
        <n v="639"/>
        <n v="636"/>
        <n v="1777"/>
        <n v="120"/>
        <n v="1399"/>
        <n v="1320"/>
        <n v="637"/>
        <n v="1321"/>
        <n v="1322"/>
        <n v="638"/>
        <n v="382"/>
        <n v="640"/>
        <n v="1324"/>
        <n v="383"/>
        <n v="1726"/>
        <n v="384"/>
        <n v="1909"/>
        <n v="641"/>
        <n v="1325"/>
        <n v="642"/>
        <n v="1327"/>
        <n v="1326"/>
        <n v="1910"/>
        <n v="1650"/>
        <n v="259"/>
        <n v="386"/>
        <n v="385"/>
        <n v="887"/>
        <n v="644"/>
        <n v="1329"/>
        <n v="1330"/>
        <n v="1331"/>
        <n v="643"/>
        <n v="1328"/>
        <n v="1332"/>
        <n v="645"/>
        <n v="1333"/>
        <n v="888"/>
        <n v="1335"/>
        <n v="387"/>
        <n v="1334"/>
        <n v="1651"/>
        <n v="389"/>
        <n v="1779"/>
        <n v="1336"/>
        <n v="388"/>
        <n v="1669"/>
        <n v="889"/>
        <n v="1727"/>
        <n v="646"/>
        <n v="1337"/>
        <n v="390"/>
        <n v="391"/>
        <n v="1338"/>
        <n v="647"/>
        <n v="1780"/>
        <n v="1341"/>
        <n v="648"/>
        <n v="890"/>
        <n v="891"/>
        <n v="1343"/>
        <n v="649"/>
        <n v="1342"/>
        <n v="1339"/>
        <n v="1340"/>
        <n v="1652"/>
        <n v="1344"/>
        <n v="650"/>
        <n v="892"/>
        <n v="1345"/>
        <n v="651"/>
        <n v="1670"/>
        <n v="393"/>
        <n v="652"/>
        <n v="392"/>
        <n v="1346"/>
        <n v="1911"/>
        <n v="1353"/>
        <n v="394"/>
        <n v="1781"/>
        <n v="654"/>
        <n v="1"/>
        <n v="656"/>
        <n v="1347"/>
        <n v="1348"/>
        <n v="1351"/>
        <n v="1350"/>
        <n v="655"/>
        <n v="1349"/>
        <n v="1352"/>
        <n v="653"/>
        <n v="395"/>
        <n v="396"/>
        <n v="1355"/>
        <n v="1354"/>
        <n v="657"/>
        <n v="1356"/>
        <n v="894"/>
        <n v="1359"/>
        <n v="398"/>
        <n v="397"/>
        <n v="658"/>
        <n v="893"/>
        <n v="895"/>
        <n v="260"/>
        <n v="1728"/>
        <n v="1400"/>
        <n v="1360"/>
        <n v="1358"/>
        <n v="1357"/>
        <n v="261"/>
        <n v="659"/>
        <n v="1729"/>
        <n v="660"/>
        <n v="1782"/>
        <n v="1361"/>
        <n v="1783"/>
        <n v="399"/>
        <n v="896"/>
        <n v="1363"/>
        <n v="1362"/>
        <n v="400"/>
        <n v="661"/>
        <n v="662"/>
        <n v="897"/>
        <n v="1784"/>
        <n v="404"/>
        <n v="402"/>
        <n v="401"/>
        <n v="403"/>
        <n v="898"/>
        <n v="899"/>
        <n v="900"/>
        <n v="665"/>
        <n v="663"/>
        <n v="664"/>
        <n v="1364"/>
        <n v="1671"/>
        <n v="1672"/>
        <n v="666"/>
        <n v="1653"/>
        <n v="1731"/>
        <n v="668"/>
        <n v="667"/>
        <n v="669"/>
        <n v="1785"/>
        <n v="1730"/>
        <n v="1365"/>
        <n v="670"/>
        <n v="1786"/>
        <n v="1366"/>
        <n v="671"/>
        <n v="1367"/>
        <n v="1787"/>
        <n v="1368"/>
        <n v="1673"/>
        <n v="672"/>
        <n v="1697"/>
        <n v="405"/>
        <n v="1370"/>
        <n v="1369"/>
        <n v="1371"/>
        <n v="1732"/>
        <n v="902"/>
        <n v="901"/>
        <n v="674"/>
        <n v="673"/>
        <n v="675"/>
        <n v="262"/>
        <n v="406"/>
        <n v="1912"/>
        <n v="903"/>
        <n v="1788"/>
        <n v="1913"/>
        <n v="407"/>
        <n v="1372"/>
        <n v="1674"/>
        <n v="1914"/>
        <n v="905"/>
        <n v="409"/>
        <n v="906"/>
        <n v="676"/>
        <n v="904"/>
        <n v="1401"/>
        <n v="907"/>
        <n v="408"/>
        <n v="1374"/>
        <n v="677"/>
        <n v="1373"/>
        <n v="1375"/>
        <n v="908"/>
        <n v="909"/>
        <n v="1789"/>
        <n v="678"/>
        <n v="1654"/>
        <n v="910"/>
        <n v="679"/>
        <n v="680"/>
        <n v="1376"/>
        <n v="1377"/>
        <n v="410"/>
        <n v="681"/>
        <n v="911"/>
        <n v="1402"/>
        <n v="2"/>
        <n v="1698"/>
        <n v="1378"/>
        <n v="1403"/>
        <n v="912"/>
        <n v="1790"/>
        <n v="1380"/>
        <n v="682"/>
        <n v="683"/>
        <n v="1379"/>
        <n v="1381"/>
        <n v="913"/>
        <n v="1922"/>
        <n v="684"/>
        <n v="1791"/>
        <n v="685"/>
        <n v="914"/>
        <n v="1733"/>
        <n v="3"/>
        <n v="1792"/>
        <n v="1655"/>
        <n v="1382"/>
        <n v="686"/>
        <n v="1915"/>
        <n v="687"/>
        <n v="1383"/>
        <n v="1384"/>
        <n v="915"/>
        <n v="688"/>
        <n v="411"/>
        <n v="1385"/>
        <n v="689"/>
        <n v="1793"/>
        <n v="412"/>
        <n v="1734"/>
        <n v="693"/>
        <n v="690"/>
        <n v="916"/>
        <n v="692"/>
        <n v="691"/>
        <n v="1735"/>
        <n v="783"/>
        <n v="1386"/>
        <n v="799"/>
        <n v="413"/>
        <n v="1387"/>
        <n v="694"/>
        <n v="695"/>
        <n v="1388"/>
        <n v="698"/>
        <n v="696"/>
        <n v="917"/>
        <n v="1795"/>
        <n v="1794"/>
        <n v="784"/>
        <n v="697"/>
        <n v="918"/>
        <n v="699"/>
        <n v="1389"/>
        <n v="700"/>
        <n v="1736"/>
        <n v="701"/>
        <n v="702"/>
        <n v="1796"/>
        <n v="703"/>
        <n v="919"/>
        <n v="920"/>
        <n v="121"/>
        <n v="704"/>
        <n v="1916"/>
        <n v="414"/>
        <n v="705"/>
        <n v="1797"/>
        <n v="921"/>
        <n v="922"/>
        <n v="706"/>
        <n v="1675"/>
        <n v="707"/>
        <n v="708"/>
        <n v="1404"/>
        <n v="709"/>
        <n v="923"/>
        <n v="924"/>
        <n v="710"/>
        <n v="1676"/>
        <n v="713"/>
        <n v="711"/>
        <n v="712"/>
        <n v="714"/>
        <n v="415"/>
        <n v="416"/>
        <n v="715"/>
        <n v="925"/>
        <n v="1406"/>
        <n v="1407"/>
        <n v="716"/>
        <n v="1405"/>
        <n v="1677"/>
        <n v="926"/>
        <n v="720"/>
        <n v="717"/>
        <n v="719"/>
        <n v="718"/>
        <n v="4"/>
        <n v="5"/>
        <n v="721"/>
        <n v="722"/>
        <n v="723"/>
        <n v="724"/>
        <n v="1390"/>
        <n v="928"/>
        <n v="725"/>
        <n v="927"/>
        <n v="800"/>
        <n v="122"/>
        <n v="417"/>
        <n v="1798"/>
        <n v="1917"/>
        <n v="726"/>
        <n v="1923"/>
        <n v="1737"/>
        <n v="929"/>
        <n v="930"/>
        <n v="1391"/>
        <n v="1392"/>
        <n v="727"/>
        <n v="1799"/>
        <n v="728"/>
        <n v="785"/>
        <n v="1393"/>
        <n v="729"/>
        <n v="1924"/>
        <n v="786"/>
        <n v="1408"/>
        <n v="787"/>
        <n v="931"/>
        <n v="418"/>
        <n v="731"/>
        <n v="730"/>
        <n v="932"/>
        <n v="801"/>
        <n v="802"/>
        <n v="732"/>
        <n v="733"/>
        <n v="933"/>
        <n v="1409"/>
        <n v="1801"/>
        <n v="1800"/>
        <n v="734"/>
        <n v="1802"/>
        <n v="1394"/>
        <n v="934"/>
        <n v="735"/>
        <n v="736"/>
        <n v="1571"/>
        <n v="803"/>
        <n v="6"/>
        <n v="1583"/>
        <n v="1678"/>
        <n v="1411"/>
        <n v="1410"/>
        <n v="1803"/>
        <n v="804"/>
        <n v="737"/>
        <n v="7"/>
        <n v="419"/>
        <n v="805"/>
        <n v="1413"/>
        <n v="935"/>
        <n v="10"/>
        <n v="788"/>
        <n v="9"/>
        <n v="8"/>
        <n v="1412"/>
        <n v="738"/>
        <n v="937"/>
        <n v="936"/>
        <n v="1804"/>
        <n v="1805"/>
        <n v="1806"/>
        <n v="11"/>
        <n v="123"/>
        <n v="12"/>
        <n v="420"/>
        <n v="739"/>
        <n v="14"/>
        <n v="13"/>
        <n v="1679"/>
        <n v="1680"/>
        <n v="124"/>
        <n v="806"/>
        <n v="740"/>
        <n v="1681"/>
        <n v="1807"/>
        <n v="15"/>
        <n v="125"/>
        <n v="126"/>
        <n v="16"/>
        <n v="1808"/>
        <n v="741"/>
        <n v="421"/>
        <n v="1414"/>
        <n v="789"/>
        <n v="1809"/>
        <n v="19"/>
        <n v="18"/>
        <n v="17"/>
        <n v="127"/>
        <n v="422"/>
        <n v="742"/>
        <n v="807"/>
        <n v="743"/>
        <n v="939"/>
        <n v="938"/>
        <n v="1584"/>
        <n v="808"/>
        <n v="940"/>
        <n v="1810"/>
        <n v="1572"/>
        <n v="942"/>
        <n v="809"/>
        <n v="941"/>
        <n v="20"/>
        <n v="21"/>
        <n v="423"/>
        <n v="790"/>
        <n v="1811"/>
        <n v="1682"/>
        <n v="1415"/>
        <n v="810"/>
        <n v="1918"/>
        <n v="943"/>
        <n v="944"/>
        <n v="22"/>
        <n v="1683"/>
        <n v="1416"/>
        <n v="23"/>
        <n v="1684"/>
        <n v="945"/>
        <n v="811"/>
        <n v="24"/>
        <n v="1812"/>
        <n v="25"/>
        <n v="424"/>
        <n v="1813"/>
        <n v="1555"/>
        <n v="946"/>
        <n v="947"/>
        <n v="812"/>
        <n v="128"/>
        <n v="813"/>
        <n v="814"/>
        <n v="27"/>
        <n v="948"/>
        <n v="26"/>
        <n v="1814"/>
        <n v="1925"/>
        <n v="744"/>
        <n v="949"/>
        <n v="745"/>
        <n v="1815"/>
        <n v="1685"/>
        <n v="1816"/>
        <n v="746"/>
        <n v="129"/>
        <n v="1556"/>
        <n v="747"/>
        <n v="1686"/>
        <n v="815"/>
        <n v="1557"/>
        <n v="950"/>
        <n v="748"/>
        <n v="816"/>
        <n v="1418"/>
        <n v="1817"/>
        <n v="29"/>
        <n v="951"/>
        <n v="1417"/>
        <n v="30"/>
        <n v="1687"/>
        <n v="1420"/>
        <n v="28"/>
        <n v="1419"/>
        <n v="1818"/>
        <n v="1819"/>
        <n v="130"/>
        <n v="31"/>
        <n v="1688"/>
        <n v="1926"/>
        <n v="131"/>
        <n v="1421"/>
        <n v="1738"/>
        <n v="32"/>
        <n v="952"/>
        <n v="749"/>
        <n v="425"/>
        <n v="954"/>
        <n v="955"/>
        <n v="953"/>
        <n v="33"/>
        <n v="956"/>
        <n v="1558"/>
        <n v="750"/>
        <n v="1739"/>
        <n v="1820"/>
        <n v="1559"/>
        <n v="1560"/>
        <n v="751"/>
        <n v="791"/>
        <n v="755"/>
        <n v="752"/>
        <n v="754"/>
        <n v="1423"/>
        <n v="753"/>
        <n v="1561"/>
        <n v="792"/>
        <n v="1740"/>
        <n v="1821"/>
        <n v="1822"/>
        <n v="1823"/>
        <n v="132"/>
        <n v="1422"/>
        <n v="34"/>
        <n v="1562"/>
        <n v="36"/>
        <n v="35"/>
        <n v="1563"/>
        <n v="1424"/>
        <n v="756"/>
        <n v="1824"/>
        <n v="768"/>
        <n v="1927"/>
        <n v="37"/>
        <n v="957"/>
        <n v="958"/>
        <n v="38"/>
        <n v="1825"/>
        <n v="39"/>
        <n v="133"/>
        <n v="959"/>
        <n v="1425"/>
        <n v="757"/>
        <n v="1826"/>
        <n v="817"/>
        <n v="40"/>
        <n v="758"/>
        <n v="1427"/>
        <n v="818"/>
        <n v="960"/>
        <n v="1827"/>
        <n v="41"/>
        <n v="42"/>
        <n v="1426"/>
        <n v="961"/>
        <n v="819"/>
        <n v="962"/>
        <n v="759"/>
        <n v="760"/>
        <n v="1564"/>
        <n v="1741"/>
        <n v="43"/>
        <n v="1428"/>
        <n v="1565"/>
        <n v="1828"/>
        <n v="793"/>
        <n v="761"/>
        <n v="762"/>
        <n v="1566"/>
        <n v="1742"/>
        <n v="1573"/>
        <n v="963"/>
        <n v="1567"/>
        <n v="1829"/>
        <n v="1830"/>
        <n v="1831"/>
        <n v="44"/>
        <n v="45"/>
        <n v="134"/>
        <n v="1928"/>
        <n v="1832"/>
        <n v="46"/>
        <n v="820"/>
        <n v="1568"/>
        <n v="1834"/>
        <n v="1833"/>
        <n v="47"/>
        <n v="763"/>
        <n v="1835"/>
        <n v="1836"/>
        <n v="1743"/>
        <n v="1585"/>
        <n v="1429"/>
        <n v="1837"/>
        <n v="1929"/>
        <n v="263"/>
        <n v="1838"/>
        <n v="964"/>
        <n v="1919"/>
        <n v="1930"/>
        <n v="48"/>
        <n v="764"/>
        <n v="1744"/>
        <n v="1839"/>
        <n v="1931"/>
        <n v="769"/>
        <n v="49"/>
        <n v="765"/>
        <n v="1430"/>
        <n v="1745"/>
        <n v="135"/>
        <n v="1840"/>
        <n v="50"/>
        <n v="822"/>
        <n v="1431"/>
        <n v="1841"/>
        <n v="1842"/>
        <n v="51"/>
        <n v="52"/>
        <n v="1843"/>
        <n v="1844"/>
        <n v="136"/>
        <n v="1746"/>
        <n v="1845"/>
        <n v="53"/>
        <n v="54"/>
        <n v="1432"/>
        <n v="55"/>
        <n v="1846"/>
        <n v="1847"/>
        <n v="1436"/>
        <n v="1434"/>
        <n v="1435"/>
        <n v="1433"/>
        <n v="1747"/>
        <n v="1437"/>
        <n v="794"/>
        <n v="1748"/>
        <n v="137"/>
        <n v="1848"/>
        <n v="823"/>
        <n v="1438"/>
        <n v="1849"/>
        <n v="264"/>
        <n v="1689"/>
        <n v="56"/>
        <n v="57"/>
        <n v="1439"/>
        <n v="138"/>
        <n v="1440"/>
        <n v="1749"/>
        <n v="766"/>
        <n v="767"/>
        <n v="1441"/>
        <n v="1442"/>
        <n v="1443"/>
        <n v="58"/>
        <n v="59"/>
        <n v="60"/>
        <n v="61"/>
        <n v="1850"/>
        <n v="62"/>
        <n v="1445"/>
        <n v="1446"/>
        <n v="1448"/>
        <n v="64"/>
        <n v="1447"/>
        <n v="63"/>
        <n v="1444"/>
        <n v="795"/>
        <n v="65"/>
        <n v="66"/>
        <n v="1449"/>
        <n v="824"/>
        <n v="1574"/>
        <n v="1450"/>
        <n v="1690"/>
        <n v="965"/>
        <n v="1851"/>
        <n v="68"/>
        <n v="139"/>
        <n v="67"/>
        <n v="770"/>
        <n v="69"/>
        <n v="1852"/>
        <n v="70"/>
        <n v="140"/>
        <n v="141"/>
        <n v="71"/>
        <n v="72"/>
        <n v="1451"/>
        <n v="1452"/>
        <n v="1453"/>
        <n v="143"/>
        <n v="144"/>
        <n v="142"/>
        <n v="1454"/>
        <n v="1455"/>
        <n v="1853"/>
        <n v="73"/>
        <n v="145"/>
        <n v="1456"/>
        <n v="796"/>
        <n v="771"/>
        <n v="1854"/>
        <n v="1855"/>
        <n v="1457"/>
        <n v="1856"/>
        <n v="1857"/>
        <n v="966"/>
        <n v="146"/>
        <n v="967"/>
        <n v="968"/>
        <n v="147"/>
        <n v="1458"/>
        <n v="825"/>
        <n v="148"/>
        <n v="1858"/>
        <n v="74"/>
        <n v="1459"/>
        <n v="1859"/>
        <n v="1860"/>
        <n v="149"/>
        <n v="150"/>
        <n v="1861"/>
        <n v="1862"/>
        <n v="1461"/>
        <n v="1460"/>
        <n v="772"/>
        <n v="75"/>
        <n v="78"/>
        <n v="80"/>
        <n v="79"/>
        <n v="1863"/>
        <n v="76"/>
        <n v="151"/>
        <n v="77"/>
        <n v="83"/>
        <n v="82"/>
        <n v="797"/>
        <n v="152"/>
        <n v="81"/>
        <n v="821"/>
        <n v="1864"/>
        <n v="1920"/>
        <n v="153"/>
        <n v="154"/>
        <n v="1865"/>
        <n v="84"/>
        <n v="155"/>
        <n v="85"/>
        <n v="86"/>
        <n v="1866"/>
        <n v="1463"/>
        <n v="1867"/>
        <n v="1462"/>
        <n v="87"/>
        <n v="156"/>
        <n v="773"/>
        <n v="1691"/>
        <n v="1693"/>
        <n v="1692"/>
        <n v="1868"/>
        <n v="826"/>
        <n v="1575"/>
        <n v="1464"/>
        <n v="1465"/>
        <n v="1869"/>
        <n v="1870"/>
        <n v="157"/>
        <n v="88"/>
        <n v="265"/>
        <n v="1871"/>
        <n v="774"/>
        <n v="1577"/>
        <n v="1576"/>
        <n v="158"/>
        <n v="266"/>
        <n v="89"/>
        <n v="1694"/>
        <n v="1872"/>
        <n v="1921"/>
        <n v="1466"/>
        <n v="1468"/>
        <n v="160"/>
        <n v="91"/>
        <n v="159"/>
        <n v="90"/>
        <n v="1467"/>
        <n v="1695"/>
        <n v="827"/>
        <n v="92"/>
        <n v="267"/>
        <n v="268"/>
        <n v="1873"/>
        <n v="1874"/>
        <n v="93"/>
        <n v="1469"/>
        <n v="828"/>
        <n v="1470"/>
        <n v="1569"/>
        <n v="1601"/>
        <n v="1875"/>
        <n v="1578"/>
        <n v="1876"/>
        <n v="829"/>
        <n v="775"/>
        <n v="269"/>
        <n v="161"/>
        <n v="94"/>
        <n v="162"/>
        <n v="95"/>
        <n v="1471"/>
        <n v="776"/>
        <n v="96"/>
        <n v="1877"/>
        <n v="163"/>
        <n v="164"/>
        <n v="270"/>
        <n v="830"/>
        <n v="165"/>
        <n v="166"/>
        <n v="1472"/>
        <n v="1579"/>
        <n v="271"/>
        <n v="831"/>
        <n v="167"/>
        <n v="1580"/>
        <n v="97"/>
        <n v="1473"/>
        <n v="852"/>
        <n v="777"/>
        <n v="1932"/>
        <n v="1474"/>
        <n v="1570"/>
        <n v="272"/>
        <n v="168"/>
        <n v="832"/>
        <n v="98"/>
        <n v="1475"/>
        <n v="1476"/>
        <n v="273"/>
        <n v="169"/>
        <n v="1479"/>
        <n v="170"/>
        <n v="99"/>
        <n v="1477"/>
        <n v="1478"/>
        <n v="100"/>
        <n v="1933"/>
        <n v="1480"/>
        <n v="171"/>
        <n v="1483"/>
        <n v="833"/>
        <n v="1482"/>
        <n v="778"/>
        <n v="101"/>
        <n v="1484"/>
        <n v="1485"/>
        <n v="1481"/>
        <n v="103"/>
        <n v="102"/>
        <n v="1486"/>
        <n v="172"/>
        <n v="173"/>
        <n v="1487"/>
        <n v="174"/>
        <n v="1878"/>
        <n v="175"/>
        <n v="779"/>
        <n v="104"/>
        <n v="853"/>
        <n v="854"/>
        <n v="176"/>
        <n v="1934"/>
        <n v="177"/>
        <n v="834"/>
        <n v="178"/>
        <n v="105"/>
        <n v="179"/>
        <n v="181"/>
        <n v="180"/>
        <n v="1488"/>
        <n v="1490"/>
        <n v="182"/>
        <n v="1489"/>
        <n v="835"/>
        <n v="1491"/>
        <n v="780"/>
        <n v="183"/>
        <n v="184"/>
        <n v="1492"/>
        <n v="855"/>
        <n v="185"/>
        <n v="186"/>
        <n v="1493"/>
        <n v="106"/>
        <n v="107"/>
        <n v="187"/>
        <n v="836"/>
        <n v="1494"/>
        <n v="1495"/>
        <n v="1496"/>
        <n v="837"/>
        <n v="1497"/>
        <n v="188"/>
        <n v="189"/>
        <n v="108"/>
        <n v="856"/>
        <n v="781"/>
        <n v="1498"/>
        <n v="1499"/>
        <n v="1581"/>
        <n v="109"/>
        <n v="1500"/>
        <n v="190"/>
        <n v="1501"/>
        <n v="191"/>
        <n v="110"/>
        <n v="1603"/>
        <n v="1602"/>
        <n v="838"/>
        <n v="1503"/>
        <n v="1502"/>
        <n v="1504"/>
        <n v="192"/>
        <n v="1506"/>
        <n v="111"/>
        <n v="112"/>
        <n v="193"/>
        <n v="1505"/>
        <n v="194"/>
        <n v="113"/>
        <n v="1507"/>
        <n v="195"/>
        <n v="782"/>
        <n v="1935"/>
        <n v="114"/>
        <n v="1508"/>
        <n v="115"/>
        <n v="1509"/>
        <n v="839"/>
        <n v="840"/>
        <n v="1510"/>
        <n v="196"/>
        <n v="1511"/>
        <n v="197"/>
        <n v="841"/>
        <n v="1936"/>
        <n v="198"/>
        <n v="842"/>
        <n v="1512"/>
        <n v="1513"/>
        <n v="199"/>
        <n v="798"/>
        <n v="1514"/>
        <n v="200"/>
        <n v="1515"/>
        <n v="1516"/>
        <n v="201"/>
        <n v="1517"/>
        <n v="843"/>
        <n v="844"/>
        <n v="1521"/>
        <n v="1520"/>
        <n v="1519"/>
        <n v="1518"/>
        <n v="1522"/>
        <n v="202"/>
        <n v="116"/>
        <n v="1523"/>
        <n v="203"/>
        <n v="1524"/>
        <n v="1525"/>
        <n v="845"/>
        <n v="204"/>
        <n v="1526"/>
        <n v="1527"/>
        <n v="1529"/>
        <n v="846"/>
        <n v="1528"/>
        <n v="1530"/>
        <n v="117"/>
        <n v="1531"/>
        <n v="847"/>
        <n v="1532"/>
        <n v="1533"/>
        <n v="1534"/>
        <n v="1535"/>
        <n v="1537"/>
        <n v="1604"/>
        <n v="1536"/>
        <n v="205"/>
        <n v="1538"/>
        <n v="1539"/>
        <n v="274"/>
        <n v="275"/>
        <n v="1540"/>
        <n v="1541"/>
        <n v="1542"/>
        <n v="206"/>
        <n v="1937"/>
        <n v="1543"/>
        <n v="1544"/>
        <n v="207"/>
        <n v="1545"/>
        <n v="1606"/>
        <n v="1395"/>
        <n v="1605"/>
        <n v="1607"/>
        <n v="1546"/>
        <n v="1608"/>
        <n v="1547"/>
        <n v="118"/>
        <n v="1609"/>
        <n v="119"/>
        <n v="208"/>
        <n v="1610"/>
        <n v="1879"/>
        <n v="1548"/>
        <n v="848"/>
        <n v="209"/>
        <n v="1549"/>
        <n v="1550"/>
        <n v="1551"/>
        <n v="1611"/>
        <n v="1612"/>
        <n v="1656"/>
        <n v="1553"/>
        <n v="1552"/>
        <n v="849"/>
        <n v="1554"/>
        <n v="1657"/>
        <n v="1658"/>
        <n v="850"/>
        <n v="851"/>
        <n v="225"/>
      </sharedItems>
    </cacheField>
    <cacheField name="Price INR   " numFmtId="165">
      <sharedItems containsSemiMixedTypes="0" containsString="0" containsNumber="1" containsInteger="1" minValue="49000" maxValue="35000000"/>
    </cacheField>
    <cacheField name="Price EUR" numFmtId="164">
      <sharedItems containsSemiMixedTypes="0" containsString="0" containsNumber="1" minValue="539" maxValue="385000" count="598">
        <n v="539"/>
        <n v="1264.989"/>
        <n v="1320"/>
        <n v="1430"/>
        <n v="1485"/>
        <n v="1540"/>
        <n v="1551"/>
        <n v="1595"/>
        <n v="1650"/>
        <n v="1705"/>
        <n v="1760"/>
        <n v="1815"/>
        <n v="1859"/>
        <n v="1870"/>
        <n v="1925"/>
        <n v="1958"/>
        <n v="1979.9999999999998"/>
        <n v="2034.9999999999998"/>
        <n v="2079"/>
        <n v="2090"/>
        <n v="2145"/>
        <n v="2178"/>
        <n v="2189"/>
        <n v="2200"/>
        <n v="2310"/>
        <n v="2365"/>
        <n v="2398"/>
        <n v="2420"/>
        <n v="2475"/>
        <n v="2497"/>
        <n v="2529.989"/>
        <n v="2574"/>
        <n v="2585"/>
        <n v="2640"/>
        <n v="2695"/>
        <n v="2739"/>
        <n v="2750"/>
        <n v="2760.989"/>
        <n v="2804.989"/>
        <n v="2860"/>
        <n v="2915"/>
        <n v="2959"/>
        <n v="2970"/>
        <n v="3025"/>
        <n v="3080"/>
        <n v="3135"/>
        <n v="3146"/>
        <n v="3179"/>
        <n v="3190"/>
        <n v="3245"/>
        <n v="3267"/>
        <n v="3289"/>
        <n v="3300"/>
        <n v="3311"/>
        <n v="3355"/>
        <n v="3410"/>
        <n v="3465"/>
        <n v="3509"/>
        <n v="3520"/>
        <n v="3575"/>
        <n v="3608"/>
        <n v="3619"/>
        <n v="3630"/>
        <n v="3685"/>
        <n v="3740"/>
        <n v="3751"/>
        <n v="3795"/>
        <n v="3850"/>
        <n v="3861"/>
        <n v="3905"/>
        <n v="3959.9999999999995"/>
        <n v="4014.9999999999995"/>
        <n v="4058.9999999999995"/>
        <n v="4069.9999999999995"/>
        <n v="4125"/>
        <n v="4169"/>
        <n v="4180"/>
        <n v="4235"/>
        <n v="4290"/>
        <n v="4301"/>
        <n v="4345"/>
        <n v="4389"/>
        <n v="4400"/>
        <n v="4455"/>
        <n v="4499"/>
        <n v="4509.9889999999996"/>
        <n v="4532"/>
        <n v="4565"/>
        <n v="4576"/>
        <n v="4609"/>
        <n v="4620"/>
        <n v="4631"/>
        <n v="4642"/>
        <n v="4675"/>
        <n v="4696.9889999999996"/>
        <n v="4730"/>
        <n v="4774"/>
        <n v="4784.9889999999996"/>
        <n v="4796"/>
        <n v="4840"/>
        <n v="4895"/>
        <n v="4939"/>
        <n v="4950"/>
        <n v="4961"/>
        <n v="5005"/>
        <n v="5059.9889999999996"/>
        <n v="5115"/>
        <n v="5170"/>
        <n v="5225"/>
        <n v="5280"/>
        <n v="5334.9889999999996"/>
        <n v="5390"/>
        <n v="5423"/>
        <n v="5445"/>
        <n v="5489"/>
        <n v="5500"/>
        <n v="5555"/>
        <n v="5609.9889999999996"/>
        <n v="5621"/>
        <n v="5665"/>
        <n v="5720"/>
        <n v="5731"/>
        <n v="5775"/>
        <n v="5819"/>
        <n v="5830"/>
        <n v="5885"/>
        <n v="5940"/>
        <n v="5995"/>
        <n v="6017"/>
        <n v="6039"/>
        <n v="6050"/>
        <n v="6061"/>
        <n v="6105"/>
        <n v="6160"/>
        <n v="6171"/>
        <n v="6215"/>
        <n v="6259"/>
        <n v="6270"/>
        <n v="6325"/>
        <n v="6369"/>
        <n v="6380"/>
        <n v="6435"/>
        <n v="6479"/>
        <n v="6490"/>
        <n v="6501"/>
        <n v="6545"/>
        <n v="6578"/>
        <n v="6589"/>
        <n v="6600"/>
        <n v="6655"/>
        <n v="6699"/>
        <n v="6710"/>
        <n v="6721"/>
        <n v="6765"/>
        <n v="6820"/>
        <n v="6831"/>
        <n v="6875"/>
        <n v="6908"/>
        <n v="6930"/>
        <n v="6985"/>
        <n v="6996"/>
        <n v="7029"/>
        <n v="7040"/>
        <n v="7062"/>
        <n v="7095"/>
        <n v="7139"/>
        <n v="7150"/>
        <n v="7205"/>
        <n v="7260"/>
        <n v="7271"/>
        <n v="7315"/>
        <n v="7359"/>
        <n v="7381"/>
        <n v="7425"/>
        <n v="7480"/>
        <n v="7535"/>
        <n v="7590"/>
        <n v="7601"/>
        <n v="7645"/>
        <n v="7689"/>
        <n v="7700"/>
        <n v="7810"/>
        <n v="7821"/>
        <n v="7864.9999999999991"/>
        <n v="7919.9999999999991"/>
        <n v="7930.9999999999991"/>
        <n v="7974.9999999999991"/>
        <n v="8029.9999999999991"/>
        <n v="8084.9999999999991"/>
        <n v="8139.9999999999991"/>
        <n v="8150.9999999999991"/>
        <n v="8195"/>
        <n v="8239"/>
        <n v="8250"/>
        <n v="8305"/>
        <n v="8360"/>
        <n v="8371"/>
        <n v="8415"/>
        <n v="8470"/>
        <n v="8525"/>
        <n v="8569"/>
        <n v="8580"/>
        <n v="8635"/>
        <n v="8679"/>
        <n v="8690"/>
        <n v="8745"/>
        <n v="8789"/>
        <n v="8800"/>
        <n v="8811"/>
        <n v="8910"/>
        <n v="8921"/>
        <n v="8931.9889999999996"/>
        <n v="9019.9889999999996"/>
        <n v="9053"/>
        <n v="9075"/>
        <n v="9185"/>
        <n v="9240"/>
        <n v="9294.9889999999996"/>
        <n v="9339"/>
        <n v="9350"/>
        <n v="9405"/>
        <n v="9460"/>
        <n v="9515"/>
        <n v="9559"/>
        <n v="9569.9889999999996"/>
        <n v="9581"/>
        <n v="9625"/>
        <n v="9680"/>
        <n v="9735"/>
        <n v="9790"/>
        <n v="9801"/>
        <n v="9844.9889999999996"/>
        <n v="9889"/>
        <n v="9900"/>
        <n v="10010"/>
        <n v="10175"/>
        <n v="10285"/>
        <n v="10340"/>
        <n v="10394.989"/>
        <n v="10439"/>
        <n v="10450"/>
        <n v="10461"/>
        <n v="10505"/>
        <n v="10560"/>
        <n v="10615"/>
        <n v="10669.989"/>
        <n v="10725"/>
        <n v="10780"/>
        <n v="10835"/>
        <n v="10890"/>
        <n v="10944.989"/>
        <n v="10989"/>
        <n v="11000"/>
        <n v="11121"/>
        <n v="11165"/>
        <n v="11275"/>
        <n v="11385"/>
        <n v="11440"/>
        <n v="11494.989"/>
        <n v="11550"/>
        <n v="11605"/>
        <n v="11660"/>
        <n v="11693"/>
        <n v="11770"/>
        <n v="11814"/>
        <n v="11825"/>
        <n v="11880"/>
        <n v="11935"/>
        <n v="11990"/>
        <n v="12045"/>
        <n v="12067"/>
        <n v="12089"/>
        <n v="12100"/>
        <n v="12265"/>
        <n v="12331"/>
        <n v="12353"/>
        <n v="12375"/>
        <n v="12430"/>
        <n v="12518"/>
        <n v="12639"/>
        <n v="12650"/>
        <n v="12760"/>
        <n v="12815"/>
        <n v="12925"/>
        <n v="12980"/>
        <n v="13035"/>
        <n v="13090"/>
        <n v="13145"/>
        <n v="13189"/>
        <n v="13200"/>
        <n v="13420"/>
        <n v="13431"/>
        <n v="13475"/>
        <n v="13640"/>
        <n v="13695"/>
        <n v="13750"/>
        <n v="13761"/>
        <n v="13805"/>
        <n v="13860"/>
        <n v="13970"/>
        <n v="14025"/>
        <n v="14190"/>
        <n v="14245"/>
        <n v="14289"/>
        <n v="14300"/>
        <n v="14531"/>
        <n v="14575"/>
        <n v="14740"/>
        <n v="14850"/>
        <n v="15125"/>
        <n v="15180"/>
        <n v="15290"/>
        <n v="15345"/>
        <n v="15389"/>
        <n v="15400"/>
        <n v="15620"/>
        <n v="15631"/>
        <n v="15675"/>
        <n v="15949.999999999998"/>
        <n v="16114.999999999998"/>
        <n v="16224.999999999998"/>
        <n v="16334.999999999998"/>
        <n v="16378.999999999998"/>
        <n v="16390"/>
        <n v="16445"/>
        <n v="16489"/>
        <n v="16500"/>
        <n v="16643"/>
        <n v="16665"/>
        <n v="16720"/>
        <n v="16775"/>
        <n v="16830"/>
        <n v="17039"/>
        <n v="17050"/>
        <n v="17325"/>
        <n v="17380"/>
        <n v="17545"/>
        <n v="17578"/>
        <n v="17589"/>
        <n v="17600"/>
        <n v="17721"/>
        <n v="17875"/>
        <n v="18039.988999999998"/>
        <n v="18150"/>
        <n v="18370"/>
        <n v="18425"/>
        <n v="18469"/>
        <n v="18535"/>
        <n v="18589.988999999998"/>
        <n v="18601"/>
        <n v="18645"/>
        <n v="18688.988999999998"/>
        <n v="18700"/>
        <n v="18810"/>
        <n v="18975"/>
        <n v="19019"/>
        <n v="19238.988999999998"/>
        <n v="19250"/>
        <n v="19360"/>
        <n v="19414.988999999998"/>
        <n v="19525"/>
        <n v="19580"/>
        <n v="19689.988999999998"/>
        <n v="19701"/>
        <n v="19788.988999999998"/>
        <n v="19800"/>
        <n v="20075"/>
        <n v="20185"/>
        <n v="20229"/>
        <n v="20338.988999999998"/>
        <n v="20350"/>
        <n v="20514.988999999998"/>
        <n v="20625"/>
        <n v="20789.988999999998"/>
        <n v="20900"/>
        <n v="21021"/>
        <n v="21175"/>
        <n v="21230"/>
        <n v="21450"/>
        <n v="21614.988999999998"/>
        <n v="21670"/>
        <n v="21725"/>
        <n v="21889.988999999998"/>
        <n v="21945"/>
        <n v="21988.988999999998"/>
        <n v="22000"/>
        <n v="22439.988999999998"/>
        <n v="22538.988999999998"/>
        <n v="22550"/>
        <n v="22989.988999999998"/>
        <n v="23045"/>
        <n v="23100"/>
        <n v="23540"/>
        <n v="23595"/>
        <n v="23639"/>
        <n v="23650"/>
        <n v="23925"/>
        <n v="23980"/>
        <n v="24090"/>
        <n v="24156"/>
        <n v="24189"/>
        <n v="24200"/>
        <n v="24475"/>
        <n v="24750"/>
        <n v="24761"/>
        <n v="25025"/>
        <n v="25245"/>
        <n v="25300"/>
        <n v="25795"/>
        <n v="25850"/>
        <n v="26125"/>
        <n v="26180"/>
        <n v="26235"/>
        <n v="26290"/>
        <n v="26345"/>
        <n v="26400"/>
        <n v="26675"/>
        <n v="26950"/>
        <n v="27225"/>
        <n v="27335"/>
        <n v="27489"/>
        <n v="27500"/>
        <n v="27940"/>
        <n v="28050"/>
        <n v="28490"/>
        <n v="28578"/>
        <n v="28600"/>
        <n v="29150"/>
        <n v="29425"/>
        <n v="29502"/>
        <n v="29590"/>
        <n v="29700"/>
        <n v="29975"/>
        <n v="30239"/>
        <n v="30250"/>
        <n v="30415"/>
        <n v="30470"/>
        <n v="30525"/>
        <n v="30635"/>
        <n v="30690"/>
        <n v="30789"/>
        <n v="30800"/>
        <n v="30921"/>
        <n v="31350"/>
        <n v="31899.999999999996"/>
        <n v="32449.999999999996"/>
        <n v="32780"/>
        <n v="32890"/>
        <n v="33000"/>
        <n v="33275"/>
        <n v="33550"/>
        <n v="33825"/>
        <n v="33990"/>
        <n v="34100"/>
        <n v="34375"/>
        <n v="34650"/>
        <n v="35145"/>
        <n v="35189"/>
        <n v="35200"/>
        <n v="35310"/>
        <n v="35750"/>
        <n v="36190"/>
        <n v="36289"/>
        <n v="36300"/>
        <n v="36575"/>
        <n v="36850"/>
        <n v="37125"/>
        <n v="37290"/>
        <n v="37400"/>
        <n v="37950"/>
        <n v="38170"/>
        <n v="38489"/>
        <n v="38500"/>
        <n v="39050"/>
        <n v="39490"/>
        <n v="39600"/>
        <n v="40150"/>
        <n v="40425"/>
        <n v="40700"/>
        <n v="41250"/>
        <n v="41525"/>
        <n v="41635"/>
        <n v="41800"/>
        <n v="42350"/>
        <n v="42625"/>
        <n v="42900"/>
        <n v="43450"/>
        <n v="43725"/>
        <n v="43890"/>
        <n v="44000"/>
        <n v="45100"/>
        <n v="45650"/>
        <n v="45661"/>
        <n v="45925"/>
        <n v="46090"/>
        <n v="46145"/>
        <n v="46200"/>
        <n v="46750"/>
        <n v="47025"/>
        <n v="47190"/>
        <n v="47300"/>
        <n v="47575"/>
        <n v="47861"/>
        <n v="48125"/>
        <n v="48290"/>
        <n v="48400"/>
        <n v="49049"/>
        <n v="49225"/>
        <n v="49500"/>
        <n v="50050"/>
        <n v="50325"/>
        <n v="50490"/>
        <n v="50600"/>
        <n v="51700"/>
        <n v="52239"/>
        <n v="52525"/>
        <n v="52800"/>
        <n v="53900"/>
        <n v="54450"/>
        <n v="54725"/>
        <n v="55000"/>
        <n v="56100"/>
        <n v="56925"/>
        <n v="57200"/>
        <n v="57750"/>
        <n v="58300"/>
        <n v="58850"/>
        <n v="59125"/>
        <n v="59400"/>
        <n v="60500"/>
        <n v="61600"/>
        <n v="62161"/>
        <n v="63524.999999999993"/>
        <n v="63799.999999999993"/>
        <n v="64349.999999999993"/>
        <n v="64899.999999999993"/>
        <n v="65449.999999999993"/>
        <n v="65725"/>
        <n v="65945"/>
        <n v="66000"/>
        <n v="67100"/>
        <n v="67650"/>
        <n v="68200"/>
        <n v="68475"/>
        <n v="69300"/>
        <n v="70290"/>
        <n v="70400"/>
        <n v="71500"/>
        <n v="72600"/>
        <n v="73480"/>
        <n v="73700"/>
        <n v="74250"/>
        <n v="74800"/>
        <n v="75625"/>
        <n v="75900"/>
        <n v="76725"/>
        <n v="77000"/>
        <n v="78100"/>
        <n v="79200"/>
        <n v="80850"/>
        <n v="81290"/>
        <n v="82225"/>
        <n v="82500"/>
        <n v="84700"/>
        <n v="85580"/>
        <n v="86900"/>
        <n v="87890"/>
        <n v="88000"/>
        <n v="89100"/>
        <n v="90090"/>
        <n v="91300"/>
        <n v="93500"/>
        <n v="94600"/>
        <n v="97900"/>
        <n v="99000"/>
        <n v="100100"/>
        <n v="101200"/>
        <n v="102300"/>
        <n v="103290"/>
        <n v="103400"/>
        <n v="104500"/>
        <n v="108900"/>
        <n v="118800"/>
        <n v="119900"/>
        <n v="126499.99999999999"/>
        <n v="137500"/>
        <n v="141900"/>
        <n v="143000"/>
        <n v="144100"/>
        <n v="163900"/>
        <n v="178200"/>
        <n v="198000"/>
        <n v="203500"/>
        <n v="212300"/>
        <n v="220000"/>
        <n v="242000"/>
        <n v="302500"/>
        <n v="385000"/>
      </sharedItems>
      <fieldGroup base="4">
        <rangePr autoStart="0" autoEnd="0" startNum="0" endNum="100000" groupInterval="10000"/>
        <groupItems count="12">
          <s v="&lt;0"/>
          <s v="0-10000"/>
          <s v="10000-20000"/>
          <s v="20000-30000"/>
          <s v="30000-40000"/>
          <s v="40000-50000"/>
          <s v="50000-60000"/>
          <s v="60000-70000"/>
          <s v="70000-80000"/>
          <s v="80000-90000"/>
          <s v="90000-100000"/>
          <s v="&gt;100000"/>
        </groupItems>
      </fieldGroup>
    </cacheField>
    <cacheField name="Year " numFmtId="2">
      <sharedItems containsSemiMixedTypes="0" containsString="0" containsNumber="1" containsInteger="1" minValue="1988" maxValue="2022" count="18">
        <n v="2010"/>
        <n v="2012"/>
        <n v="2009"/>
        <n v="2008"/>
        <n v="2011"/>
        <n v="2007"/>
        <n v="2014"/>
        <n v="2006"/>
        <n v="2013"/>
        <n v="2017"/>
        <n v="2015"/>
        <n v="2016"/>
        <n v="2018"/>
        <n v="2019"/>
        <n v="2020"/>
        <n v="2021"/>
        <n v="2022"/>
        <n v="1988"/>
      </sharedItems>
    </cacheField>
    <cacheField name="Kilometer " numFmtId="2">
      <sharedItems containsSemiMixedTypes="0" containsString="0" containsNumber="1" containsInteger="1" minValue="0" maxValue="2000000" count="805">
        <n v="60000"/>
        <n v="93000"/>
        <n v="48500"/>
        <n v="80000"/>
        <n v="59000"/>
        <n v="72542"/>
        <n v="65000"/>
        <n v="56400"/>
        <n v="72000"/>
        <n v="39586"/>
        <n v="88000"/>
        <n v="62000"/>
        <n v="56852"/>
        <n v="90342"/>
        <n v="90000"/>
        <n v="50000"/>
        <n v="89000"/>
        <n v="55000"/>
        <n v="18500"/>
        <n v="135797"/>
        <n v="23000"/>
        <n v="85000"/>
        <n v="48000"/>
        <n v="64000"/>
        <n v="55700"/>
        <n v="37000"/>
        <n v="70000"/>
        <n v="61000"/>
        <n v="19759"/>
        <n v="130000"/>
        <n v="63000"/>
        <n v="66000"/>
        <n v="102000"/>
        <n v="75000"/>
        <n v="32000"/>
        <n v="24000"/>
        <n v="192326"/>
        <n v="41000"/>
        <n v="57000"/>
        <n v="51000"/>
        <n v="56000"/>
        <n v="42505"/>
        <n v="20000"/>
        <n v="54000"/>
        <n v="67000"/>
        <n v="126535"/>
        <n v="69000"/>
        <n v="140000"/>
        <n v="87000"/>
        <n v="47721"/>
        <n v="26000"/>
        <n v="87513"/>
        <n v="41215"/>
        <n v="52000"/>
        <n v="72600"/>
        <n v="135000"/>
        <n v="35000"/>
        <n v="107000"/>
        <n v="82000"/>
        <n v="115000"/>
        <n v="51500"/>
        <n v="42000"/>
        <n v="73000"/>
        <n v="95000"/>
        <n v="31100"/>
        <n v="79000"/>
        <n v="114000"/>
        <n v="72256"/>
        <n v="110000"/>
        <n v="119300"/>
        <n v="82461"/>
        <n v="25000"/>
        <n v="48568"/>
        <n v="68000"/>
        <n v="54556"/>
        <n v="53000"/>
        <n v="132683"/>
        <n v="98000"/>
        <n v="57159"/>
        <n v="17000"/>
        <n v="18954"/>
        <n v="25862"/>
        <n v="77000"/>
        <n v="30000"/>
        <n v="52100"/>
        <n v="122000"/>
        <n v="27000"/>
        <n v="54420"/>
        <n v="82682"/>
        <n v="41200"/>
        <n v="86000"/>
        <n v="34000"/>
        <n v="83000"/>
        <n v="76000"/>
        <n v="85785"/>
        <n v="69276"/>
        <n v="99000"/>
        <n v="45600"/>
        <n v="22346"/>
        <n v="25200"/>
        <n v="40564"/>
        <n v="78000"/>
        <n v="12300"/>
        <n v="91000"/>
        <n v="70200"/>
        <n v="34736"/>
        <n v="31000"/>
        <n v="185000"/>
        <n v="87230"/>
        <n v="33000"/>
        <n v="74000"/>
        <n v="62500"/>
        <n v="84000"/>
        <n v="65822"/>
        <n v="45000"/>
        <n v="92000"/>
        <n v="19000"/>
        <n v="46000"/>
        <n v="64983"/>
        <n v="47000"/>
        <n v="83359"/>
        <n v="49200"/>
        <n v="40000"/>
        <n v="28513"/>
        <n v="34800"/>
        <n v="67738"/>
        <n v="49000"/>
        <n v="15507"/>
        <n v="38091"/>
        <n v="47800"/>
        <n v="89059"/>
        <n v="42313"/>
        <n v="118000"/>
        <n v="58000"/>
        <n v="82202"/>
        <n v="15780"/>
        <n v="46721"/>
        <n v="23086"/>
        <n v="43037"/>
        <n v="101347"/>
        <n v="26807"/>
        <n v="76116"/>
        <n v="63200"/>
        <n v="140987"/>
        <n v="78301"/>
        <n v="64418"/>
        <n v="109000"/>
        <n v="52303"/>
        <n v="6000"/>
        <n v="98500"/>
        <n v="73190"/>
        <n v="60969"/>
        <n v="72019"/>
        <n v="49857"/>
        <n v="71000"/>
        <n v="111000"/>
        <n v="89445"/>
        <n v="21000"/>
        <n v="39276"/>
        <n v="68005"/>
        <n v="16205"/>
        <n v="95610"/>
        <n v="58424"/>
        <n v="75693"/>
        <n v="20100"/>
        <n v="16800"/>
        <n v="47377"/>
        <n v="80350"/>
        <n v="97000"/>
        <n v="14000"/>
        <n v="39000"/>
        <n v="120000"/>
        <n v="87500"/>
        <n v="29135"/>
        <n v="48144"/>
        <n v="35134"/>
        <n v="29434"/>
        <n v="68320"/>
        <n v="55660"/>
        <n v="79287"/>
        <n v="72567"/>
        <n v="68195"/>
        <n v="66794"/>
        <n v="43297"/>
        <n v="47874"/>
        <n v="18000"/>
        <n v="49580"/>
        <n v="81000"/>
        <n v="49123"/>
        <n v="75500"/>
        <n v="47884"/>
        <n v="28000"/>
        <n v="46992"/>
        <n v="44527"/>
        <n v="38000"/>
        <n v="43000"/>
        <n v="67850"/>
        <n v="22000"/>
        <n v="91460"/>
        <n v="41273"/>
        <n v="27069"/>
        <n v="13424"/>
        <n v="54443"/>
        <n v="112000"/>
        <n v="41058"/>
        <n v="42500"/>
        <n v="57402"/>
        <n v="60116"/>
        <n v="23700"/>
        <n v="12768"/>
        <n v="96000"/>
        <n v="53241"/>
        <n v="7520"/>
        <n v="38848"/>
        <n v="41624"/>
        <n v="36528"/>
        <n v="52600"/>
        <n v="11628"/>
        <n v="58600"/>
        <n v="53610"/>
        <n v="79500"/>
        <n v="41669"/>
        <n v="98112"/>
        <n v="26600"/>
        <n v="5790"/>
        <n v="57993"/>
        <n v="79081"/>
        <n v="117000"/>
        <n v="34400"/>
        <n v="32545"/>
        <n v="76148"/>
        <n v="37959"/>
        <n v="53807"/>
        <n v="50374"/>
        <n v="67580"/>
        <n v="65555"/>
        <n v="54948"/>
        <n v="22402"/>
        <n v="63882"/>
        <n v="38985"/>
        <n v="3583"/>
        <n v="53512"/>
        <n v="2000000"/>
        <n v="48409"/>
        <n v="53300"/>
        <n v="48200"/>
        <n v="44613"/>
        <n v="69700"/>
        <n v="30183"/>
        <n v="22541"/>
        <n v="82844"/>
        <n v="61223"/>
        <n v="25704"/>
        <n v="29442"/>
        <n v="2169"/>
        <n v="11183"/>
        <n v="69001"/>
        <n v="72900"/>
        <n v="73265"/>
        <n v="7942"/>
        <n v="55353"/>
        <n v="61866"/>
        <n v="16630"/>
        <n v="34867"/>
        <n v="10265"/>
        <n v="44000"/>
        <n v="86006"/>
        <n v="55221"/>
        <n v="56918"/>
        <n v="23103"/>
        <n v="28732"/>
        <n v="65001"/>
        <n v="95200"/>
        <n v="38258"/>
        <n v="53376"/>
        <n v="13716"/>
        <n v="96506"/>
        <n v="86288"/>
        <n v="54440"/>
        <n v="87150"/>
        <n v="30858"/>
        <n v="45969"/>
        <n v="3395"/>
        <n v="40310"/>
        <n v="141334"/>
        <n v="63587"/>
        <n v="40879"/>
        <n v="80852"/>
        <n v="39234"/>
        <n v="78900"/>
        <n v="43550"/>
        <n v="68397"/>
        <n v="68766"/>
        <n v="64928"/>
        <n v="18800"/>
        <n v="68244"/>
        <n v="114635"/>
        <n v="57654"/>
        <n v="5923"/>
        <n v="4295"/>
        <n v="41441"/>
        <n v="34908"/>
        <n v="58339"/>
        <n v="38700"/>
        <n v="10340"/>
        <n v="61518"/>
        <n v="70500"/>
        <n v="36623"/>
        <n v="143000"/>
        <n v="61900"/>
        <n v="92170"/>
        <n v="61400"/>
        <n v="58078"/>
        <n v="29000"/>
        <n v="47752"/>
        <n v="261236"/>
        <n v="84500"/>
        <n v="22700"/>
        <n v="36000"/>
        <n v="75210"/>
        <n v="72782"/>
        <n v="100472"/>
        <n v="11471"/>
        <n v="57847"/>
        <n v="13000"/>
        <n v="92270"/>
        <n v="60798"/>
        <n v="69508"/>
        <n v="27239"/>
        <n v="50599"/>
        <n v="53580"/>
        <n v="71569"/>
        <n v="50860"/>
        <n v="28851"/>
        <n v="17881"/>
        <n v="12000"/>
        <n v="24100"/>
        <n v="62591"/>
        <n v="13772"/>
        <n v="116592"/>
        <n v="75258"/>
        <n v="8640"/>
        <n v="68500"/>
        <n v="20281"/>
        <n v="65123"/>
        <n v="26357"/>
        <n v="44100"/>
        <n v="58200"/>
        <n v="75574"/>
        <n v="10000"/>
        <n v="53213"/>
        <n v="27469"/>
        <n v="42601"/>
        <n v="3800"/>
        <n v="105000"/>
        <n v="38674"/>
        <n v="51349"/>
        <n v="36058"/>
        <n v="42356"/>
        <n v="64906"/>
        <n v="170000"/>
        <n v="48422"/>
        <n v="7000"/>
        <n v="58736"/>
        <n v="51145"/>
        <n v="51330"/>
        <n v="23798"/>
        <n v="72114"/>
        <n v="53848"/>
        <n v="115339"/>
        <n v="20734"/>
        <n v="72200"/>
        <n v="35500"/>
        <n v="44300"/>
        <n v="124000"/>
        <n v="50800"/>
        <n v="53693"/>
        <n v="1374"/>
        <n v="52236"/>
        <n v="143477"/>
        <n v="76584"/>
        <n v="83466"/>
        <n v="104000"/>
        <n v="37003"/>
        <n v="49422"/>
        <n v="15000"/>
        <n v="100000"/>
        <n v="58100"/>
        <n v="44710"/>
        <n v="49776"/>
        <n v="61181"/>
        <n v="38779"/>
        <n v="24003"/>
        <n v="9000"/>
        <n v="14366"/>
        <n v="87693"/>
        <n v="106223"/>
        <n v="48591"/>
        <n v="35616"/>
        <n v="125372"/>
        <n v="48650"/>
        <n v="74237"/>
        <n v="73315"/>
        <n v="49148"/>
        <n v="81323"/>
        <n v="9232"/>
        <n v="64300"/>
        <n v="58146"/>
        <n v="157662"/>
        <n v="17268"/>
        <n v="16652"/>
        <n v="51292"/>
        <n v="68921"/>
        <n v="42678"/>
        <n v="8000"/>
        <n v="68818"/>
        <n v="46027"/>
        <n v="82445"/>
        <n v="53929"/>
        <n v="30777"/>
        <n v="19244"/>
        <n v="11000"/>
        <n v="1000"/>
        <n v="67900"/>
        <n v="31552"/>
        <n v="16000"/>
        <n v="50197"/>
        <n v="104814"/>
        <n v="36597"/>
        <n v="11874"/>
        <n v="75793"/>
        <n v="51834"/>
        <n v="121000"/>
        <n v="60125"/>
        <n v="155000"/>
        <n v="83555"/>
        <n v="117048"/>
        <n v="14722"/>
        <n v="126000"/>
        <n v="6200"/>
        <n v="43600"/>
        <n v="16339"/>
        <n v="33647"/>
        <n v="48069"/>
        <n v="2272"/>
        <n v="75650"/>
        <n v="20251"/>
        <n v="60240"/>
        <n v="18105"/>
        <n v="72040"/>
        <n v="60500"/>
        <n v="14095"/>
        <n v="125000"/>
        <n v="80849"/>
        <n v="9889"/>
        <n v="94827"/>
        <n v="60444"/>
        <n v="63088"/>
        <n v="4000"/>
        <n v="52245"/>
        <n v="22224"/>
        <n v="45326"/>
        <n v="79800"/>
        <n v="37500"/>
        <n v="52836"/>
        <n v="82300"/>
        <n v="76642"/>
        <n v="47531"/>
        <n v="44153"/>
        <n v="94580"/>
        <n v="27963"/>
        <n v="63300"/>
        <n v="6600"/>
        <n v="9644"/>
        <n v="8499"/>
        <n v="25500"/>
        <n v="48174"/>
        <n v="81300"/>
        <n v="42855"/>
        <n v="17283"/>
        <n v="85641"/>
        <n v="47255"/>
        <n v="52890"/>
        <n v="90300"/>
        <n v="37093"/>
        <n v="82200"/>
        <n v="57983"/>
        <n v="11030"/>
        <n v="33030"/>
        <n v="43634"/>
        <n v="49013"/>
        <n v="53694"/>
        <n v="8700"/>
        <n v="23148"/>
        <n v="58618"/>
        <n v="62125"/>
        <n v="23500"/>
        <n v="138314"/>
        <n v="7500"/>
        <n v="39780"/>
        <n v="21365"/>
        <n v="13066"/>
        <n v="60888"/>
        <n v="150000"/>
        <n v="29401"/>
        <n v="925000"/>
        <n v="74797"/>
        <n v="65321"/>
        <n v="41417"/>
        <n v="37100"/>
        <n v="50500"/>
        <n v="32809"/>
        <n v="57400"/>
        <n v="55055"/>
        <n v="222000"/>
        <n v="37079"/>
        <n v="87001"/>
        <n v="41792"/>
        <n v="56881"/>
        <n v="21894"/>
        <n v="24013"/>
        <n v="54572"/>
        <n v="27900"/>
        <n v="89311"/>
        <n v="27464"/>
        <n v="158690"/>
        <n v="127000"/>
        <n v="74179"/>
        <n v="68566"/>
        <n v="20124"/>
        <n v="1910"/>
        <n v="29386"/>
        <n v="1500"/>
        <n v="16282"/>
        <n v="34841"/>
        <n v="88757"/>
        <n v="71800"/>
        <n v="5000"/>
        <n v="12382"/>
        <n v="31056"/>
        <n v="8800"/>
        <n v="50050"/>
        <n v="30672"/>
        <n v="138000"/>
        <n v="12020"/>
        <n v="8922"/>
        <n v="3383"/>
        <n v="45915"/>
        <n v="40900"/>
        <n v="26200"/>
        <n v="144933"/>
        <n v="43260"/>
        <n v="2700"/>
        <n v="1700"/>
        <n v="20690"/>
        <n v="65954"/>
        <n v="58590"/>
        <n v="46807"/>
        <n v="12905"/>
        <n v="26894"/>
        <n v="66602"/>
        <n v="47981"/>
        <n v="36313"/>
        <n v="87938"/>
        <n v="37556"/>
        <n v="10700"/>
        <n v="47248"/>
        <n v="41470"/>
        <n v="26497"/>
        <n v="12749"/>
        <n v="37230"/>
        <n v="27657"/>
        <n v="50965"/>
        <n v="95785"/>
        <n v="440000"/>
        <n v="7239"/>
        <n v="10530"/>
        <n v="71141"/>
        <n v="60200"/>
        <n v="33500"/>
        <n v="61805"/>
        <n v="58900"/>
        <n v="101000"/>
        <n v="65100"/>
        <n v="13400"/>
        <n v="31348"/>
        <n v="50300"/>
        <n v="64800"/>
        <n v="9900"/>
        <n v="98580"/>
        <n v="56500"/>
        <n v="47706"/>
        <n v="75811"/>
        <n v="98352"/>
        <n v="29096"/>
        <n v="85900"/>
        <n v="69500"/>
        <n v="94182"/>
        <n v="72870"/>
        <n v="170669"/>
        <n v="71796"/>
        <n v="2500"/>
        <n v="9500"/>
        <n v="9576"/>
        <n v="36700"/>
        <n v="64120"/>
        <n v="57600"/>
        <n v="72100"/>
        <n v="67546"/>
        <n v="2000"/>
        <n v="95315"/>
        <n v="600"/>
        <n v="104264"/>
        <n v="8519"/>
        <n v="54154"/>
        <n v="19700"/>
        <n v="92355"/>
        <n v="1300"/>
        <n v="145000"/>
        <n v="128000"/>
        <n v="46301"/>
        <n v="27800"/>
        <n v="7900"/>
        <n v="25914"/>
        <n v="139000"/>
        <n v="52458"/>
        <n v="53089"/>
        <n v="240000"/>
        <n v="211000"/>
        <n v="80251"/>
        <n v="28600"/>
        <n v="20856"/>
        <n v="8530"/>
        <n v="3813"/>
        <n v="4400"/>
        <n v="12400"/>
        <n v="68758"/>
        <n v="23952"/>
        <n v="2670"/>
        <n v="25700"/>
        <n v="14400"/>
        <n v="1942"/>
        <n v="65433"/>
        <n v="96095"/>
        <n v="84700"/>
        <n v="14500"/>
        <n v="76529"/>
        <n v="19868"/>
        <n v="74073"/>
        <n v="82567"/>
        <n v="33828"/>
        <n v="37600"/>
        <n v="23280"/>
        <n v="71700"/>
        <n v="44087"/>
        <n v="41736"/>
        <n v="9355"/>
        <n v="4500"/>
        <n v="28584"/>
        <n v="84878"/>
        <n v="57057"/>
        <n v="123000"/>
        <n v="5800"/>
        <n v="35123"/>
        <n v="39328"/>
        <n v="71063"/>
        <n v="45350"/>
        <n v="15600"/>
        <n v="75592"/>
        <n v="10290"/>
        <n v="95401"/>
        <n v="152000"/>
        <n v="77590"/>
        <n v="42794"/>
        <n v="40500"/>
        <n v="24549"/>
        <n v="43200"/>
        <n v="30229"/>
        <n v="61109"/>
        <n v="78362"/>
        <n v="105101"/>
        <n v="14120"/>
        <n v="61643"/>
        <n v="60921"/>
        <n v="22120"/>
        <n v="107021"/>
        <n v="13594"/>
        <n v="44876"/>
        <n v="34105"/>
        <n v="61159"/>
        <n v="59267"/>
        <n v="81802"/>
        <n v="42533"/>
        <n v="43290"/>
        <n v="103000"/>
        <n v="48600"/>
        <n v="11293"/>
        <n v="44724"/>
        <n v="50623"/>
        <n v="34303"/>
        <n v="82900"/>
        <n v="36978"/>
        <n v="12050"/>
        <n v="94000"/>
        <n v="76345"/>
        <n v="15500"/>
        <n v="43323"/>
        <n v="45545"/>
        <n v="18625"/>
        <n v="34228"/>
        <n v="219000"/>
        <n v="51800"/>
        <n v="75"/>
        <n v="68189"/>
        <n v="72400"/>
        <n v="15900"/>
        <n v="71500"/>
        <n v="21200"/>
        <n v="15530"/>
        <n v="15529"/>
        <n v="17300"/>
        <n v="17904"/>
        <n v="40910"/>
        <n v="66500"/>
        <n v="21651"/>
        <n v="6900"/>
        <n v="10500"/>
        <n v="60514"/>
        <n v="60513"/>
        <n v="173000"/>
        <n v="32005"/>
        <n v="29999"/>
        <n v="6400"/>
        <n v="41296"/>
        <n v="42475"/>
        <n v="13092"/>
        <n v="91100"/>
        <n v="30600"/>
        <n v="4600"/>
        <n v="41526"/>
        <n v="62152"/>
        <n v="160000"/>
        <n v="7800"/>
        <n v="37180"/>
        <n v="103890"/>
        <n v="13500"/>
        <n v="32963"/>
        <n v="29221"/>
        <n v="9512"/>
        <n v="41086"/>
        <n v="48945"/>
        <n v="31059"/>
        <n v="9400"/>
        <n v="12500"/>
        <n v="39394"/>
        <n v="3826"/>
        <n v="12136"/>
        <n v="1"/>
        <n v="63651"/>
        <n v="5600"/>
        <n v="90868"/>
        <n v="12321"/>
        <n v="60474"/>
        <n v="40545"/>
        <n v="54500"/>
        <n v="16519"/>
        <n v="57300"/>
        <n v="7100"/>
        <n v="49500"/>
        <n v="95786"/>
        <n v="13120"/>
        <n v="51529"/>
        <n v="2610"/>
        <n v="24444"/>
        <n v="0"/>
        <n v="28079"/>
        <n v="15087"/>
        <n v="40937"/>
        <n v="3500"/>
        <n v="7935"/>
        <n v="54200"/>
        <n v="2600"/>
        <n v="27600"/>
        <n v="500"/>
        <n v="24500"/>
        <n v="42079"/>
        <n v="5500"/>
        <n v="5750"/>
        <n v="16785"/>
        <n v="18223"/>
        <n v="39850"/>
        <n v="32368"/>
        <n v="42200"/>
        <n v="15200"/>
        <n v="87200"/>
        <n v="18703"/>
        <n v="11850"/>
        <n v="32500"/>
        <n v="25275"/>
        <n v="21696"/>
        <n v="6300"/>
        <n v="22010"/>
        <n v="3000"/>
        <n v="7534"/>
        <n v="2766"/>
      </sharedItems>
    </cacheField>
    <cacheField name="Fuel Type    " numFmtId="49">
      <sharedItems count="5">
        <s v="Petrol       "/>
        <s v="LPG          "/>
        <s v="Diesel       "/>
        <s v="CNG          "/>
        <s v="Hybrid       "/>
      </sharedItems>
    </cacheField>
    <cacheField name="Transmission " numFmtId="49">
      <sharedItems count="2">
        <s v="Manual       "/>
        <s v="Automatic    "/>
      </sharedItems>
    </cacheField>
    <cacheField name="Color  " numFmtId="49">
      <sharedItems count="17">
        <s v="White  "/>
        <s v="Silver "/>
        <s v="Grey   "/>
        <s v="Pink   "/>
        <s v="Red    "/>
        <s v="Gold   "/>
        <s v="Maroon "/>
        <s v="Blue   "/>
        <s v="Black  "/>
        <s v="Orange "/>
        <s v="Brown  "/>
        <s v="Green  "/>
        <s v="Bronze "/>
        <s v="Beige  "/>
        <s v="Others "/>
        <s v="Purple "/>
        <s v="Yellow "/>
      </sharedItems>
    </cacheField>
    <cacheField name="Owner            " numFmtId="49">
      <sharedItems/>
    </cacheField>
    <cacheField name="Engine  " numFmtId="0">
      <sharedItems/>
    </cacheField>
    <cacheField name="Max Power           " numFmtId="0">
      <sharedItems/>
    </cacheField>
    <cacheField name="Caballos" numFmtId="2">
      <sharedItems containsSemiMixedTypes="0" containsString="0" containsNumber="1" containsInteger="1" minValue="6" maxValue="660"/>
    </cacheField>
    <cacheField name="Length m" numFmtId="0">
      <sharedItems containsSemiMixedTypes="0" containsString="0" containsNumber="1" minValue="3.0990000000000002" maxValue="5.569"/>
    </cacheField>
    <cacheField name="Width m " numFmtId="0">
      <sharedItems containsSemiMixedTypes="0" containsString="0" containsNumber="1" minValue="1.4750000000000001" maxValue="2.2200000000000002"/>
    </cacheField>
    <cacheField name="Height m" numFmtId="0">
      <sharedItems containsSemiMixedTypes="0" containsString="0" containsNumber="1" minValue="1.2130000000000001" maxValue="1.9950000000000001"/>
    </cacheField>
    <cacheField name="Seating Capacity " numFmtId="0">
      <sharedItems containsSemiMixedTypes="0" containsString="0" containsNumber="1" containsInteger="1" minValue="2" maxValue="8"/>
    </cacheField>
    <cacheField name="Familiar" numFmtId="0">
      <sharedItems count="2">
        <s v="NO"/>
        <s v="SI"/>
      </sharedItems>
    </cacheField>
    <cacheField name="Fuel Tank Capacity L" numFmtId="0">
      <sharedItems containsSemiMixedTypes="0" containsString="0" containsNumber="1" minValue="15" maxValue="105"/>
    </cacheField>
  </cacheFields>
  <extLst>
    <ext xmlns:x14="http://schemas.microsoft.com/office/spreadsheetml/2009/9/main" uri="{725AE2AE-9491-48be-B2B4-4EB974FC3084}">
      <x14:pivotCacheDefinition pivotCacheId="44876414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35">
  <r>
    <x v="0"/>
    <x v="0"/>
    <x v="0"/>
    <n v="49000"/>
    <x v="0"/>
    <x v="0"/>
    <x v="0"/>
    <x v="0"/>
    <x v="0"/>
    <x v="0"/>
    <s v="First            "/>
    <s v="624 cc  "/>
    <s v="35 bhp @5250             "/>
    <n v="35"/>
    <n v="3.0990000000000002"/>
    <n v="1.4950000000000001"/>
    <n v="1.6519999999999999"/>
    <n v="4"/>
    <x v="0"/>
    <n v="15"/>
  </r>
  <r>
    <x v="0"/>
    <x v="1"/>
    <x v="1"/>
    <n v="114999"/>
    <x v="1"/>
    <x v="1"/>
    <x v="1"/>
    <x v="0"/>
    <x v="0"/>
    <x v="1"/>
    <s v="Second           "/>
    <s v="1368 cc "/>
    <s v="90  bhp @6000             "/>
    <n v="90"/>
    <n v="4.4130000000000003"/>
    <n v="1.7030000000000001"/>
    <n v="1.55"/>
    <n v="5"/>
    <x v="1"/>
    <n v="44"/>
  </r>
  <r>
    <x v="1"/>
    <x v="2"/>
    <x v="2"/>
    <n v="120000"/>
    <x v="2"/>
    <x v="2"/>
    <x v="2"/>
    <x v="1"/>
    <x v="0"/>
    <x v="2"/>
    <s v="Fourth           "/>
    <s v="1086 cc "/>
    <s v="63  bhp @5500             "/>
    <n v="63"/>
    <n v="3.5649999999999999"/>
    <n v="1.5249999999999999"/>
    <n v="1.59"/>
    <n v="5"/>
    <x v="1"/>
    <n v="35"/>
  </r>
  <r>
    <x v="2"/>
    <x v="3"/>
    <x v="3"/>
    <n v="120000"/>
    <x v="2"/>
    <x v="2"/>
    <x v="3"/>
    <x v="2"/>
    <x v="0"/>
    <x v="1"/>
    <s v="4 or More        "/>
    <s v="1248 cc "/>
    <s v="75  bhp @4000             "/>
    <n v="75"/>
    <n v="3.7149999999999999"/>
    <n v="1.68"/>
    <n v="1.62"/>
    <n v="5"/>
    <x v="1"/>
    <n v="43"/>
  </r>
  <r>
    <x v="1"/>
    <x v="4"/>
    <x v="4"/>
    <n v="130000"/>
    <x v="3"/>
    <x v="2"/>
    <x v="4"/>
    <x v="0"/>
    <x v="0"/>
    <x v="1"/>
    <s v="Second           "/>
    <s v="1086 cc "/>
    <s v="67  bhp @5500             "/>
    <n v="67"/>
    <n v="3.5649999999999999"/>
    <n v="1.595"/>
    <n v="1.55"/>
    <n v="5"/>
    <x v="1"/>
    <n v="35"/>
  </r>
  <r>
    <x v="2"/>
    <x v="5"/>
    <x v="5"/>
    <n v="135000"/>
    <x v="4"/>
    <x v="3"/>
    <x v="5"/>
    <x v="0"/>
    <x v="0"/>
    <x v="3"/>
    <s v="First            "/>
    <s v="1061 cc "/>
    <s v="64  bhp @6200             "/>
    <n v="64"/>
    <n v="3.4950000000000001"/>
    <n v="1.4950000000000001"/>
    <n v="1.595"/>
    <n v="5"/>
    <x v="1"/>
    <n v="35"/>
  </r>
  <r>
    <x v="2"/>
    <x v="6"/>
    <x v="6"/>
    <n v="140000"/>
    <x v="5"/>
    <x v="2"/>
    <x v="6"/>
    <x v="0"/>
    <x v="0"/>
    <x v="1"/>
    <s v="Third            "/>
    <s v="796 cc  "/>
    <s v="47  bhp @6200             "/>
    <n v="47"/>
    <n v="3.4950000000000001"/>
    <n v="1.4750000000000001"/>
    <n v="1.46"/>
    <n v="5"/>
    <x v="1"/>
    <n v="35"/>
  </r>
  <r>
    <x v="1"/>
    <x v="7"/>
    <x v="7"/>
    <n v="141000"/>
    <x v="6"/>
    <x v="2"/>
    <x v="7"/>
    <x v="0"/>
    <x v="0"/>
    <x v="1"/>
    <s v="Third            "/>
    <s v="1086 cc "/>
    <s v="62 bhp @ 5500 rpm   "/>
    <n v="62"/>
    <n v="3.5649999999999999"/>
    <n v="1.5249999999999999"/>
    <n v="1.59"/>
    <n v="5"/>
    <x v="1"/>
    <n v="35"/>
  </r>
  <r>
    <x v="1"/>
    <x v="8"/>
    <x v="8"/>
    <n v="145000"/>
    <x v="7"/>
    <x v="2"/>
    <x v="8"/>
    <x v="3"/>
    <x v="0"/>
    <x v="1"/>
    <s v="Second           "/>
    <s v="1086 cc "/>
    <s v="62 bhp @ 5500 rpm   "/>
    <n v="62"/>
    <n v="3.5649999999999999"/>
    <n v="1.5249999999999999"/>
    <n v="1.59"/>
    <n v="5"/>
    <x v="1"/>
    <n v="35"/>
  </r>
  <r>
    <x v="2"/>
    <x v="9"/>
    <x v="9"/>
    <n v="145000"/>
    <x v="7"/>
    <x v="2"/>
    <x v="9"/>
    <x v="0"/>
    <x v="0"/>
    <x v="4"/>
    <s v="First            "/>
    <s v="1061 cc "/>
    <s v="67  bhp @6200             "/>
    <n v="67"/>
    <n v="3.52"/>
    <n v="1.4750000000000001"/>
    <n v="1.69"/>
    <n v="5"/>
    <x v="1"/>
    <n v="35"/>
  </r>
  <r>
    <x v="3"/>
    <x v="10"/>
    <x v="10"/>
    <n v="145000"/>
    <x v="7"/>
    <x v="2"/>
    <x v="10"/>
    <x v="2"/>
    <x v="0"/>
    <x v="0"/>
    <s v="First            "/>
    <s v="1399 cc "/>
    <s v="68  bhp @4000             "/>
    <n v="68"/>
    <n v="4.1449999999999996"/>
    <n v="1.6319999999999999"/>
    <n v="1.44"/>
    <n v="5"/>
    <x v="1"/>
    <n v="43"/>
  </r>
  <r>
    <x v="2"/>
    <x v="6"/>
    <x v="11"/>
    <n v="150000"/>
    <x v="8"/>
    <x v="4"/>
    <x v="6"/>
    <x v="0"/>
    <x v="0"/>
    <x v="0"/>
    <s v="First            "/>
    <s v="796 cc  "/>
    <s v="47 bhp @6200             "/>
    <n v="47"/>
    <n v="3.4950000000000001"/>
    <n v="1.4750000000000001"/>
    <n v="1.46"/>
    <n v="5"/>
    <x v="1"/>
    <n v="35"/>
  </r>
  <r>
    <x v="1"/>
    <x v="11"/>
    <x v="12"/>
    <n v="150000"/>
    <x v="8"/>
    <x v="3"/>
    <x v="11"/>
    <x v="0"/>
    <x v="0"/>
    <x v="4"/>
    <s v="Second           "/>
    <s v="1086 cc "/>
    <s v="67  bhp @5500             "/>
    <n v="67"/>
    <n v="3.5649999999999999"/>
    <n v="1.595"/>
    <n v="1.55"/>
    <n v="5"/>
    <x v="1"/>
    <n v="35"/>
  </r>
  <r>
    <x v="2"/>
    <x v="12"/>
    <x v="13"/>
    <n v="155000"/>
    <x v="9"/>
    <x v="2"/>
    <x v="12"/>
    <x v="3"/>
    <x v="0"/>
    <x v="5"/>
    <s v="Second           "/>
    <s v="796 cc  "/>
    <s v="39 bhp @ 6200 rpm   "/>
    <n v="39"/>
    <n v="3.4950000000000001"/>
    <n v="1.4750000000000001"/>
    <n v="1.46"/>
    <n v="5"/>
    <x v="1"/>
    <n v="35"/>
  </r>
  <r>
    <x v="2"/>
    <x v="12"/>
    <x v="14"/>
    <n v="155000"/>
    <x v="9"/>
    <x v="4"/>
    <x v="13"/>
    <x v="3"/>
    <x v="0"/>
    <x v="0"/>
    <s v="Second           "/>
    <s v="796 cc  "/>
    <s v="39 bhp @ 6200 rpm   "/>
    <n v="39"/>
    <n v="3.4950000000000001"/>
    <n v="1.4750000000000001"/>
    <n v="1.46"/>
    <n v="5"/>
    <x v="1"/>
    <n v="35"/>
  </r>
  <r>
    <x v="4"/>
    <x v="13"/>
    <x v="15"/>
    <n v="160000"/>
    <x v="10"/>
    <x v="3"/>
    <x v="14"/>
    <x v="2"/>
    <x v="0"/>
    <x v="0"/>
    <s v="Fourth           "/>
    <s v="2494 cc "/>
    <s v="102 bhp @5600            "/>
    <n v="102"/>
    <n v="4.5549999999999997"/>
    <n v="1.77"/>
    <n v="1.7549999999999999"/>
    <n v="8"/>
    <x v="1"/>
    <n v="55"/>
  </r>
  <r>
    <x v="2"/>
    <x v="14"/>
    <x v="16"/>
    <n v="160000"/>
    <x v="10"/>
    <x v="4"/>
    <x v="8"/>
    <x v="0"/>
    <x v="0"/>
    <x v="1"/>
    <s v="First            "/>
    <s v="998 cc  "/>
    <s v="67 bhp @ 6000 rpm   "/>
    <n v="67"/>
    <n v="3.5449999999999999"/>
    <n v="1.49"/>
    <n v="1.4750000000000001"/>
    <n v="5"/>
    <x v="1"/>
    <n v="35"/>
  </r>
  <r>
    <x v="2"/>
    <x v="9"/>
    <x v="17"/>
    <n v="160000"/>
    <x v="10"/>
    <x v="3"/>
    <x v="15"/>
    <x v="0"/>
    <x v="0"/>
    <x v="1"/>
    <s v="Second           "/>
    <s v="1061 cc "/>
    <s v="67  bhp @6200             "/>
    <n v="67"/>
    <n v="3.52"/>
    <n v="1.4750000000000001"/>
    <n v="1.69"/>
    <n v="5"/>
    <x v="1"/>
    <n v="35"/>
  </r>
  <r>
    <x v="2"/>
    <x v="15"/>
    <x v="18"/>
    <n v="160000"/>
    <x v="10"/>
    <x v="4"/>
    <x v="16"/>
    <x v="2"/>
    <x v="0"/>
    <x v="6"/>
    <s v="Second           "/>
    <s v="1248 cc "/>
    <s v="75  bhp @4000             "/>
    <n v="75"/>
    <n v="3.7149999999999999"/>
    <n v="1.68"/>
    <n v="1.62"/>
    <n v="5"/>
    <x v="1"/>
    <n v="43"/>
  </r>
  <r>
    <x v="1"/>
    <x v="16"/>
    <x v="19"/>
    <n v="165000"/>
    <x v="11"/>
    <x v="2"/>
    <x v="17"/>
    <x v="0"/>
    <x v="0"/>
    <x v="0"/>
    <s v="First            "/>
    <s v="1197 cc "/>
    <s v="80 bhp @5200             "/>
    <n v="80"/>
    <n v="3.5649999999999999"/>
    <n v="1.595"/>
    <n v="1.55"/>
    <n v="5"/>
    <x v="1"/>
    <n v="35"/>
  </r>
  <r>
    <x v="2"/>
    <x v="6"/>
    <x v="20"/>
    <n v="169000"/>
    <x v="12"/>
    <x v="0"/>
    <x v="18"/>
    <x v="0"/>
    <x v="0"/>
    <x v="5"/>
    <s v="First            "/>
    <s v="796 cc  "/>
    <s v="47  bhp @6200             "/>
    <n v="47"/>
    <n v="3.4950000000000001"/>
    <n v="1.4750000000000001"/>
    <n v="1.46"/>
    <n v="5"/>
    <x v="1"/>
    <n v="35"/>
  </r>
  <r>
    <x v="1"/>
    <x v="17"/>
    <x v="21"/>
    <n v="170000"/>
    <x v="13"/>
    <x v="2"/>
    <x v="19"/>
    <x v="0"/>
    <x v="0"/>
    <x v="1"/>
    <s v="Second           "/>
    <s v="1086 cc "/>
    <s v="67  bhp @5500             "/>
    <n v="67"/>
    <n v="3.5649999999999999"/>
    <n v="1.595"/>
    <n v="1.55"/>
    <n v="5"/>
    <x v="1"/>
    <n v="35"/>
  </r>
  <r>
    <x v="1"/>
    <x v="17"/>
    <x v="22"/>
    <n v="175000"/>
    <x v="14"/>
    <x v="2"/>
    <x v="6"/>
    <x v="0"/>
    <x v="0"/>
    <x v="7"/>
    <s v="Second           "/>
    <s v="1086 cc "/>
    <s v="67 bhp@5500             "/>
    <n v="6"/>
    <n v="3.5649999999999999"/>
    <n v="1.595"/>
    <n v="1.55"/>
    <n v="5"/>
    <x v="1"/>
    <n v="35"/>
  </r>
  <r>
    <x v="1"/>
    <x v="17"/>
    <x v="23"/>
    <n v="175000"/>
    <x v="14"/>
    <x v="2"/>
    <x v="20"/>
    <x v="0"/>
    <x v="0"/>
    <x v="4"/>
    <s v="First            "/>
    <s v="1086 cc "/>
    <s v="67  bhp @5500             "/>
    <n v="67"/>
    <n v="3.5649999999999999"/>
    <n v="1.595"/>
    <n v="1.55"/>
    <n v="5"/>
    <x v="1"/>
    <n v="35"/>
  </r>
  <r>
    <x v="2"/>
    <x v="18"/>
    <x v="24"/>
    <n v="175000"/>
    <x v="14"/>
    <x v="3"/>
    <x v="6"/>
    <x v="2"/>
    <x v="0"/>
    <x v="1"/>
    <s v="Second           "/>
    <s v="1248 cc "/>
    <s v="74 bhp @ 4000 rpm   "/>
    <n v="74"/>
    <n v="3.9950000000000001"/>
    <n v="1.6950000000000001"/>
    <n v="1.5549999999999999"/>
    <n v="5"/>
    <x v="1"/>
    <n v="42"/>
  </r>
  <r>
    <x v="1"/>
    <x v="19"/>
    <x v="25"/>
    <n v="178000"/>
    <x v="15"/>
    <x v="5"/>
    <x v="21"/>
    <x v="0"/>
    <x v="0"/>
    <x v="1"/>
    <s v="Second           "/>
    <s v="1086 cc "/>
    <s v="63  bhp @5500             "/>
    <n v="63"/>
    <n v="3.5649999999999999"/>
    <n v="1.5249999999999999"/>
    <n v="1.59"/>
    <n v="5"/>
    <x v="1"/>
    <n v="35"/>
  </r>
  <r>
    <x v="2"/>
    <x v="20"/>
    <x v="26"/>
    <n v="180000"/>
    <x v="16"/>
    <x v="6"/>
    <x v="22"/>
    <x v="0"/>
    <x v="0"/>
    <x v="1"/>
    <s v="Third            "/>
    <s v="796 cc  "/>
    <s v="47 bhp @ 6000 rpm   "/>
    <n v="47"/>
    <n v="3.395"/>
    <n v="1.49"/>
    <n v="1.4750000000000001"/>
    <n v="5"/>
    <x v="1"/>
    <n v="35"/>
  </r>
  <r>
    <x v="2"/>
    <x v="21"/>
    <x v="27"/>
    <n v="185000"/>
    <x v="17"/>
    <x v="0"/>
    <x v="23"/>
    <x v="0"/>
    <x v="0"/>
    <x v="1"/>
    <s v="First            "/>
    <s v="1586 cc "/>
    <s v="102 bhp @5500            "/>
    <n v="102"/>
    <n v="4.49"/>
    <n v="1.7350000000000001"/>
    <n v="1.56"/>
    <n v="5"/>
    <x v="1"/>
    <n v="50"/>
  </r>
  <r>
    <x v="1"/>
    <x v="22"/>
    <x v="28"/>
    <n v="185000"/>
    <x v="17"/>
    <x v="1"/>
    <x v="24"/>
    <x v="0"/>
    <x v="0"/>
    <x v="1"/>
    <s v="Second           "/>
    <s v="814 cc  "/>
    <s v="56  bhp @5500             "/>
    <n v="56"/>
    <n v="3.4950000000000001"/>
    <n v="1.55"/>
    <n v="1.5"/>
    <n v="5"/>
    <x v="1"/>
    <n v="32"/>
  </r>
  <r>
    <x v="2"/>
    <x v="23"/>
    <x v="29"/>
    <n v="185000"/>
    <x v="17"/>
    <x v="1"/>
    <x v="25"/>
    <x v="0"/>
    <x v="0"/>
    <x v="4"/>
    <s v="First            "/>
    <s v="998 cc  "/>
    <s v="67 bhp @ 6200 rpm   "/>
    <n v="67"/>
    <n v="3.62"/>
    <n v="1.4750000000000001"/>
    <n v="1.46"/>
    <n v="5"/>
    <x v="1"/>
    <n v="35"/>
  </r>
  <r>
    <x v="5"/>
    <x v="24"/>
    <x v="30"/>
    <n v="185000"/>
    <x v="17"/>
    <x v="3"/>
    <x v="26"/>
    <x v="0"/>
    <x v="1"/>
    <x v="0"/>
    <s v="Second           "/>
    <s v="1497 cc "/>
    <s v="78 bhp @5500             "/>
    <n v="78"/>
    <n v="4.3899999999999997"/>
    <n v="1.69"/>
    <n v="1.4950000000000001"/>
    <n v="5"/>
    <x v="1"/>
    <n v="42"/>
  </r>
  <r>
    <x v="1"/>
    <x v="25"/>
    <x v="31"/>
    <n v="185000"/>
    <x v="17"/>
    <x v="3"/>
    <x v="27"/>
    <x v="0"/>
    <x v="1"/>
    <x v="8"/>
    <s v="Third            "/>
    <s v="1197 cc "/>
    <s v="80 bhp @5200             "/>
    <n v="80"/>
    <n v="3.5649999999999999"/>
    <n v="1.595"/>
    <n v="1.55"/>
    <n v="5"/>
    <x v="1"/>
    <n v="35"/>
  </r>
  <r>
    <x v="2"/>
    <x v="6"/>
    <x v="32"/>
    <n v="189000"/>
    <x v="18"/>
    <x v="3"/>
    <x v="28"/>
    <x v="0"/>
    <x v="0"/>
    <x v="7"/>
    <s v="First            "/>
    <s v="796 cc  "/>
    <s v="47 bhp @6200             "/>
    <n v="47"/>
    <n v="3.4950000000000001"/>
    <n v="1.4750000000000001"/>
    <n v="1.46"/>
    <n v="5"/>
    <x v="1"/>
    <n v="35"/>
  </r>
  <r>
    <x v="5"/>
    <x v="26"/>
    <x v="33"/>
    <n v="190000"/>
    <x v="19"/>
    <x v="7"/>
    <x v="29"/>
    <x v="0"/>
    <x v="0"/>
    <x v="6"/>
    <s v="Third            "/>
    <s v="1799 cc "/>
    <s v="130 bhp @ 6300 rpm  "/>
    <n v="130"/>
    <n v="4.5449999999999999"/>
    <n v="1.75"/>
    <n v="1.45"/>
    <n v="5"/>
    <x v="1"/>
    <n v="50"/>
  </r>
  <r>
    <x v="1"/>
    <x v="22"/>
    <x v="34"/>
    <n v="190000"/>
    <x v="19"/>
    <x v="8"/>
    <x v="30"/>
    <x v="0"/>
    <x v="0"/>
    <x v="0"/>
    <s v="Second           "/>
    <s v="814 cc  "/>
    <s v="56 bhp @5500             "/>
    <n v="56"/>
    <n v="3.4950000000000001"/>
    <n v="1.55"/>
    <n v="1.5"/>
    <n v="5"/>
    <x v="1"/>
    <n v="32"/>
  </r>
  <r>
    <x v="6"/>
    <x v="27"/>
    <x v="35"/>
    <n v="190000"/>
    <x v="19"/>
    <x v="8"/>
    <x v="31"/>
    <x v="0"/>
    <x v="0"/>
    <x v="0"/>
    <s v="First            "/>
    <s v="995 cc  "/>
    <s v="62 bhp @ 5400 rpm   "/>
    <n v="62"/>
    <n v="3.4950000000000001"/>
    <n v="1.4950000000000001"/>
    <n v="1.518"/>
    <n v="5"/>
    <x v="1"/>
    <n v="38"/>
  </r>
  <r>
    <x v="1"/>
    <x v="28"/>
    <x v="36"/>
    <n v="190000"/>
    <x v="19"/>
    <x v="0"/>
    <x v="0"/>
    <x v="0"/>
    <x v="0"/>
    <x v="0"/>
    <s v="Third            "/>
    <s v="1197 cc "/>
    <s v="80 bhp @5200             "/>
    <n v="80"/>
    <n v="3.5649999999999999"/>
    <n v="1.595"/>
    <n v="1.55"/>
    <n v="5"/>
    <x v="1"/>
    <n v="35"/>
  </r>
  <r>
    <x v="2"/>
    <x v="29"/>
    <x v="37"/>
    <n v="195000"/>
    <x v="20"/>
    <x v="2"/>
    <x v="32"/>
    <x v="1"/>
    <x v="0"/>
    <x v="0"/>
    <s v="First            "/>
    <s v="1061 cc "/>
    <s v="58 bhp @6000             "/>
    <n v="58"/>
    <n v="3.52"/>
    <n v="1.4750000000000001"/>
    <n v="1.66"/>
    <n v="5"/>
    <x v="1"/>
    <n v="35"/>
  </r>
  <r>
    <x v="2"/>
    <x v="15"/>
    <x v="38"/>
    <n v="195000"/>
    <x v="20"/>
    <x v="4"/>
    <x v="33"/>
    <x v="2"/>
    <x v="0"/>
    <x v="0"/>
    <s v="First            "/>
    <s v="1248 cc "/>
    <s v="75  bhp @4000             "/>
    <n v="75"/>
    <n v="3.7149999999999999"/>
    <n v="1.68"/>
    <n v="1.62"/>
    <n v="5"/>
    <x v="1"/>
    <n v="43"/>
  </r>
  <r>
    <x v="5"/>
    <x v="30"/>
    <x v="39"/>
    <n v="195000"/>
    <x v="20"/>
    <x v="0"/>
    <x v="34"/>
    <x v="0"/>
    <x v="0"/>
    <x v="1"/>
    <s v="First            "/>
    <s v="1198 cc "/>
    <s v="89 bhp @ 6200 rpm   "/>
    <n v="89"/>
    <n v="3.9"/>
    <n v="1.6950000000000001"/>
    <n v="1.5349999999999999"/>
    <n v="5"/>
    <x v="1"/>
    <n v="42"/>
  </r>
  <r>
    <x v="7"/>
    <x v="31"/>
    <x v="40"/>
    <n v="198000"/>
    <x v="21"/>
    <x v="9"/>
    <x v="35"/>
    <x v="0"/>
    <x v="0"/>
    <x v="4"/>
    <s v="First            "/>
    <s v="999 cc  "/>
    <s v="67 bhp @ 5500 rpm   "/>
    <n v="67"/>
    <n v="3.4289999999999998"/>
    <n v="1.56"/>
    <n v="1.5409999999999999"/>
    <n v="5"/>
    <x v="1"/>
    <n v="28"/>
  </r>
  <r>
    <x v="0"/>
    <x v="32"/>
    <x v="41"/>
    <n v="199000"/>
    <x v="22"/>
    <x v="4"/>
    <x v="36"/>
    <x v="2"/>
    <x v="0"/>
    <x v="0"/>
    <s v="Third            "/>
    <s v="2179 cc "/>
    <s v="120 bhp@4000            "/>
    <n v="12"/>
    <n v="4.4210000000000003"/>
    <n v="1.78"/>
    <n v="1.94"/>
    <n v="7"/>
    <x v="1"/>
    <n v="65"/>
  </r>
  <r>
    <x v="2"/>
    <x v="6"/>
    <x v="42"/>
    <n v="200000"/>
    <x v="23"/>
    <x v="3"/>
    <x v="37"/>
    <x v="0"/>
    <x v="0"/>
    <x v="7"/>
    <s v="First            "/>
    <s v="796 cc  "/>
    <s v="47 bhp @6200             "/>
    <n v="47"/>
    <n v="3.4950000000000001"/>
    <n v="1.4750000000000001"/>
    <n v="1.46"/>
    <n v="5"/>
    <x v="1"/>
    <n v="35"/>
  </r>
  <r>
    <x v="1"/>
    <x v="8"/>
    <x v="43"/>
    <n v="200000"/>
    <x v="23"/>
    <x v="8"/>
    <x v="38"/>
    <x v="3"/>
    <x v="0"/>
    <x v="0"/>
    <s v="First            "/>
    <s v="1086 cc "/>
    <s v="62 bhp @ 5500 rpm   "/>
    <n v="62"/>
    <n v="3.5649999999999999"/>
    <n v="1.5249999999999999"/>
    <n v="1.59"/>
    <n v="5"/>
    <x v="1"/>
    <n v="35"/>
  </r>
  <r>
    <x v="2"/>
    <x v="23"/>
    <x v="44"/>
    <n v="200000"/>
    <x v="23"/>
    <x v="4"/>
    <x v="39"/>
    <x v="0"/>
    <x v="0"/>
    <x v="9"/>
    <s v="Second           "/>
    <s v="998 cc  "/>
    <s v="67 bhp @ 6200 rpm   "/>
    <n v="67"/>
    <n v="3.62"/>
    <n v="1.4750000000000001"/>
    <n v="1.46"/>
    <n v="5"/>
    <x v="1"/>
    <n v="35"/>
  </r>
  <r>
    <x v="1"/>
    <x v="33"/>
    <x v="45"/>
    <n v="200000"/>
    <x v="23"/>
    <x v="6"/>
    <x v="40"/>
    <x v="2"/>
    <x v="0"/>
    <x v="0"/>
    <s v="Third            "/>
    <s v="1120 cc "/>
    <s v="71 bhp @ 4000 rpm   "/>
    <n v="71"/>
    <n v="3.9950000000000001"/>
    <n v="1.66"/>
    <n v="1.52"/>
    <n v="5"/>
    <x v="1"/>
    <n v="43"/>
  </r>
  <r>
    <x v="2"/>
    <x v="34"/>
    <x v="46"/>
    <n v="210000"/>
    <x v="24"/>
    <x v="6"/>
    <x v="41"/>
    <x v="0"/>
    <x v="0"/>
    <x v="4"/>
    <s v="First            "/>
    <s v="796 cc  "/>
    <s v="47 bhp @ 6000 rpm   "/>
    <n v="47"/>
    <n v="3.395"/>
    <n v="1.49"/>
    <n v="1.4750000000000001"/>
    <n v="5"/>
    <x v="1"/>
    <n v="35"/>
  </r>
  <r>
    <x v="1"/>
    <x v="35"/>
    <x v="47"/>
    <n v="210000"/>
    <x v="24"/>
    <x v="6"/>
    <x v="22"/>
    <x v="0"/>
    <x v="0"/>
    <x v="4"/>
    <s v="First            "/>
    <s v="814 cc  "/>
    <s v="55 bhp @ 5500 rpm   "/>
    <n v="55"/>
    <n v="3.4950000000000001"/>
    <n v="1.55"/>
    <n v="1.5"/>
    <n v="5"/>
    <x v="1"/>
    <n v="32"/>
  </r>
  <r>
    <x v="8"/>
    <x v="36"/>
    <x v="48"/>
    <n v="210000"/>
    <x v="24"/>
    <x v="1"/>
    <x v="21"/>
    <x v="2"/>
    <x v="0"/>
    <x v="0"/>
    <s v="Fourth           "/>
    <s v="2489 cc "/>
    <s v="95  bhp @3600             "/>
    <n v="95"/>
    <n v="4.5199999999999996"/>
    <n v="1.85"/>
    <n v="1.895"/>
    <n v="7"/>
    <x v="1"/>
    <n v="55"/>
  </r>
  <r>
    <x v="1"/>
    <x v="37"/>
    <x v="49"/>
    <n v="215000"/>
    <x v="25"/>
    <x v="1"/>
    <x v="42"/>
    <x v="0"/>
    <x v="0"/>
    <x v="2"/>
    <s v="First            "/>
    <s v="814 cc  "/>
    <s v="55 bhp @ 5500 rpm   "/>
    <n v="55"/>
    <n v="3.4950000000000001"/>
    <n v="1.55"/>
    <n v="1.5"/>
    <n v="5"/>
    <x v="1"/>
    <n v="32"/>
  </r>
  <r>
    <x v="2"/>
    <x v="9"/>
    <x v="50"/>
    <n v="218000"/>
    <x v="26"/>
    <x v="3"/>
    <x v="39"/>
    <x v="0"/>
    <x v="0"/>
    <x v="5"/>
    <s v="Second           "/>
    <s v="1061 cc "/>
    <s v="67  bhp @6200             "/>
    <n v="67"/>
    <n v="3.52"/>
    <n v="1.4750000000000001"/>
    <n v="1.69"/>
    <n v="5"/>
    <x v="1"/>
    <n v="35"/>
  </r>
  <r>
    <x v="2"/>
    <x v="38"/>
    <x v="51"/>
    <n v="220000"/>
    <x v="27"/>
    <x v="0"/>
    <x v="11"/>
    <x v="0"/>
    <x v="0"/>
    <x v="10"/>
    <s v="First            "/>
    <s v="998 cc  "/>
    <s v="67 bhp @ 6200 rpm   "/>
    <n v="67"/>
    <n v="3.6"/>
    <n v="1.4750000000000001"/>
    <n v="1.595"/>
    <n v="5"/>
    <x v="1"/>
    <n v="35"/>
  </r>
  <r>
    <x v="2"/>
    <x v="39"/>
    <x v="52"/>
    <n v="220000"/>
    <x v="27"/>
    <x v="1"/>
    <x v="43"/>
    <x v="0"/>
    <x v="0"/>
    <x v="10"/>
    <s v="First            "/>
    <s v="998 cc  "/>
    <s v="68 bhp @6200             "/>
    <n v="68"/>
    <n v="3.5390000000000001"/>
    <n v="1.4750000000000001"/>
    <n v="1.7"/>
    <n v="5"/>
    <x v="1"/>
    <n v="35"/>
  </r>
  <r>
    <x v="1"/>
    <x v="40"/>
    <x v="53"/>
    <n v="220000"/>
    <x v="27"/>
    <x v="4"/>
    <x v="44"/>
    <x v="0"/>
    <x v="0"/>
    <x v="6"/>
    <s v="First            "/>
    <s v="1197 cc "/>
    <s v="79 bhp @ 6000 rpm   "/>
    <n v="79"/>
    <n v="3.585"/>
    <n v="1.595"/>
    <n v="1.55"/>
    <n v="5"/>
    <x v="1"/>
    <n v="35"/>
  </r>
  <r>
    <x v="1"/>
    <x v="28"/>
    <x v="54"/>
    <n v="220000"/>
    <x v="27"/>
    <x v="2"/>
    <x v="45"/>
    <x v="0"/>
    <x v="0"/>
    <x v="5"/>
    <s v="First            "/>
    <s v="1197 cc "/>
    <s v="80  bhp @5200             "/>
    <n v="80"/>
    <n v="3.5649999999999999"/>
    <n v="1.595"/>
    <n v="1.55"/>
    <n v="5"/>
    <x v="1"/>
    <n v="35"/>
  </r>
  <r>
    <x v="9"/>
    <x v="41"/>
    <x v="55"/>
    <n v="225000"/>
    <x v="28"/>
    <x v="1"/>
    <x v="46"/>
    <x v="0"/>
    <x v="0"/>
    <x v="1"/>
    <s v="First            "/>
    <s v="1598 cc "/>
    <s v="105 bhp @ 5250 rpm  "/>
    <n v="105"/>
    <n v="4"/>
    <n v="1.6419999999999999"/>
    <n v="1.522"/>
    <n v="5"/>
    <x v="1"/>
    <n v="45"/>
  </r>
  <r>
    <x v="1"/>
    <x v="42"/>
    <x v="56"/>
    <n v="225000"/>
    <x v="28"/>
    <x v="2"/>
    <x v="47"/>
    <x v="2"/>
    <x v="0"/>
    <x v="1"/>
    <s v="Third            "/>
    <s v="1991 cc "/>
    <s v="142  bhp @4000            "/>
    <n v="142"/>
    <n v="4.8"/>
    <n v="1.8320000000000001"/>
    <n v="1.4850000000000001"/>
    <n v="5"/>
    <x v="1"/>
    <n v="70"/>
  </r>
  <r>
    <x v="1"/>
    <x v="35"/>
    <x v="57"/>
    <n v="225000"/>
    <x v="28"/>
    <x v="1"/>
    <x v="40"/>
    <x v="0"/>
    <x v="0"/>
    <x v="2"/>
    <s v="First            "/>
    <s v="814 cc  "/>
    <s v="55 bhp @ 5500 rpm   "/>
    <n v="55"/>
    <n v="3.4950000000000001"/>
    <n v="1.55"/>
    <n v="1.5"/>
    <n v="5"/>
    <x v="1"/>
    <n v="32"/>
  </r>
  <r>
    <x v="2"/>
    <x v="43"/>
    <x v="58"/>
    <n v="225000"/>
    <x v="28"/>
    <x v="1"/>
    <x v="38"/>
    <x v="3"/>
    <x v="0"/>
    <x v="1"/>
    <s v="First            "/>
    <s v="998 cc  "/>
    <s v="59  bhp @6200             "/>
    <n v="59"/>
    <n v="3.5390000000000001"/>
    <n v="1.4750000000000001"/>
    <n v="1.7"/>
    <n v="5"/>
    <x v="1"/>
    <n v="35"/>
  </r>
  <r>
    <x v="3"/>
    <x v="44"/>
    <x v="59"/>
    <n v="225000"/>
    <x v="28"/>
    <x v="8"/>
    <x v="48"/>
    <x v="2"/>
    <x v="0"/>
    <x v="2"/>
    <s v="First            "/>
    <s v="1399 cc "/>
    <s v="68 bhp @ 4000 rpm   "/>
    <n v="68"/>
    <n v="3.7949999999999999"/>
    <n v="1.68"/>
    <n v="1.427"/>
    <n v="5"/>
    <x v="1"/>
    <n v="45"/>
  </r>
  <r>
    <x v="1"/>
    <x v="45"/>
    <x v="60"/>
    <n v="225000"/>
    <x v="28"/>
    <x v="6"/>
    <x v="49"/>
    <x v="1"/>
    <x v="0"/>
    <x v="4"/>
    <s v="First            "/>
    <s v="1086 cc "/>
    <s v="68 bhp @ 5500 rpm   "/>
    <n v="68"/>
    <n v="3.585"/>
    <n v="1.595"/>
    <n v="1.55"/>
    <n v="5"/>
    <x v="1"/>
    <n v="35"/>
  </r>
  <r>
    <x v="1"/>
    <x v="46"/>
    <x v="61"/>
    <n v="225000"/>
    <x v="28"/>
    <x v="1"/>
    <x v="50"/>
    <x v="0"/>
    <x v="0"/>
    <x v="0"/>
    <s v="First            "/>
    <s v="1086 cc "/>
    <s v="68 bhp @ 5500 rpm   "/>
    <n v="68"/>
    <n v="3.585"/>
    <n v="1.595"/>
    <n v="1.55"/>
    <n v="5"/>
    <x v="1"/>
    <n v="35"/>
  </r>
  <r>
    <x v="2"/>
    <x v="6"/>
    <x v="62"/>
    <n v="227000"/>
    <x v="29"/>
    <x v="4"/>
    <x v="51"/>
    <x v="0"/>
    <x v="0"/>
    <x v="7"/>
    <s v="Second           "/>
    <s v="796 cc  "/>
    <s v="47 bhp @6200             "/>
    <n v="47"/>
    <n v="3.4950000000000001"/>
    <n v="1.4750000000000001"/>
    <n v="1.46"/>
    <n v="5"/>
    <x v="1"/>
    <n v="35"/>
  </r>
  <r>
    <x v="6"/>
    <x v="47"/>
    <x v="63"/>
    <n v="229999"/>
    <x v="30"/>
    <x v="4"/>
    <x v="52"/>
    <x v="2"/>
    <x v="0"/>
    <x v="1"/>
    <s v="First            "/>
    <s v="936 cc  "/>
    <s v="58 bhp @ 4000 rpm   "/>
    <n v="58"/>
    <n v="3.64"/>
    <n v="1.595"/>
    <n v="1.52"/>
    <n v="5"/>
    <x v="1"/>
    <n v="35"/>
  </r>
  <r>
    <x v="2"/>
    <x v="48"/>
    <x v="64"/>
    <n v="229999"/>
    <x v="30"/>
    <x v="1"/>
    <x v="53"/>
    <x v="0"/>
    <x v="0"/>
    <x v="0"/>
    <s v="First            "/>
    <s v="998 cc  "/>
    <s v="67 bhp @ 6200 rpm   "/>
    <n v="67"/>
    <n v="3.6"/>
    <n v="1.4950000000000001"/>
    <n v="1.595"/>
    <n v="5"/>
    <x v="1"/>
    <n v="35"/>
  </r>
  <r>
    <x v="2"/>
    <x v="49"/>
    <x v="65"/>
    <n v="229999"/>
    <x v="30"/>
    <x v="0"/>
    <x v="8"/>
    <x v="0"/>
    <x v="0"/>
    <x v="1"/>
    <s v="First            "/>
    <s v="1298 cc "/>
    <s v="87  bhp @6000             "/>
    <n v="87"/>
    <n v="4.16"/>
    <n v="1.69"/>
    <n v="1.53"/>
    <n v="5"/>
    <x v="1"/>
    <n v="43"/>
  </r>
  <r>
    <x v="2"/>
    <x v="23"/>
    <x v="66"/>
    <n v="234000"/>
    <x v="31"/>
    <x v="8"/>
    <x v="54"/>
    <x v="0"/>
    <x v="0"/>
    <x v="0"/>
    <s v="First            "/>
    <s v="998 cc  "/>
    <s v="67 bhp @ 6200 rpm   "/>
    <n v="67"/>
    <n v="3.62"/>
    <n v="1.4750000000000001"/>
    <n v="1.46"/>
    <n v="5"/>
    <x v="1"/>
    <n v="35"/>
  </r>
  <r>
    <x v="1"/>
    <x v="50"/>
    <x v="67"/>
    <n v="235000"/>
    <x v="32"/>
    <x v="4"/>
    <x v="55"/>
    <x v="2"/>
    <x v="0"/>
    <x v="0"/>
    <s v="First            "/>
    <s v="1582 cc "/>
    <s v="126 bhp @ 4000 rpm  "/>
    <n v="126"/>
    <n v="4.37"/>
    <n v="1.7"/>
    <n v="1.4750000000000001"/>
    <n v="5"/>
    <x v="1"/>
    <n v="43"/>
  </r>
  <r>
    <x v="2"/>
    <x v="51"/>
    <x v="68"/>
    <n v="235000"/>
    <x v="32"/>
    <x v="1"/>
    <x v="56"/>
    <x v="1"/>
    <x v="0"/>
    <x v="11"/>
    <s v="Second           "/>
    <s v="998 cc  "/>
    <s v="46 bhp @ 6200 rpm   "/>
    <n v="46"/>
    <n v="3.5950000000000002"/>
    <n v="1.4750000000000001"/>
    <n v="1.7"/>
    <n v="5"/>
    <x v="1"/>
    <n v="28"/>
  </r>
  <r>
    <x v="1"/>
    <x v="17"/>
    <x v="69"/>
    <n v="235000"/>
    <x v="32"/>
    <x v="2"/>
    <x v="57"/>
    <x v="0"/>
    <x v="0"/>
    <x v="2"/>
    <s v="Third            "/>
    <s v="1086 cc "/>
    <s v="67  bhp @5500             "/>
    <n v="67"/>
    <n v="3.5649999999999999"/>
    <n v="1.595"/>
    <n v="1.55"/>
    <n v="5"/>
    <x v="1"/>
    <n v="35"/>
  </r>
  <r>
    <x v="2"/>
    <x v="52"/>
    <x v="70"/>
    <n v="235000"/>
    <x v="32"/>
    <x v="1"/>
    <x v="25"/>
    <x v="0"/>
    <x v="0"/>
    <x v="10"/>
    <s v="Second           "/>
    <s v="998 cc  "/>
    <s v="68 bhp @6200             "/>
    <n v="68"/>
    <n v="3.5390000000000001"/>
    <n v="1.4950000000000001"/>
    <n v="1.7"/>
    <n v="5"/>
    <x v="1"/>
    <n v="35"/>
  </r>
  <r>
    <x v="3"/>
    <x v="44"/>
    <x v="71"/>
    <n v="235000"/>
    <x v="32"/>
    <x v="6"/>
    <x v="58"/>
    <x v="2"/>
    <x v="0"/>
    <x v="0"/>
    <s v="Second           "/>
    <s v="1399 cc "/>
    <s v="68 bhp @ 4000 rpm   "/>
    <n v="68"/>
    <n v="3.7949999999999999"/>
    <n v="1.68"/>
    <n v="1.427"/>
    <n v="5"/>
    <x v="1"/>
    <n v="45"/>
  </r>
  <r>
    <x v="1"/>
    <x v="53"/>
    <x v="72"/>
    <n v="235000"/>
    <x v="32"/>
    <x v="2"/>
    <x v="59"/>
    <x v="0"/>
    <x v="0"/>
    <x v="7"/>
    <s v="Third            "/>
    <s v="1197 cc "/>
    <s v="80 bhp @5200             "/>
    <n v="80"/>
    <n v="3.94"/>
    <n v="1.71"/>
    <n v="1.5049999999999999"/>
    <n v="5"/>
    <x v="1"/>
    <n v="45"/>
  </r>
  <r>
    <x v="10"/>
    <x v="54"/>
    <x v="73"/>
    <n v="235000"/>
    <x v="32"/>
    <x v="4"/>
    <x v="43"/>
    <x v="0"/>
    <x v="0"/>
    <x v="8"/>
    <s v="First            "/>
    <s v="1368 cc "/>
    <s v="90 bhp @6000             "/>
    <n v="90"/>
    <n v="4.5599999999999996"/>
    <n v="1.73"/>
    <n v="1.4870000000000001"/>
    <n v="5"/>
    <x v="1"/>
    <n v="45"/>
  </r>
  <r>
    <x v="8"/>
    <x v="55"/>
    <x v="74"/>
    <n v="240000"/>
    <x v="33"/>
    <x v="8"/>
    <x v="60"/>
    <x v="2"/>
    <x v="0"/>
    <x v="6"/>
    <s v="Second           "/>
    <s v="1493 cc "/>
    <s v="100 bhp @ 3750 rpm  "/>
    <n v="100"/>
    <n v="3.9849999999999999"/>
    <n v="1.85"/>
    <n v="1.88"/>
    <n v="7"/>
    <x v="1"/>
    <n v="55"/>
  </r>
  <r>
    <x v="7"/>
    <x v="56"/>
    <x v="75"/>
    <n v="240000"/>
    <x v="33"/>
    <x v="9"/>
    <x v="61"/>
    <x v="0"/>
    <x v="0"/>
    <x v="0"/>
    <s v="First            "/>
    <s v="1198 cc "/>
    <s v="67 bhp @ 5000 rpm   "/>
    <n v="67"/>
    <n v="3.7850000000000001"/>
    <n v="1.635"/>
    <n v="1.4850000000000001"/>
    <n v="5"/>
    <x v="1"/>
    <n v="35"/>
  </r>
  <r>
    <x v="1"/>
    <x v="57"/>
    <x v="76"/>
    <n v="240000"/>
    <x v="33"/>
    <x v="8"/>
    <x v="23"/>
    <x v="0"/>
    <x v="0"/>
    <x v="0"/>
    <s v="First            "/>
    <s v="998 cc  "/>
    <s v="68 bhp @ 6200 rpm   "/>
    <n v="68"/>
    <n v="3.5150000000000001"/>
    <n v="1.5"/>
    <n v="1.51"/>
    <n v="5"/>
    <x v="1"/>
    <n v="32"/>
  </r>
  <r>
    <x v="3"/>
    <x v="58"/>
    <x v="77"/>
    <n v="240000"/>
    <x v="33"/>
    <x v="0"/>
    <x v="8"/>
    <x v="2"/>
    <x v="0"/>
    <x v="0"/>
    <s v="First            "/>
    <s v="1399 cc "/>
    <s v="69  bhp @4000             "/>
    <n v="69"/>
    <n v="3.7949999999999999"/>
    <n v="1.68"/>
    <n v="1.427"/>
    <n v="5"/>
    <x v="1"/>
    <n v="45"/>
  </r>
  <r>
    <x v="3"/>
    <x v="59"/>
    <x v="78"/>
    <n v="240000"/>
    <x v="33"/>
    <x v="8"/>
    <x v="62"/>
    <x v="0"/>
    <x v="0"/>
    <x v="1"/>
    <s v="First            "/>
    <s v="1196 cc "/>
    <s v="70 bhp @ 6250 rpm   "/>
    <n v="70"/>
    <n v="3.7949999999999999"/>
    <n v="1.68"/>
    <n v="1.427"/>
    <n v="5"/>
    <x v="1"/>
    <n v="45"/>
  </r>
  <r>
    <x v="5"/>
    <x v="60"/>
    <x v="79"/>
    <n v="245000"/>
    <x v="34"/>
    <x v="0"/>
    <x v="63"/>
    <x v="0"/>
    <x v="1"/>
    <x v="2"/>
    <s v="Second           "/>
    <s v="1497 cc "/>
    <s v="118 bhp @6600            "/>
    <n v="118"/>
    <n v="4.42"/>
    <n v="1.6950000000000001"/>
    <n v="1.48"/>
    <n v="5"/>
    <x v="1"/>
    <n v="42"/>
  </r>
  <r>
    <x v="2"/>
    <x v="61"/>
    <x v="80"/>
    <n v="245000"/>
    <x v="34"/>
    <x v="10"/>
    <x v="8"/>
    <x v="3"/>
    <x v="0"/>
    <x v="1"/>
    <s v="Second           "/>
    <s v="796 cc  "/>
    <s v="47 bhp @ 6000 rpm   "/>
    <n v="47"/>
    <n v="3.395"/>
    <n v="1.49"/>
    <n v="1.4750000000000001"/>
    <n v="5"/>
    <x v="1"/>
    <n v="35"/>
  </r>
  <r>
    <x v="2"/>
    <x v="34"/>
    <x v="81"/>
    <n v="245000"/>
    <x v="34"/>
    <x v="11"/>
    <x v="17"/>
    <x v="0"/>
    <x v="0"/>
    <x v="0"/>
    <s v="First            "/>
    <s v="796 cc  "/>
    <s v="47 bhp @ 6000 rpm   "/>
    <n v="47"/>
    <n v="3.395"/>
    <n v="1.49"/>
    <n v="1.4750000000000001"/>
    <n v="5"/>
    <x v="1"/>
    <n v="35"/>
  </r>
  <r>
    <x v="2"/>
    <x v="23"/>
    <x v="82"/>
    <n v="245000"/>
    <x v="34"/>
    <x v="6"/>
    <x v="64"/>
    <x v="0"/>
    <x v="0"/>
    <x v="6"/>
    <s v="Second           "/>
    <s v="998 cc  "/>
    <s v="67 bhp @ 6200 rpm   "/>
    <n v="67"/>
    <n v="3.62"/>
    <n v="1.4750000000000001"/>
    <n v="1.46"/>
    <n v="5"/>
    <x v="1"/>
    <n v="35"/>
  </r>
  <r>
    <x v="2"/>
    <x v="62"/>
    <x v="83"/>
    <n v="245000"/>
    <x v="34"/>
    <x v="11"/>
    <x v="23"/>
    <x v="0"/>
    <x v="0"/>
    <x v="1"/>
    <s v="First            "/>
    <s v="998 cc  "/>
    <s v="67 bhp @ 6000 rpm   "/>
    <n v="67"/>
    <n v="3.5449999999999999"/>
    <n v="1.49"/>
    <n v="1.4750000000000001"/>
    <n v="5"/>
    <x v="1"/>
    <n v="35"/>
  </r>
  <r>
    <x v="2"/>
    <x v="63"/>
    <x v="84"/>
    <n v="245000"/>
    <x v="34"/>
    <x v="6"/>
    <x v="65"/>
    <x v="0"/>
    <x v="0"/>
    <x v="0"/>
    <s v="Second           "/>
    <s v="1197 cc "/>
    <s v="85 bhp @ 6000 rpm   "/>
    <n v="85"/>
    <n v="3.7749999999999999"/>
    <n v="1.68"/>
    <n v="1.62"/>
    <n v="5"/>
    <x v="1"/>
    <n v="43"/>
  </r>
  <r>
    <x v="2"/>
    <x v="49"/>
    <x v="85"/>
    <n v="245000"/>
    <x v="34"/>
    <x v="2"/>
    <x v="66"/>
    <x v="0"/>
    <x v="0"/>
    <x v="5"/>
    <s v="First            "/>
    <s v="1298 cc "/>
    <s v="87  bhp @6000             "/>
    <n v="87"/>
    <n v="4.16"/>
    <n v="1.69"/>
    <n v="1.53"/>
    <n v="5"/>
    <x v="1"/>
    <n v="43"/>
  </r>
  <r>
    <x v="8"/>
    <x v="64"/>
    <x v="86"/>
    <n v="249000"/>
    <x v="35"/>
    <x v="8"/>
    <x v="0"/>
    <x v="2"/>
    <x v="0"/>
    <x v="4"/>
    <s v="First            "/>
    <s v="1493 cc "/>
    <s v="100 bhp @ 3750 rpm  "/>
    <n v="100"/>
    <n v="3.9849999999999999"/>
    <n v="1.85"/>
    <n v="1.88"/>
    <n v="7"/>
    <x v="1"/>
    <n v="55"/>
  </r>
  <r>
    <x v="5"/>
    <x v="65"/>
    <x v="87"/>
    <n v="250000"/>
    <x v="36"/>
    <x v="2"/>
    <x v="67"/>
    <x v="0"/>
    <x v="0"/>
    <x v="8"/>
    <s v="First            "/>
    <s v="1497 cc "/>
    <s v="118 bhp @6600            "/>
    <n v="118"/>
    <n v="4.42"/>
    <n v="1.6950000000000001"/>
    <n v="1.48"/>
    <n v="5"/>
    <x v="1"/>
    <n v="42"/>
  </r>
  <r>
    <x v="5"/>
    <x v="66"/>
    <x v="88"/>
    <n v="250000"/>
    <x v="36"/>
    <x v="2"/>
    <x v="68"/>
    <x v="0"/>
    <x v="1"/>
    <x v="2"/>
    <s v="First            "/>
    <s v="1497 cc "/>
    <s v="118 bhp @6600            "/>
    <n v="118"/>
    <n v="4.42"/>
    <n v="1.6950000000000001"/>
    <n v="1.48"/>
    <n v="5"/>
    <x v="1"/>
    <n v="42"/>
  </r>
  <r>
    <x v="5"/>
    <x v="65"/>
    <x v="89"/>
    <n v="250000"/>
    <x v="36"/>
    <x v="4"/>
    <x v="17"/>
    <x v="0"/>
    <x v="0"/>
    <x v="1"/>
    <s v="First            "/>
    <s v="1497 cc "/>
    <s v="118 bhp @6600            "/>
    <n v="118"/>
    <n v="4.42"/>
    <n v="1.6950000000000001"/>
    <n v="1.48"/>
    <n v="5"/>
    <x v="1"/>
    <n v="42"/>
  </r>
  <r>
    <x v="5"/>
    <x v="67"/>
    <x v="90"/>
    <n v="250000"/>
    <x v="36"/>
    <x v="7"/>
    <x v="69"/>
    <x v="0"/>
    <x v="1"/>
    <x v="8"/>
    <s v="Third            "/>
    <s v="2354 cc "/>
    <s v="152 bhp @6000            "/>
    <n v="152"/>
    <n v="4.63"/>
    <n v="1.78"/>
    <n v="1.71"/>
    <n v="5"/>
    <x v="1"/>
    <n v="58"/>
  </r>
  <r>
    <x v="2"/>
    <x v="34"/>
    <x v="91"/>
    <n v="250000"/>
    <x v="36"/>
    <x v="10"/>
    <x v="11"/>
    <x v="0"/>
    <x v="0"/>
    <x v="6"/>
    <s v="Second           "/>
    <s v="796 cc  "/>
    <s v="47 bhp @ 6000 rpm   "/>
    <n v="47"/>
    <n v="3.395"/>
    <n v="1.49"/>
    <n v="1.4750000000000001"/>
    <n v="5"/>
    <x v="1"/>
    <n v="35"/>
  </r>
  <r>
    <x v="11"/>
    <x v="68"/>
    <x v="92"/>
    <n v="250000"/>
    <x v="36"/>
    <x v="9"/>
    <x v="34"/>
    <x v="0"/>
    <x v="0"/>
    <x v="0"/>
    <s v="First            "/>
    <s v="799 cc  "/>
    <s v="53 bhp @ 5678 rpm   "/>
    <n v="53"/>
    <n v="3.6789999999999998"/>
    <n v="1.579"/>
    <n v="1.478"/>
    <n v="5"/>
    <x v="1"/>
    <n v="28"/>
  </r>
  <r>
    <x v="1"/>
    <x v="37"/>
    <x v="93"/>
    <n v="250000"/>
    <x v="36"/>
    <x v="8"/>
    <x v="70"/>
    <x v="0"/>
    <x v="0"/>
    <x v="4"/>
    <s v="First            "/>
    <s v="814 cc  "/>
    <s v="55 bhp @ 5500 rpm   "/>
    <n v="55"/>
    <n v="3.4950000000000001"/>
    <n v="1.55"/>
    <n v="1.5"/>
    <n v="5"/>
    <x v="1"/>
    <n v="32"/>
  </r>
  <r>
    <x v="1"/>
    <x v="69"/>
    <x v="94"/>
    <n v="250000"/>
    <x v="36"/>
    <x v="6"/>
    <x v="71"/>
    <x v="0"/>
    <x v="0"/>
    <x v="0"/>
    <s v="First            "/>
    <s v="814 cc  "/>
    <s v="55 bhp @ 5500 rpm   "/>
    <n v="55"/>
    <n v="3.4950000000000001"/>
    <n v="1.55"/>
    <n v="1.5"/>
    <n v="5"/>
    <x v="1"/>
    <n v="32"/>
  </r>
  <r>
    <x v="7"/>
    <x v="70"/>
    <x v="95"/>
    <n v="250000"/>
    <x v="36"/>
    <x v="12"/>
    <x v="71"/>
    <x v="0"/>
    <x v="0"/>
    <x v="2"/>
    <s v="Second           "/>
    <s v="999 cc  "/>
    <s v="67 bhp @ 5500 rpm   "/>
    <n v="67"/>
    <n v="3.4289999999999998"/>
    <n v="1.56"/>
    <n v="1.5409999999999999"/>
    <n v="5"/>
    <x v="1"/>
    <n v="28"/>
  </r>
  <r>
    <x v="2"/>
    <x v="23"/>
    <x v="96"/>
    <n v="250000"/>
    <x v="36"/>
    <x v="6"/>
    <x v="66"/>
    <x v="0"/>
    <x v="0"/>
    <x v="0"/>
    <s v="Second           "/>
    <s v="998 cc  "/>
    <s v="67 bhp @ 6200 rpm   "/>
    <n v="67"/>
    <n v="3.62"/>
    <n v="1.4750000000000001"/>
    <n v="1.46"/>
    <n v="5"/>
    <x v="1"/>
    <n v="35"/>
  </r>
  <r>
    <x v="1"/>
    <x v="46"/>
    <x v="97"/>
    <n v="250000"/>
    <x v="36"/>
    <x v="1"/>
    <x v="72"/>
    <x v="0"/>
    <x v="0"/>
    <x v="0"/>
    <s v="First            "/>
    <s v="1086 cc "/>
    <s v="68 bhp @ 5500 rpm   "/>
    <n v="68"/>
    <n v="3.585"/>
    <n v="1.595"/>
    <n v="1.55"/>
    <n v="5"/>
    <x v="1"/>
    <n v="35"/>
  </r>
  <r>
    <x v="2"/>
    <x v="52"/>
    <x v="98"/>
    <n v="250000"/>
    <x v="36"/>
    <x v="1"/>
    <x v="73"/>
    <x v="0"/>
    <x v="0"/>
    <x v="0"/>
    <s v="First            "/>
    <s v="998 cc  "/>
    <s v="68 bhp @6200             "/>
    <n v="68"/>
    <n v="3.5390000000000001"/>
    <n v="1.4950000000000001"/>
    <n v="1.7"/>
    <n v="5"/>
    <x v="1"/>
    <n v="35"/>
  </r>
  <r>
    <x v="1"/>
    <x v="71"/>
    <x v="99"/>
    <n v="250000"/>
    <x v="36"/>
    <x v="4"/>
    <x v="23"/>
    <x v="0"/>
    <x v="0"/>
    <x v="2"/>
    <s v="First            "/>
    <s v="1197 cc "/>
    <s v="79 bhp @ 6000 rpm   "/>
    <n v="79"/>
    <n v="3.585"/>
    <n v="1.595"/>
    <n v="1.55"/>
    <n v="5"/>
    <x v="1"/>
    <n v="35"/>
  </r>
  <r>
    <x v="1"/>
    <x v="40"/>
    <x v="100"/>
    <n v="250000"/>
    <x v="36"/>
    <x v="1"/>
    <x v="74"/>
    <x v="0"/>
    <x v="0"/>
    <x v="0"/>
    <s v="First            "/>
    <s v="1197 cc "/>
    <s v="79 bhp @ 6000 rpm   "/>
    <n v="79"/>
    <n v="3.585"/>
    <n v="1.595"/>
    <n v="1.55"/>
    <n v="5"/>
    <x v="1"/>
    <n v="35"/>
  </r>
  <r>
    <x v="1"/>
    <x v="40"/>
    <x v="101"/>
    <n v="250000"/>
    <x v="36"/>
    <x v="4"/>
    <x v="75"/>
    <x v="0"/>
    <x v="0"/>
    <x v="0"/>
    <s v="First            "/>
    <s v="1197 cc "/>
    <s v="79 bhp @ 6000 rpm   "/>
    <n v="79"/>
    <n v="3.585"/>
    <n v="1.595"/>
    <n v="1.55"/>
    <n v="5"/>
    <x v="1"/>
    <n v="35"/>
  </r>
  <r>
    <x v="5"/>
    <x v="72"/>
    <x v="102"/>
    <n v="250000"/>
    <x v="36"/>
    <x v="9"/>
    <x v="76"/>
    <x v="2"/>
    <x v="0"/>
    <x v="12"/>
    <s v="First            "/>
    <s v="1498 cc "/>
    <s v="99 bhp @ 3600 rpm   "/>
    <n v="99"/>
    <n v="4.4400000000000004"/>
    <n v="1.6950000000000001"/>
    <n v="1.4950000000000001"/>
    <n v="5"/>
    <x v="1"/>
    <n v="40"/>
  </r>
  <r>
    <x v="0"/>
    <x v="32"/>
    <x v="103"/>
    <n v="250999"/>
    <x v="37"/>
    <x v="4"/>
    <x v="77"/>
    <x v="2"/>
    <x v="0"/>
    <x v="1"/>
    <s v="First            "/>
    <s v="2179 cc "/>
    <s v="120 bhp @4000            "/>
    <n v="120"/>
    <n v="4.4210000000000003"/>
    <n v="1.78"/>
    <n v="1.94"/>
    <n v="7"/>
    <x v="1"/>
    <n v="65"/>
  </r>
  <r>
    <x v="11"/>
    <x v="68"/>
    <x v="104"/>
    <n v="254999"/>
    <x v="38"/>
    <x v="11"/>
    <x v="78"/>
    <x v="0"/>
    <x v="0"/>
    <x v="1"/>
    <s v="First            "/>
    <s v="799 cc  "/>
    <s v="53 bhp @ 5678 rpm   "/>
    <n v="53"/>
    <n v="3.6789999999999998"/>
    <n v="1.579"/>
    <n v="1.478"/>
    <n v="5"/>
    <x v="1"/>
    <n v="28"/>
  </r>
  <r>
    <x v="1"/>
    <x v="73"/>
    <x v="105"/>
    <n v="254999"/>
    <x v="38"/>
    <x v="1"/>
    <x v="79"/>
    <x v="0"/>
    <x v="0"/>
    <x v="1"/>
    <s v="First            "/>
    <s v="1086 cc "/>
    <s v="62 bhp @ 5500 rpm   "/>
    <n v="62"/>
    <n v="3.5649999999999999"/>
    <n v="1.5249999999999999"/>
    <n v="1.59"/>
    <n v="5"/>
    <x v="1"/>
    <n v="35"/>
  </r>
  <r>
    <x v="1"/>
    <x v="74"/>
    <x v="106"/>
    <n v="254999"/>
    <x v="38"/>
    <x v="1"/>
    <x v="80"/>
    <x v="0"/>
    <x v="0"/>
    <x v="0"/>
    <s v="First            "/>
    <s v="1086 cc "/>
    <s v="68 bhp @ 5500 rpm   "/>
    <n v="68"/>
    <n v="3.585"/>
    <n v="1.595"/>
    <n v="1.55"/>
    <n v="5"/>
    <x v="1"/>
    <n v="35"/>
  </r>
  <r>
    <x v="2"/>
    <x v="43"/>
    <x v="107"/>
    <n v="260000"/>
    <x v="39"/>
    <x v="8"/>
    <x v="16"/>
    <x v="3"/>
    <x v="0"/>
    <x v="1"/>
    <s v="First            "/>
    <s v="998 cc  "/>
    <s v="59  bhp @6200             "/>
    <n v="59"/>
    <n v="3.5390000000000001"/>
    <n v="1.4750000000000001"/>
    <n v="1.7"/>
    <n v="5"/>
    <x v="1"/>
    <n v="35"/>
  </r>
  <r>
    <x v="2"/>
    <x v="75"/>
    <x v="108"/>
    <n v="260000"/>
    <x v="39"/>
    <x v="10"/>
    <x v="81"/>
    <x v="0"/>
    <x v="0"/>
    <x v="7"/>
    <s v="First            "/>
    <s v="998 cc  "/>
    <s v="67 bhp @ 6000 rpm   "/>
    <n v="67"/>
    <n v="3.6"/>
    <n v="1.6"/>
    <n v="1.56"/>
    <n v="5"/>
    <x v="1"/>
    <n v="35"/>
  </r>
  <r>
    <x v="2"/>
    <x v="23"/>
    <x v="109"/>
    <n v="260000"/>
    <x v="39"/>
    <x v="1"/>
    <x v="43"/>
    <x v="0"/>
    <x v="0"/>
    <x v="12"/>
    <s v="First            "/>
    <s v="998 cc  "/>
    <s v="67 bhp @ 6200 rpm   "/>
    <n v="67"/>
    <n v="3.62"/>
    <n v="1.4750000000000001"/>
    <n v="1.46"/>
    <n v="5"/>
    <x v="1"/>
    <n v="35"/>
  </r>
  <r>
    <x v="2"/>
    <x v="18"/>
    <x v="110"/>
    <n v="260000"/>
    <x v="39"/>
    <x v="4"/>
    <x v="14"/>
    <x v="2"/>
    <x v="0"/>
    <x v="0"/>
    <s v="Second           "/>
    <s v="1248 cc "/>
    <s v="74 bhp @ 4000 rpm   "/>
    <n v="74"/>
    <n v="3.9950000000000001"/>
    <n v="1.6950000000000001"/>
    <n v="1.5549999999999999"/>
    <n v="5"/>
    <x v="1"/>
    <n v="42"/>
  </r>
  <r>
    <x v="2"/>
    <x v="49"/>
    <x v="111"/>
    <n v="260000"/>
    <x v="39"/>
    <x v="2"/>
    <x v="82"/>
    <x v="0"/>
    <x v="0"/>
    <x v="13"/>
    <s v="Second           "/>
    <s v="1298 cc "/>
    <s v="87 bhp @ 6000             "/>
    <n v="87"/>
    <n v="4.16"/>
    <n v="1.69"/>
    <n v="1.53"/>
    <n v="5"/>
    <x v="1"/>
    <n v="43"/>
  </r>
  <r>
    <x v="2"/>
    <x v="61"/>
    <x v="112"/>
    <n v="265000"/>
    <x v="40"/>
    <x v="9"/>
    <x v="83"/>
    <x v="3"/>
    <x v="0"/>
    <x v="0"/>
    <s v="First            "/>
    <s v="796 cc  "/>
    <s v="47 bhp @ 6000 rpm   "/>
    <n v="47"/>
    <n v="3.395"/>
    <n v="1.49"/>
    <n v="1.4750000000000001"/>
    <n v="5"/>
    <x v="1"/>
    <n v="35"/>
  </r>
  <r>
    <x v="2"/>
    <x v="34"/>
    <x v="113"/>
    <n v="265000"/>
    <x v="40"/>
    <x v="9"/>
    <x v="84"/>
    <x v="0"/>
    <x v="0"/>
    <x v="0"/>
    <s v="First            "/>
    <s v="796 cc  "/>
    <s v="47 bhp @ 6000 rpm   "/>
    <n v="47"/>
    <n v="3.395"/>
    <n v="1.49"/>
    <n v="1.4750000000000001"/>
    <n v="5"/>
    <x v="1"/>
    <n v="35"/>
  </r>
  <r>
    <x v="11"/>
    <x v="76"/>
    <x v="114"/>
    <n v="265000"/>
    <x v="40"/>
    <x v="11"/>
    <x v="85"/>
    <x v="0"/>
    <x v="0"/>
    <x v="4"/>
    <s v="First            "/>
    <s v="999 cc  "/>
    <s v="67 bhp @ 5500 rpm   "/>
    <n v="67"/>
    <n v="3.6789999999999998"/>
    <n v="1.579"/>
    <n v="1.478"/>
    <n v="5"/>
    <x v="1"/>
    <n v="28"/>
  </r>
  <r>
    <x v="2"/>
    <x v="39"/>
    <x v="115"/>
    <n v="265000"/>
    <x v="40"/>
    <x v="4"/>
    <x v="37"/>
    <x v="0"/>
    <x v="0"/>
    <x v="10"/>
    <s v="Second           "/>
    <s v="998 cc  "/>
    <s v="68 bhp @6200             "/>
    <n v="68"/>
    <n v="3.5390000000000001"/>
    <n v="1.4750000000000001"/>
    <n v="1.7"/>
    <n v="5"/>
    <x v="1"/>
    <n v="35"/>
  </r>
  <r>
    <x v="4"/>
    <x v="77"/>
    <x v="116"/>
    <n v="265000"/>
    <x v="40"/>
    <x v="4"/>
    <x v="31"/>
    <x v="0"/>
    <x v="0"/>
    <x v="8"/>
    <s v="First            "/>
    <s v="1496 cc "/>
    <s v="80 bhp @ 5600 rpm   "/>
    <n v="80"/>
    <n v="4.2649999999999997"/>
    <n v="1.6950000000000001"/>
    <n v="1.51"/>
    <n v="5"/>
    <x v="1"/>
    <n v="45"/>
  </r>
  <r>
    <x v="5"/>
    <x v="65"/>
    <x v="117"/>
    <n v="269000"/>
    <x v="41"/>
    <x v="2"/>
    <x v="21"/>
    <x v="0"/>
    <x v="0"/>
    <x v="0"/>
    <s v="Second           "/>
    <s v="1497 cc "/>
    <s v="118 bhp @6600            "/>
    <n v="118"/>
    <n v="4.42"/>
    <n v="1.6950000000000001"/>
    <n v="1.48"/>
    <n v="5"/>
    <x v="1"/>
    <n v="42"/>
  </r>
  <r>
    <x v="5"/>
    <x v="78"/>
    <x v="118"/>
    <n v="269000"/>
    <x v="41"/>
    <x v="0"/>
    <x v="62"/>
    <x v="0"/>
    <x v="0"/>
    <x v="1"/>
    <s v="Second           "/>
    <s v="1497 cc "/>
    <s v="118 bhp @6600            "/>
    <n v="118"/>
    <n v="4.42"/>
    <n v="1.6950000000000001"/>
    <n v="1.48"/>
    <n v="5"/>
    <x v="1"/>
    <n v="42"/>
  </r>
  <r>
    <x v="7"/>
    <x v="79"/>
    <x v="119"/>
    <n v="270000"/>
    <x v="42"/>
    <x v="9"/>
    <x v="86"/>
    <x v="0"/>
    <x v="0"/>
    <x v="1"/>
    <s v="First            "/>
    <s v="1198 cc "/>
    <s v="67 bhp @ 5000 rpm   "/>
    <n v="67"/>
    <n v="3.7850000000000001"/>
    <n v="1.635"/>
    <n v="1.4850000000000001"/>
    <n v="5"/>
    <x v="1"/>
    <n v="35"/>
  </r>
  <r>
    <x v="2"/>
    <x v="23"/>
    <x v="120"/>
    <n v="270000"/>
    <x v="42"/>
    <x v="6"/>
    <x v="87"/>
    <x v="0"/>
    <x v="0"/>
    <x v="1"/>
    <s v="First            "/>
    <s v="998 cc  "/>
    <s v="67 bhp @ 6200 rpm   "/>
    <n v="67"/>
    <n v="3.62"/>
    <n v="1.4750000000000001"/>
    <n v="1.46"/>
    <n v="5"/>
    <x v="1"/>
    <n v="35"/>
  </r>
  <r>
    <x v="2"/>
    <x v="23"/>
    <x v="121"/>
    <n v="270000"/>
    <x v="42"/>
    <x v="6"/>
    <x v="88"/>
    <x v="0"/>
    <x v="0"/>
    <x v="0"/>
    <s v="First            "/>
    <s v="998 cc  "/>
    <s v="67 bhp @ 6200 rpm   "/>
    <n v="67"/>
    <n v="3.62"/>
    <n v="1.4750000000000001"/>
    <n v="1.46"/>
    <n v="5"/>
    <x v="1"/>
    <n v="35"/>
  </r>
  <r>
    <x v="3"/>
    <x v="80"/>
    <x v="122"/>
    <n v="270000"/>
    <x v="42"/>
    <x v="10"/>
    <x v="23"/>
    <x v="0"/>
    <x v="0"/>
    <x v="2"/>
    <s v="First            "/>
    <s v="1196 cc "/>
    <s v="70 bhp @ 6250 rpm   "/>
    <n v="70"/>
    <n v="3.7949999999999999"/>
    <n v="1.68"/>
    <n v="1.427"/>
    <n v="5"/>
    <x v="1"/>
    <n v="45"/>
  </r>
  <r>
    <x v="1"/>
    <x v="40"/>
    <x v="123"/>
    <n v="270000"/>
    <x v="42"/>
    <x v="1"/>
    <x v="89"/>
    <x v="0"/>
    <x v="0"/>
    <x v="1"/>
    <s v="First            "/>
    <s v="1197 cc "/>
    <s v="79 bhp @ 6000 rpm   "/>
    <n v="79"/>
    <n v="3.585"/>
    <n v="1.595"/>
    <n v="1.55"/>
    <n v="5"/>
    <x v="1"/>
    <n v="35"/>
  </r>
  <r>
    <x v="1"/>
    <x v="28"/>
    <x v="124"/>
    <n v="270000"/>
    <x v="42"/>
    <x v="0"/>
    <x v="90"/>
    <x v="0"/>
    <x v="0"/>
    <x v="2"/>
    <s v="Second           "/>
    <s v="1197 cc "/>
    <s v="80  bhp @5200             "/>
    <n v="80"/>
    <n v="3.5649999999999999"/>
    <n v="1.595"/>
    <n v="1.55"/>
    <n v="5"/>
    <x v="1"/>
    <n v="35"/>
  </r>
  <r>
    <x v="5"/>
    <x v="65"/>
    <x v="125"/>
    <n v="275000"/>
    <x v="43"/>
    <x v="2"/>
    <x v="3"/>
    <x v="0"/>
    <x v="0"/>
    <x v="2"/>
    <s v="First            "/>
    <s v="1497 cc "/>
    <s v="118 bhp @6600            "/>
    <n v="118"/>
    <n v="4.42"/>
    <n v="1.6950000000000001"/>
    <n v="1.48"/>
    <n v="5"/>
    <x v="1"/>
    <n v="42"/>
  </r>
  <r>
    <x v="2"/>
    <x v="51"/>
    <x v="126"/>
    <n v="275000"/>
    <x v="43"/>
    <x v="4"/>
    <x v="61"/>
    <x v="1"/>
    <x v="0"/>
    <x v="0"/>
    <s v="Second           "/>
    <s v="998 cc  "/>
    <s v="46 bhp @ 6200 rpm   "/>
    <n v="46"/>
    <n v="3.5950000000000002"/>
    <n v="1.4750000000000001"/>
    <n v="1.7"/>
    <n v="5"/>
    <x v="1"/>
    <n v="28"/>
  </r>
  <r>
    <x v="1"/>
    <x v="37"/>
    <x v="127"/>
    <n v="275000"/>
    <x v="43"/>
    <x v="8"/>
    <x v="91"/>
    <x v="0"/>
    <x v="0"/>
    <x v="7"/>
    <s v="First            "/>
    <s v="814 cc  "/>
    <s v="55 bhp @ 5500 rpm   "/>
    <n v="55"/>
    <n v="3.4950000000000001"/>
    <n v="1.55"/>
    <n v="1.5"/>
    <n v="5"/>
    <x v="1"/>
    <n v="32"/>
  </r>
  <r>
    <x v="1"/>
    <x v="69"/>
    <x v="128"/>
    <n v="275000"/>
    <x v="43"/>
    <x v="6"/>
    <x v="92"/>
    <x v="0"/>
    <x v="0"/>
    <x v="0"/>
    <s v="Second           "/>
    <s v="814 cc  "/>
    <s v="55 bhp @ 5500 rpm   "/>
    <n v="55"/>
    <n v="3.4950000000000001"/>
    <n v="1.55"/>
    <n v="1.5"/>
    <n v="5"/>
    <x v="1"/>
    <n v="32"/>
  </r>
  <r>
    <x v="1"/>
    <x v="8"/>
    <x v="129"/>
    <n v="275000"/>
    <x v="43"/>
    <x v="8"/>
    <x v="93"/>
    <x v="3"/>
    <x v="0"/>
    <x v="0"/>
    <s v="First            "/>
    <s v="1086 cc "/>
    <s v="62 bhp @ 5500 rpm   "/>
    <n v="62"/>
    <n v="3.5649999999999999"/>
    <n v="1.5249999999999999"/>
    <n v="1.59"/>
    <n v="5"/>
    <x v="1"/>
    <n v="35"/>
  </r>
  <r>
    <x v="1"/>
    <x v="57"/>
    <x v="130"/>
    <n v="275000"/>
    <x v="43"/>
    <x v="1"/>
    <x v="83"/>
    <x v="0"/>
    <x v="0"/>
    <x v="0"/>
    <s v="First            "/>
    <s v="998 cc  "/>
    <s v="68 bhp @ 6200 rpm   "/>
    <n v="68"/>
    <n v="3.5150000000000001"/>
    <n v="1.5"/>
    <n v="1.51"/>
    <n v="5"/>
    <x v="1"/>
    <n v="32"/>
  </r>
  <r>
    <x v="2"/>
    <x v="3"/>
    <x v="131"/>
    <n v="275000"/>
    <x v="43"/>
    <x v="8"/>
    <x v="94"/>
    <x v="2"/>
    <x v="0"/>
    <x v="1"/>
    <s v="Second           "/>
    <s v="1248 cc "/>
    <s v="73 bhp @ 4000 rpm   "/>
    <n v="73"/>
    <n v="3.7749999999999999"/>
    <n v="1.68"/>
    <n v="1.62"/>
    <n v="5"/>
    <x v="1"/>
    <n v="43"/>
  </r>
  <r>
    <x v="2"/>
    <x v="18"/>
    <x v="132"/>
    <n v="275000"/>
    <x v="43"/>
    <x v="4"/>
    <x v="6"/>
    <x v="2"/>
    <x v="0"/>
    <x v="0"/>
    <s v="First            "/>
    <s v="1248 cc "/>
    <s v="74 bhp @ 4000 rpm   "/>
    <n v="74"/>
    <n v="3.9950000000000001"/>
    <n v="1.6950000000000001"/>
    <n v="1.5549999999999999"/>
    <n v="5"/>
    <x v="1"/>
    <n v="42"/>
  </r>
  <r>
    <x v="2"/>
    <x v="3"/>
    <x v="133"/>
    <n v="275000"/>
    <x v="43"/>
    <x v="4"/>
    <x v="6"/>
    <x v="2"/>
    <x v="0"/>
    <x v="1"/>
    <s v="First            "/>
    <s v="1248 cc "/>
    <s v="75  bhp @4000             "/>
    <n v="75"/>
    <n v="3.7149999999999999"/>
    <n v="1.68"/>
    <n v="1.62"/>
    <n v="5"/>
    <x v="1"/>
    <n v="43"/>
  </r>
  <r>
    <x v="1"/>
    <x v="71"/>
    <x v="134"/>
    <n v="275000"/>
    <x v="43"/>
    <x v="4"/>
    <x v="61"/>
    <x v="0"/>
    <x v="0"/>
    <x v="2"/>
    <s v="First            "/>
    <s v="1197 cc "/>
    <s v="79 bhp @ 6000 rpm   "/>
    <n v="79"/>
    <n v="3.585"/>
    <n v="1.595"/>
    <n v="1.55"/>
    <n v="5"/>
    <x v="1"/>
    <n v="35"/>
  </r>
  <r>
    <x v="2"/>
    <x v="34"/>
    <x v="135"/>
    <n v="280000"/>
    <x v="44"/>
    <x v="12"/>
    <x v="22"/>
    <x v="0"/>
    <x v="0"/>
    <x v="1"/>
    <s v="Second           "/>
    <s v="796 cc  "/>
    <s v="47 bhp @ 6000 rpm   "/>
    <n v="47"/>
    <n v="3.395"/>
    <n v="1.49"/>
    <n v="1.4750000000000001"/>
    <n v="5"/>
    <x v="1"/>
    <n v="35"/>
  </r>
  <r>
    <x v="2"/>
    <x v="43"/>
    <x v="136"/>
    <n v="280000"/>
    <x v="44"/>
    <x v="4"/>
    <x v="43"/>
    <x v="3"/>
    <x v="0"/>
    <x v="1"/>
    <s v="First            "/>
    <s v="998 cc  "/>
    <s v="59  bhp @6200             "/>
    <n v="59"/>
    <n v="3.5390000000000001"/>
    <n v="1.4750000000000001"/>
    <n v="1.7"/>
    <n v="5"/>
    <x v="1"/>
    <n v="35"/>
  </r>
  <r>
    <x v="2"/>
    <x v="81"/>
    <x v="137"/>
    <n v="280000"/>
    <x v="44"/>
    <x v="4"/>
    <x v="95"/>
    <x v="0"/>
    <x v="0"/>
    <x v="5"/>
    <s v="First            "/>
    <s v="998 cc  "/>
    <s v="67 bhp @ 6200 rpm   "/>
    <n v="67"/>
    <n v="3.62"/>
    <n v="1.4750000000000001"/>
    <n v="1.46"/>
    <n v="5"/>
    <x v="1"/>
    <n v="35"/>
  </r>
  <r>
    <x v="11"/>
    <x v="82"/>
    <x v="138"/>
    <n v="280000"/>
    <x v="44"/>
    <x v="8"/>
    <x v="96"/>
    <x v="2"/>
    <x v="0"/>
    <x v="0"/>
    <s v="Second           "/>
    <s v="1461 cc "/>
    <s v="84 bhp @ 3750 rpm   "/>
    <n v="84"/>
    <n v="4.3150000000000004"/>
    <n v="1.8220000000000001"/>
    <n v="1.6950000000000001"/>
    <n v="5"/>
    <x v="1"/>
    <n v="50"/>
  </r>
  <r>
    <x v="2"/>
    <x v="34"/>
    <x v="139"/>
    <n v="285000"/>
    <x v="45"/>
    <x v="9"/>
    <x v="97"/>
    <x v="0"/>
    <x v="0"/>
    <x v="0"/>
    <s v="First            "/>
    <s v="796 cc  "/>
    <s v="47 bhp @ 6000 rpm   "/>
    <n v="47"/>
    <n v="3.395"/>
    <n v="1.49"/>
    <n v="1.4750000000000001"/>
    <n v="5"/>
    <x v="1"/>
    <n v="35"/>
  </r>
  <r>
    <x v="2"/>
    <x v="83"/>
    <x v="140"/>
    <n v="285000"/>
    <x v="45"/>
    <x v="11"/>
    <x v="98"/>
    <x v="0"/>
    <x v="0"/>
    <x v="0"/>
    <s v="First            "/>
    <s v="796 cc  "/>
    <s v="47 bhp @ 6000 rpm   "/>
    <n v="47"/>
    <n v="3.395"/>
    <n v="1.49"/>
    <n v="1.4750000000000001"/>
    <n v="5"/>
    <x v="1"/>
    <n v="35"/>
  </r>
  <r>
    <x v="2"/>
    <x v="34"/>
    <x v="141"/>
    <n v="285000"/>
    <x v="45"/>
    <x v="11"/>
    <x v="79"/>
    <x v="0"/>
    <x v="0"/>
    <x v="0"/>
    <s v="First            "/>
    <s v="796 cc  "/>
    <s v="47 bhp @ 6000 rpm   "/>
    <n v="47"/>
    <n v="3.395"/>
    <n v="1.49"/>
    <n v="1.4750000000000001"/>
    <n v="5"/>
    <x v="1"/>
    <n v="35"/>
  </r>
  <r>
    <x v="2"/>
    <x v="43"/>
    <x v="142"/>
    <n v="285000"/>
    <x v="45"/>
    <x v="4"/>
    <x v="53"/>
    <x v="3"/>
    <x v="0"/>
    <x v="10"/>
    <s v="First            "/>
    <s v="998 cc  "/>
    <s v="59 bhp @6200             "/>
    <n v="59"/>
    <n v="3.5390000000000001"/>
    <n v="1.4750000000000001"/>
    <n v="1.7"/>
    <n v="5"/>
    <x v="1"/>
    <n v="35"/>
  </r>
  <r>
    <x v="2"/>
    <x v="39"/>
    <x v="143"/>
    <n v="285000"/>
    <x v="45"/>
    <x v="8"/>
    <x v="99"/>
    <x v="0"/>
    <x v="0"/>
    <x v="0"/>
    <s v="First            "/>
    <s v="998 cc  "/>
    <s v="68 bhp @6200             "/>
    <n v="68"/>
    <n v="3.5390000000000001"/>
    <n v="1.4750000000000001"/>
    <n v="1.7"/>
    <n v="5"/>
    <x v="1"/>
    <n v="35"/>
  </r>
  <r>
    <x v="3"/>
    <x v="84"/>
    <x v="144"/>
    <n v="285000"/>
    <x v="45"/>
    <x v="8"/>
    <x v="8"/>
    <x v="2"/>
    <x v="0"/>
    <x v="1"/>
    <s v="First            "/>
    <s v="1498 cc "/>
    <s v="89 bhp @ 3750 rpm   "/>
    <n v="89"/>
    <n v="3.9990000000000001"/>
    <n v="1.7649999999999999"/>
    <n v="1.708"/>
    <n v="5"/>
    <x v="1"/>
    <n v="52"/>
  </r>
  <r>
    <x v="2"/>
    <x v="34"/>
    <x v="145"/>
    <n v="286000"/>
    <x v="46"/>
    <x v="9"/>
    <x v="100"/>
    <x v="0"/>
    <x v="0"/>
    <x v="1"/>
    <s v="First            "/>
    <s v="796 cc  "/>
    <s v="47 bhp @ 6000 rpm   "/>
    <n v="47"/>
    <n v="3.395"/>
    <n v="1.49"/>
    <n v="1.4750000000000001"/>
    <n v="5"/>
    <x v="1"/>
    <n v="35"/>
  </r>
  <r>
    <x v="2"/>
    <x v="61"/>
    <x v="146"/>
    <n v="289000"/>
    <x v="47"/>
    <x v="10"/>
    <x v="101"/>
    <x v="3"/>
    <x v="0"/>
    <x v="0"/>
    <s v="First            "/>
    <s v="796 cc  "/>
    <s v="47 bhp @ 6000 rpm   "/>
    <n v="47"/>
    <n v="3.395"/>
    <n v="1.49"/>
    <n v="1.4750000000000001"/>
    <n v="5"/>
    <x v="1"/>
    <n v="35"/>
  </r>
  <r>
    <x v="1"/>
    <x v="35"/>
    <x v="147"/>
    <n v="290000"/>
    <x v="48"/>
    <x v="12"/>
    <x v="26"/>
    <x v="0"/>
    <x v="0"/>
    <x v="0"/>
    <s v="First            "/>
    <s v="814 cc  "/>
    <s v="55 bhp @ 5500 rpm   "/>
    <n v="55"/>
    <n v="3.4950000000000001"/>
    <n v="1.55"/>
    <n v="1.5"/>
    <n v="5"/>
    <x v="1"/>
    <n v="32"/>
  </r>
  <r>
    <x v="2"/>
    <x v="39"/>
    <x v="148"/>
    <n v="290000"/>
    <x v="48"/>
    <x v="1"/>
    <x v="102"/>
    <x v="0"/>
    <x v="0"/>
    <x v="7"/>
    <s v="First            "/>
    <s v="998 cc  "/>
    <s v="68 bhp @6200             "/>
    <n v="68"/>
    <n v="3.5390000000000001"/>
    <n v="1.4750000000000001"/>
    <n v="1.7"/>
    <n v="5"/>
    <x v="1"/>
    <n v="35"/>
  </r>
  <r>
    <x v="1"/>
    <x v="40"/>
    <x v="149"/>
    <n v="290000"/>
    <x v="48"/>
    <x v="4"/>
    <x v="103"/>
    <x v="0"/>
    <x v="0"/>
    <x v="0"/>
    <s v="First            "/>
    <s v="1197 cc "/>
    <s v="79 bhp @ 6000 rpm   "/>
    <n v="79"/>
    <n v="3.585"/>
    <n v="1.595"/>
    <n v="1.55"/>
    <n v="5"/>
    <x v="1"/>
    <n v="35"/>
  </r>
  <r>
    <x v="5"/>
    <x v="65"/>
    <x v="150"/>
    <n v="295000"/>
    <x v="49"/>
    <x v="0"/>
    <x v="101"/>
    <x v="0"/>
    <x v="0"/>
    <x v="0"/>
    <s v="First            "/>
    <s v="1497 cc "/>
    <s v="118 bhp @6600            "/>
    <n v="118"/>
    <n v="4.42"/>
    <n v="1.6950000000000001"/>
    <n v="1.48"/>
    <n v="5"/>
    <x v="1"/>
    <n v="42"/>
  </r>
  <r>
    <x v="5"/>
    <x v="66"/>
    <x v="151"/>
    <n v="295000"/>
    <x v="49"/>
    <x v="2"/>
    <x v="104"/>
    <x v="0"/>
    <x v="1"/>
    <x v="2"/>
    <s v="Second           "/>
    <s v="1497 cc "/>
    <s v="118 bhp @6600            "/>
    <n v="118"/>
    <n v="4.42"/>
    <n v="1.6950000000000001"/>
    <n v="1.48"/>
    <n v="5"/>
    <x v="1"/>
    <n v="42"/>
  </r>
  <r>
    <x v="11"/>
    <x v="76"/>
    <x v="152"/>
    <n v="295000"/>
    <x v="49"/>
    <x v="11"/>
    <x v="105"/>
    <x v="0"/>
    <x v="0"/>
    <x v="4"/>
    <s v="First            "/>
    <s v="999 cc  "/>
    <s v="67 bhp @ 5500 rpm   "/>
    <n v="67"/>
    <n v="3.6789999999999998"/>
    <n v="1.579"/>
    <n v="1.478"/>
    <n v="5"/>
    <x v="1"/>
    <n v="28"/>
  </r>
  <r>
    <x v="2"/>
    <x v="62"/>
    <x v="153"/>
    <n v="295000"/>
    <x v="49"/>
    <x v="10"/>
    <x v="106"/>
    <x v="0"/>
    <x v="0"/>
    <x v="0"/>
    <s v="First            "/>
    <s v="998 cc  "/>
    <s v="67 bhp @ 6000 rpm   "/>
    <n v="67"/>
    <n v="3.5449999999999999"/>
    <n v="1.49"/>
    <n v="1.4750000000000001"/>
    <n v="5"/>
    <x v="1"/>
    <n v="35"/>
  </r>
  <r>
    <x v="2"/>
    <x v="85"/>
    <x v="154"/>
    <n v="295000"/>
    <x v="49"/>
    <x v="2"/>
    <x v="107"/>
    <x v="2"/>
    <x v="0"/>
    <x v="2"/>
    <s v="First            "/>
    <s v="1248 cc "/>
    <s v="75  bhp @4000             "/>
    <n v="75"/>
    <n v="3.76"/>
    <n v="1.69"/>
    <n v="1.53"/>
    <n v="5"/>
    <x v="1"/>
    <n v="43"/>
  </r>
  <r>
    <x v="2"/>
    <x v="86"/>
    <x v="155"/>
    <n v="295000"/>
    <x v="49"/>
    <x v="4"/>
    <x v="108"/>
    <x v="2"/>
    <x v="0"/>
    <x v="1"/>
    <s v="First            "/>
    <s v="1248 cc "/>
    <s v="75  bhp @4000             "/>
    <n v="75"/>
    <n v="3.76"/>
    <n v="1.69"/>
    <n v="1.53"/>
    <n v="5"/>
    <x v="1"/>
    <n v="43"/>
  </r>
  <r>
    <x v="2"/>
    <x v="87"/>
    <x v="156"/>
    <n v="295000"/>
    <x v="49"/>
    <x v="0"/>
    <x v="109"/>
    <x v="0"/>
    <x v="0"/>
    <x v="2"/>
    <s v="First            "/>
    <s v="1298 cc "/>
    <s v="87  bhp @6000             "/>
    <n v="87"/>
    <n v="4.16"/>
    <n v="1.69"/>
    <n v="1.53"/>
    <n v="5"/>
    <x v="1"/>
    <n v="43"/>
  </r>
  <r>
    <x v="3"/>
    <x v="88"/>
    <x v="157"/>
    <n v="295000"/>
    <x v="49"/>
    <x v="8"/>
    <x v="110"/>
    <x v="2"/>
    <x v="0"/>
    <x v="6"/>
    <s v="First            "/>
    <s v="1498 cc "/>
    <s v="89 bhp @ 3750 rpm   "/>
    <n v="89"/>
    <n v="4.2910000000000004"/>
    <n v="1.722"/>
    <n v="1.496"/>
    <n v="5"/>
    <x v="1"/>
    <n v="43"/>
  </r>
  <r>
    <x v="5"/>
    <x v="89"/>
    <x v="158"/>
    <n v="295000"/>
    <x v="49"/>
    <x v="6"/>
    <x v="111"/>
    <x v="2"/>
    <x v="0"/>
    <x v="12"/>
    <s v="First            "/>
    <s v="1498 cc "/>
    <s v="99 bhp @ 3600 rpm   "/>
    <n v="99"/>
    <n v="3.99"/>
    <n v="1.68"/>
    <n v="1.5049999999999999"/>
    <n v="5"/>
    <x v="1"/>
    <n v="35"/>
  </r>
  <r>
    <x v="2"/>
    <x v="90"/>
    <x v="159"/>
    <n v="297000"/>
    <x v="50"/>
    <x v="8"/>
    <x v="112"/>
    <x v="2"/>
    <x v="0"/>
    <x v="0"/>
    <s v="First            "/>
    <s v="1248 cc "/>
    <s v="89 bhp @ 4000 rpm   "/>
    <n v="89"/>
    <n v="4.49"/>
    <n v="1.7350000000000001"/>
    <n v="1.56"/>
    <n v="5"/>
    <x v="1"/>
    <n v="50"/>
  </r>
  <r>
    <x v="2"/>
    <x v="91"/>
    <x v="160"/>
    <n v="299000"/>
    <x v="51"/>
    <x v="9"/>
    <x v="113"/>
    <x v="2"/>
    <x v="0"/>
    <x v="1"/>
    <s v="First            "/>
    <s v="793 cc  "/>
    <s v="46 bhp @ 3500 rpm   "/>
    <n v="46"/>
    <n v="3.6"/>
    <n v="1.6"/>
    <n v="1.56"/>
    <n v="5"/>
    <x v="1"/>
    <n v="35"/>
  </r>
  <r>
    <x v="2"/>
    <x v="92"/>
    <x v="161"/>
    <n v="299000"/>
    <x v="51"/>
    <x v="9"/>
    <x v="114"/>
    <x v="3"/>
    <x v="0"/>
    <x v="1"/>
    <s v="First            "/>
    <s v="796 cc  "/>
    <s v="48 bhp @ 6000 rpm   "/>
    <n v="48"/>
    <n v="3.395"/>
    <n v="1.49"/>
    <n v="1.4750000000000001"/>
    <n v="5"/>
    <x v="1"/>
    <n v="35"/>
  </r>
  <r>
    <x v="2"/>
    <x v="93"/>
    <x v="162"/>
    <n v="299000"/>
    <x v="51"/>
    <x v="10"/>
    <x v="115"/>
    <x v="3"/>
    <x v="0"/>
    <x v="10"/>
    <s v="Second           "/>
    <s v="998 cc  "/>
    <s v="58 bhp @ 6200 rpm   "/>
    <n v="58"/>
    <n v="3.5990000000000002"/>
    <n v="1.4950000000000001"/>
    <n v="1.7"/>
    <n v="5"/>
    <x v="1"/>
    <n v="35"/>
  </r>
  <r>
    <x v="11"/>
    <x v="76"/>
    <x v="163"/>
    <n v="299000"/>
    <x v="51"/>
    <x v="11"/>
    <x v="50"/>
    <x v="0"/>
    <x v="0"/>
    <x v="10"/>
    <s v="First            "/>
    <s v="999 cc  "/>
    <s v="67 bhp @ 5500 rpm   "/>
    <n v="67"/>
    <n v="3.6789999999999998"/>
    <n v="1.579"/>
    <n v="1.478"/>
    <n v="5"/>
    <x v="1"/>
    <n v="28"/>
  </r>
  <r>
    <x v="11"/>
    <x v="76"/>
    <x v="164"/>
    <n v="299000"/>
    <x v="51"/>
    <x v="12"/>
    <x v="116"/>
    <x v="0"/>
    <x v="0"/>
    <x v="4"/>
    <s v="First            "/>
    <s v="999 cc  "/>
    <s v="67 bhp @ 5500 rpm   "/>
    <n v="67"/>
    <n v="3.6789999999999998"/>
    <n v="1.579"/>
    <n v="1.478"/>
    <n v="5"/>
    <x v="1"/>
    <n v="28"/>
  </r>
  <r>
    <x v="2"/>
    <x v="94"/>
    <x v="165"/>
    <n v="299000"/>
    <x v="51"/>
    <x v="8"/>
    <x v="117"/>
    <x v="0"/>
    <x v="0"/>
    <x v="0"/>
    <s v="First            "/>
    <s v="998 cc  "/>
    <s v="67 bhp @ 6200 rpm   "/>
    <n v="67"/>
    <n v="3.6360000000000001"/>
    <n v="1.4750000000000001"/>
    <n v="1.67"/>
    <n v="5"/>
    <x v="1"/>
    <n v="35"/>
  </r>
  <r>
    <x v="4"/>
    <x v="95"/>
    <x v="166"/>
    <n v="299000"/>
    <x v="51"/>
    <x v="8"/>
    <x v="14"/>
    <x v="2"/>
    <x v="0"/>
    <x v="7"/>
    <s v="Third            "/>
    <s v="1364 cc "/>
    <s v="68 bhp @ 3600 rpm   "/>
    <n v="68"/>
    <n v="4.2649999999999997"/>
    <n v="1.6950000000000001"/>
    <n v="1.51"/>
    <n v="5"/>
    <x v="1"/>
    <n v="45"/>
  </r>
  <r>
    <x v="3"/>
    <x v="58"/>
    <x v="167"/>
    <n v="299000"/>
    <x v="51"/>
    <x v="8"/>
    <x v="118"/>
    <x v="2"/>
    <x v="0"/>
    <x v="4"/>
    <s v="First            "/>
    <s v="1399 cc "/>
    <s v="68 bhp @ 4000 rpm   "/>
    <n v="68"/>
    <n v="3.7949999999999999"/>
    <n v="1.68"/>
    <n v="1.427"/>
    <n v="5"/>
    <x v="1"/>
    <n v="45"/>
  </r>
  <r>
    <x v="6"/>
    <x v="96"/>
    <x v="168"/>
    <n v="299000"/>
    <x v="51"/>
    <x v="6"/>
    <x v="34"/>
    <x v="0"/>
    <x v="0"/>
    <x v="1"/>
    <s v="First            "/>
    <s v="1199 cc "/>
    <s v="85 bhp @ 6000 rpm   "/>
    <n v="85"/>
    <n v="4.2489999999999997"/>
    <n v="1.69"/>
    <n v="1.5029999999999999"/>
    <n v="5"/>
    <x v="1"/>
    <n v="42"/>
  </r>
  <r>
    <x v="2"/>
    <x v="97"/>
    <x v="169"/>
    <n v="299000"/>
    <x v="51"/>
    <x v="8"/>
    <x v="119"/>
    <x v="0"/>
    <x v="0"/>
    <x v="1"/>
    <s v="First            "/>
    <s v="1197 cc "/>
    <s v="85 bhp @ 6000 rpm   "/>
    <n v="85"/>
    <n v="3.85"/>
    <n v="1.6950000000000001"/>
    <n v="1.53"/>
    <n v="5"/>
    <x v="1"/>
    <n v="42"/>
  </r>
  <r>
    <x v="5"/>
    <x v="98"/>
    <x v="170"/>
    <n v="300000"/>
    <x v="52"/>
    <x v="0"/>
    <x v="120"/>
    <x v="0"/>
    <x v="0"/>
    <x v="0"/>
    <s v="First            "/>
    <s v="1799 cc "/>
    <s v="130 bhp @ 6300 rpm  "/>
    <n v="130"/>
    <n v="4.5449999999999999"/>
    <n v="1.75"/>
    <n v="1.45"/>
    <n v="5"/>
    <x v="1"/>
    <n v="50"/>
  </r>
  <r>
    <x v="1"/>
    <x v="35"/>
    <x v="171"/>
    <n v="300000"/>
    <x v="52"/>
    <x v="12"/>
    <x v="39"/>
    <x v="0"/>
    <x v="0"/>
    <x v="0"/>
    <s v="First            "/>
    <s v="814 cc  "/>
    <s v="55 bhp @ 5500 rpm   "/>
    <n v="55"/>
    <n v="3.4950000000000001"/>
    <n v="1.55"/>
    <n v="1.5"/>
    <n v="5"/>
    <x v="1"/>
    <n v="32"/>
  </r>
  <r>
    <x v="4"/>
    <x v="95"/>
    <x v="172"/>
    <n v="300000"/>
    <x v="52"/>
    <x v="8"/>
    <x v="33"/>
    <x v="2"/>
    <x v="0"/>
    <x v="1"/>
    <s v="Second           "/>
    <s v="1364 cc "/>
    <s v="68 bhp @ 3600 rpm   "/>
    <n v="68"/>
    <n v="4.2649999999999997"/>
    <n v="1.6950000000000001"/>
    <n v="1.51"/>
    <n v="5"/>
    <x v="1"/>
    <n v="45"/>
  </r>
  <r>
    <x v="4"/>
    <x v="77"/>
    <x v="173"/>
    <n v="300000"/>
    <x v="52"/>
    <x v="4"/>
    <x v="121"/>
    <x v="0"/>
    <x v="0"/>
    <x v="1"/>
    <s v="First            "/>
    <s v="1496 cc "/>
    <s v="80 bhp @ 5600 rpm   "/>
    <n v="80"/>
    <n v="4.2649999999999997"/>
    <n v="1.6950000000000001"/>
    <n v="1.51"/>
    <n v="5"/>
    <x v="1"/>
    <n v="45"/>
  </r>
  <r>
    <x v="1"/>
    <x v="99"/>
    <x v="174"/>
    <n v="300000"/>
    <x v="52"/>
    <x v="6"/>
    <x v="122"/>
    <x v="0"/>
    <x v="0"/>
    <x v="1"/>
    <s v="First            "/>
    <s v="1197 cc "/>
    <s v="83 bhp @ 6000 rpm   "/>
    <n v="83"/>
    <n v="3.9950000000000001"/>
    <n v="1.71"/>
    <n v="1.5049999999999999"/>
    <n v="5"/>
    <x v="1"/>
    <n v="45"/>
  </r>
  <r>
    <x v="2"/>
    <x v="100"/>
    <x v="175"/>
    <n v="301000"/>
    <x v="53"/>
    <x v="4"/>
    <x v="123"/>
    <x v="0"/>
    <x v="0"/>
    <x v="14"/>
    <s v="First            "/>
    <s v="1197 cc "/>
    <s v="85 bhp @ 6000 rpm   "/>
    <n v="85"/>
    <n v="3.85"/>
    <n v="1.6950000000000001"/>
    <n v="1.53"/>
    <n v="5"/>
    <x v="1"/>
    <n v="42"/>
  </r>
  <r>
    <x v="11"/>
    <x v="101"/>
    <x v="176"/>
    <n v="305000"/>
    <x v="54"/>
    <x v="12"/>
    <x v="124"/>
    <x v="0"/>
    <x v="0"/>
    <x v="4"/>
    <s v="First            "/>
    <s v="799 cc  "/>
    <s v="53 bhp @ 5678 rpm   "/>
    <n v="53"/>
    <n v="3.6789999999999998"/>
    <n v="1.579"/>
    <n v="1.478"/>
    <n v="5"/>
    <x v="1"/>
    <n v="28"/>
  </r>
  <r>
    <x v="1"/>
    <x v="102"/>
    <x v="177"/>
    <n v="310000"/>
    <x v="55"/>
    <x v="4"/>
    <x v="50"/>
    <x v="0"/>
    <x v="1"/>
    <x v="1"/>
    <s v="First            "/>
    <s v="1396 cc "/>
    <s v="100 bhp @5500            "/>
    <n v="100"/>
    <n v="3.94"/>
    <n v="1.71"/>
    <n v="1.5049999999999999"/>
    <n v="5"/>
    <x v="1"/>
    <n v="45"/>
  </r>
  <r>
    <x v="2"/>
    <x v="93"/>
    <x v="178"/>
    <n v="310000"/>
    <x v="55"/>
    <x v="6"/>
    <x v="58"/>
    <x v="3"/>
    <x v="0"/>
    <x v="0"/>
    <s v="First            "/>
    <s v="998 cc  "/>
    <s v="58 bhp @ 6200 rpm   "/>
    <n v="58"/>
    <n v="3.5990000000000002"/>
    <n v="1.4950000000000001"/>
    <n v="1.7"/>
    <n v="5"/>
    <x v="1"/>
    <n v="35"/>
  </r>
  <r>
    <x v="2"/>
    <x v="43"/>
    <x v="179"/>
    <n v="310000"/>
    <x v="55"/>
    <x v="10"/>
    <x v="125"/>
    <x v="3"/>
    <x v="0"/>
    <x v="0"/>
    <s v="Second           "/>
    <s v="998 cc  "/>
    <s v="58 bhp @ 6200 rpm   "/>
    <n v="58"/>
    <n v="3.5990000000000002"/>
    <n v="1.4950000000000001"/>
    <n v="1.7"/>
    <n v="5"/>
    <x v="1"/>
    <n v="35"/>
  </r>
  <r>
    <x v="2"/>
    <x v="52"/>
    <x v="180"/>
    <n v="310000"/>
    <x v="55"/>
    <x v="10"/>
    <x v="114"/>
    <x v="0"/>
    <x v="0"/>
    <x v="10"/>
    <s v="First            "/>
    <s v="998 cc  "/>
    <s v="67 bhp @ 6200 rpm   "/>
    <n v="67"/>
    <n v="3.5990000000000002"/>
    <n v="1.4950000000000001"/>
    <n v="1.7"/>
    <n v="5"/>
    <x v="1"/>
    <n v="35"/>
  </r>
  <r>
    <x v="5"/>
    <x v="103"/>
    <x v="181"/>
    <n v="310000"/>
    <x v="55"/>
    <x v="6"/>
    <x v="126"/>
    <x v="0"/>
    <x v="0"/>
    <x v="10"/>
    <s v="Second           "/>
    <s v="1198 cc "/>
    <s v="87 bhp @ 6000 rpm   "/>
    <n v="87"/>
    <n v="3.61"/>
    <n v="1.68"/>
    <n v="1.5"/>
    <n v="5"/>
    <x v="1"/>
    <n v="35"/>
  </r>
  <r>
    <x v="11"/>
    <x v="68"/>
    <x v="182"/>
    <n v="315000"/>
    <x v="56"/>
    <x v="9"/>
    <x v="127"/>
    <x v="0"/>
    <x v="0"/>
    <x v="12"/>
    <s v="First            "/>
    <s v="799 cc  "/>
    <s v="53 bhp @ 5678 rpm   "/>
    <n v="53"/>
    <n v="3.6789999999999998"/>
    <n v="1.579"/>
    <n v="1.478"/>
    <n v="5"/>
    <x v="1"/>
    <n v="28"/>
  </r>
  <r>
    <x v="11"/>
    <x v="68"/>
    <x v="183"/>
    <n v="315000"/>
    <x v="56"/>
    <x v="9"/>
    <x v="127"/>
    <x v="0"/>
    <x v="0"/>
    <x v="12"/>
    <s v="First            "/>
    <s v="799 cc  "/>
    <s v="53 bhp @ 5678 rpm   "/>
    <n v="53"/>
    <n v="3.6789999999999998"/>
    <n v="1.579"/>
    <n v="1.478"/>
    <n v="5"/>
    <x v="1"/>
    <n v="28"/>
  </r>
  <r>
    <x v="2"/>
    <x v="43"/>
    <x v="184"/>
    <n v="315000"/>
    <x v="56"/>
    <x v="8"/>
    <x v="8"/>
    <x v="3"/>
    <x v="0"/>
    <x v="10"/>
    <s v="First            "/>
    <s v="998 cc  "/>
    <s v="59 bhp @6200             "/>
    <n v="59"/>
    <n v="3.5390000000000001"/>
    <n v="1.4750000000000001"/>
    <n v="1.7"/>
    <n v="5"/>
    <x v="1"/>
    <n v="35"/>
  </r>
  <r>
    <x v="1"/>
    <x v="57"/>
    <x v="185"/>
    <n v="315000"/>
    <x v="56"/>
    <x v="8"/>
    <x v="114"/>
    <x v="0"/>
    <x v="0"/>
    <x v="2"/>
    <s v="First            "/>
    <s v="998 cc  "/>
    <s v="68 bhp @ 6200 rpm   "/>
    <n v="68"/>
    <n v="3.5150000000000001"/>
    <n v="1.5"/>
    <n v="1.51"/>
    <n v="5"/>
    <x v="1"/>
    <n v="32"/>
  </r>
  <r>
    <x v="1"/>
    <x v="71"/>
    <x v="186"/>
    <n v="315000"/>
    <x v="56"/>
    <x v="1"/>
    <x v="33"/>
    <x v="0"/>
    <x v="0"/>
    <x v="0"/>
    <s v="First            "/>
    <s v="1197 cc "/>
    <s v="79 bhp @ 6000 rpm   "/>
    <n v="79"/>
    <n v="3.585"/>
    <n v="1.595"/>
    <n v="1.55"/>
    <n v="5"/>
    <x v="1"/>
    <n v="35"/>
  </r>
  <r>
    <x v="4"/>
    <x v="104"/>
    <x v="187"/>
    <n v="315000"/>
    <x v="56"/>
    <x v="4"/>
    <x v="128"/>
    <x v="0"/>
    <x v="0"/>
    <x v="4"/>
    <s v="First            "/>
    <s v="1197 cc "/>
    <s v="80 bhp @ 5600 rpm   "/>
    <n v="80"/>
    <n v="3.7749999999999999"/>
    <n v="1.6950000000000001"/>
    <n v="1.51"/>
    <n v="5"/>
    <x v="1"/>
    <n v="45"/>
  </r>
  <r>
    <x v="12"/>
    <x v="105"/>
    <x v="188"/>
    <n v="315000"/>
    <x v="56"/>
    <x v="1"/>
    <x v="38"/>
    <x v="0"/>
    <x v="0"/>
    <x v="0"/>
    <s v="First            "/>
    <s v="1498 cc "/>
    <s v="98 bhp @ 6000 rpm   "/>
    <n v="98"/>
    <n v="4.4249999999999998"/>
    <n v="1.6950000000000001"/>
    <n v="1.5049999999999999"/>
    <n v="5"/>
    <x v="1"/>
    <n v="41"/>
  </r>
  <r>
    <x v="2"/>
    <x v="83"/>
    <x v="189"/>
    <n v="319000"/>
    <x v="57"/>
    <x v="8"/>
    <x v="129"/>
    <x v="0"/>
    <x v="0"/>
    <x v="4"/>
    <s v="First            "/>
    <s v="796 cc  "/>
    <s v="47 bhp @ 6000 rpm   "/>
    <n v="47"/>
    <n v="3.395"/>
    <n v="1.49"/>
    <n v="1.4750000000000001"/>
    <n v="5"/>
    <x v="1"/>
    <n v="35"/>
  </r>
  <r>
    <x v="11"/>
    <x v="68"/>
    <x v="190"/>
    <n v="319000"/>
    <x v="57"/>
    <x v="12"/>
    <x v="130"/>
    <x v="0"/>
    <x v="0"/>
    <x v="14"/>
    <s v="First            "/>
    <s v="799 cc  "/>
    <s v="53 bhp @ 5678 rpm   "/>
    <n v="53"/>
    <n v="3.6789999999999998"/>
    <n v="1.579"/>
    <n v="1.478"/>
    <n v="5"/>
    <x v="1"/>
    <n v="28"/>
  </r>
  <r>
    <x v="6"/>
    <x v="106"/>
    <x v="191"/>
    <n v="320000"/>
    <x v="58"/>
    <x v="4"/>
    <x v="33"/>
    <x v="2"/>
    <x v="0"/>
    <x v="15"/>
    <s v="Second           "/>
    <s v="1991 cc "/>
    <s v="150  bhp @4000            "/>
    <n v="150"/>
    <n v="4.5970000000000004"/>
    <n v="1.788"/>
    <n v="1.4770000000000001"/>
    <n v="5"/>
    <x v="1"/>
    <n v="60"/>
  </r>
  <r>
    <x v="11"/>
    <x v="68"/>
    <x v="192"/>
    <n v="320000"/>
    <x v="58"/>
    <x v="11"/>
    <x v="23"/>
    <x v="0"/>
    <x v="0"/>
    <x v="1"/>
    <s v="First            "/>
    <s v="799 cc  "/>
    <s v="53 bhp @ 5678 rpm   "/>
    <n v="53"/>
    <n v="3.6789999999999998"/>
    <n v="1.579"/>
    <n v="1.478"/>
    <n v="5"/>
    <x v="1"/>
    <n v="28"/>
  </r>
  <r>
    <x v="7"/>
    <x v="107"/>
    <x v="193"/>
    <n v="320000"/>
    <x v="58"/>
    <x v="12"/>
    <x v="131"/>
    <x v="0"/>
    <x v="1"/>
    <x v="2"/>
    <s v="Second           "/>
    <s v="999 cc  "/>
    <s v="67 bhp @ 5500 rpm   "/>
    <n v="67"/>
    <n v="3.4289999999999998"/>
    <n v="1.56"/>
    <n v="1.5409999999999999"/>
    <n v="5"/>
    <x v="1"/>
    <n v="28"/>
  </r>
  <r>
    <x v="2"/>
    <x v="23"/>
    <x v="194"/>
    <n v="320000"/>
    <x v="58"/>
    <x v="6"/>
    <x v="43"/>
    <x v="0"/>
    <x v="0"/>
    <x v="0"/>
    <s v="First            "/>
    <s v="998 cc  "/>
    <s v="67 bhp @ 6200 rpm   "/>
    <n v="67"/>
    <n v="3.62"/>
    <n v="1.4750000000000001"/>
    <n v="1.46"/>
    <n v="5"/>
    <x v="1"/>
    <n v="35"/>
  </r>
  <r>
    <x v="2"/>
    <x v="108"/>
    <x v="195"/>
    <n v="320000"/>
    <x v="58"/>
    <x v="10"/>
    <x v="23"/>
    <x v="0"/>
    <x v="0"/>
    <x v="7"/>
    <s v="First            "/>
    <s v="1196 cc "/>
    <s v="73 bhp @ 6000 rpm   "/>
    <n v="73"/>
    <n v="3.6749999999999998"/>
    <n v="1.4750000000000001"/>
    <n v="1.8"/>
    <n v="5"/>
    <x v="1"/>
    <n v="40"/>
  </r>
  <r>
    <x v="2"/>
    <x v="21"/>
    <x v="196"/>
    <n v="325000"/>
    <x v="59"/>
    <x v="1"/>
    <x v="132"/>
    <x v="0"/>
    <x v="0"/>
    <x v="0"/>
    <s v="First            "/>
    <s v="1586 cc "/>
    <s v="102 bhp @5500            "/>
    <n v="102"/>
    <n v="4.49"/>
    <n v="1.7350000000000001"/>
    <n v="1.56"/>
    <n v="5"/>
    <x v="1"/>
    <n v="50"/>
  </r>
  <r>
    <x v="13"/>
    <x v="109"/>
    <x v="197"/>
    <n v="325000"/>
    <x v="59"/>
    <x v="8"/>
    <x v="93"/>
    <x v="2"/>
    <x v="0"/>
    <x v="0"/>
    <s v="First            "/>
    <s v="1598 cc "/>
    <s v="103 bhp @ 4400 rpm  "/>
    <n v="103"/>
    <n v="3.97"/>
    <n v="1.6819999999999999"/>
    <n v="1.4530000000000001"/>
    <n v="5"/>
    <x v="1"/>
    <n v="45"/>
  </r>
  <r>
    <x v="5"/>
    <x v="60"/>
    <x v="198"/>
    <n v="325000"/>
    <x v="59"/>
    <x v="0"/>
    <x v="40"/>
    <x v="0"/>
    <x v="1"/>
    <x v="5"/>
    <s v="First            "/>
    <s v="1497 cc "/>
    <s v="118 bhp @6600            "/>
    <n v="118"/>
    <n v="4.42"/>
    <n v="1.6950000000000001"/>
    <n v="1.48"/>
    <n v="5"/>
    <x v="1"/>
    <n v="42"/>
  </r>
  <r>
    <x v="5"/>
    <x v="60"/>
    <x v="199"/>
    <n v="325000"/>
    <x v="59"/>
    <x v="4"/>
    <x v="16"/>
    <x v="0"/>
    <x v="1"/>
    <x v="1"/>
    <s v="Second           "/>
    <s v="1497 cc "/>
    <s v="118 bhp @6600            "/>
    <n v="118"/>
    <n v="4.42"/>
    <n v="1.6950000000000001"/>
    <n v="1.48"/>
    <n v="5"/>
    <x v="1"/>
    <n v="42"/>
  </r>
  <r>
    <x v="1"/>
    <x v="110"/>
    <x v="200"/>
    <n v="325000"/>
    <x v="59"/>
    <x v="9"/>
    <x v="40"/>
    <x v="0"/>
    <x v="0"/>
    <x v="1"/>
    <s v="First            "/>
    <s v="814 cc  "/>
    <s v="55 bhp @ 5500 rpm   "/>
    <n v="55"/>
    <n v="3.4950000000000001"/>
    <n v="1.55"/>
    <n v="1.5"/>
    <n v="5"/>
    <x v="1"/>
    <n v="32"/>
  </r>
  <r>
    <x v="2"/>
    <x v="93"/>
    <x v="201"/>
    <n v="325000"/>
    <x v="59"/>
    <x v="6"/>
    <x v="133"/>
    <x v="3"/>
    <x v="0"/>
    <x v="4"/>
    <s v="Second           "/>
    <s v="998 cc  "/>
    <s v="58 bhp @ 6200 rpm   "/>
    <n v="58"/>
    <n v="3.5990000000000002"/>
    <n v="1.4950000000000001"/>
    <n v="1.7"/>
    <n v="5"/>
    <x v="1"/>
    <n v="35"/>
  </r>
  <r>
    <x v="2"/>
    <x v="43"/>
    <x v="202"/>
    <n v="325000"/>
    <x v="59"/>
    <x v="10"/>
    <x v="125"/>
    <x v="3"/>
    <x v="0"/>
    <x v="0"/>
    <s v="Second           "/>
    <s v="998 cc  "/>
    <s v="58 bhp @ 6200 rpm   "/>
    <n v="58"/>
    <n v="3.5990000000000002"/>
    <n v="1.4950000000000001"/>
    <n v="1.7"/>
    <n v="5"/>
    <x v="1"/>
    <n v="35"/>
  </r>
  <r>
    <x v="13"/>
    <x v="111"/>
    <x v="203"/>
    <n v="325000"/>
    <x v="59"/>
    <x v="8"/>
    <x v="75"/>
    <x v="0"/>
    <x v="0"/>
    <x v="4"/>
    <s v="Second           "/>
    <s v="1198 cc "/>
    <s v="74 bhp @ 5400 rpm   "/>
    <n v="74"/>
    <n v="3.97"/>
    <n v="1.6819999999999999"/>
    <n v="1.4530000000000001"/>
    <n v="5"/>
    <x v="1"/>
    <n v="45"/>
  </r>
  <r>
    <x v="2"/>
    <x v="112"/>
    <x v="204"/>
    <n v="325000"/>
    <x v="59"/>
    <x v="0"/>
    <x v="134"/>
    <x v="2"/>
    <x v="0"/>
    <x v="0"/>
    <s v="Second           "/>
    <s v="1248 cc "/>
    <s v="75  bhp @4000             "/>
    <n v="75"/>
    <n v="4.16"/>
    <n v="1.69"/>
    <n v="1.53"/>
    <n v="5"/>
    <x v="1"/>
    <n v="43"/>
  </r>
  <r>
    <x v="1"/>
    <x v="40"/>
    <x v="205"/>
    <n v="325000"/>
    <x v="59"/>
    <x v="8"/>
    <x v="135"/>
    <x v="0"/>
    <x v="0"/>
    <x v="4"/>
    <s v="First            "/>
    <s v="1197 cc "/>
    <s v="79 bhp @ 6000 rpm   "/>
    <n v="79"/>
    <n v="3.585"/>
    <n v="1.595"/>
    <n v="1.55"/>
    <n v="5"/>
    <x v="1"/>
    <n v="35"/>
  </r>
  <r>
    <x v="1"/>
    <x v="113"/>
    <x v="206"/>
    <n v="325000"/>
    <x v="59"/>
    <x v="8"/>
    <x v="136"/>
    <x v="0"/>
    <x v="1"/>
    <x v="1"/>
    <s v="Second           "/>
    <s v="1197 cc "/>
    <s v="80  bhp @5200             "/>
    <n v="80"/>
    <n v="3.5649999999999999"/>
    <n v="1.595"/>
    <n v="1.55"/>
    <n v="5"/>
    <x v="1"/>
    <n v="35"/>
  </r>
  <r>
    <x v="2"/>
    <x v="97"/>
    <x v="207"/>
    <n v="325000"/>
    <x v="59"/>
    <x v="1"/>
    <x v="83"/>
    <x v="0"/>
    <x v="0"/>
    <x v="7"/>
    <s v="First            "/>
    <s v="1197 cc "/>
    <s v="85 bhp @ 6000 rpm   "/>
    <n v="85"/>
    <n v="3.85"/>
    <n v="1.6950000000000001"/>
    <n v="1.53"/>
    <n v="5"/>
    <x v="1"/>
    <n v="42"/>
  </r>
  <r>
    <x v="12"/>
    <x v="114"/>
    <x v="208"/>
    <n v="325000"/>
    <x v="59"/>
    <x v="8"/>
    <x v="39"/>
    <x v="2"/>
    <x v="0"/>
    <x v="2"/>
    <s v="First            "/>
    <s v="1461 cc "/>
    <s v="85 bhp @ 3750 rpm   "/>
    <n v="85"/>
    <n v="4.4249999999999998"/>
    <n v="1.6950000000000001"/>
    <n v="1.5049999999999999"/>
    <n v="5"/>
    <x v="1"/>
    <n v="41"/>
  </r>
  <r>
    <x v="2"/>
    <x v="115"/>
    <x v="209"/>
    <n v="325000"/>
    <x v="59"/>
    <x v="8"/>
    <x v="137"/>
    <x v="0"/>
    <x v="0"/>
    <x v="2"/>
    <s v="First            "/>
    <s v="1197 cc "/>
    <s v="85 bhp @ 6000 rpm   "/>
    <n v="85"/>
    <n v="3.7749999999999999"/>
    <n v="1.68"/>
    <n v="1.62"/>
    <n v="5"/>
    <x v="1"/>
    <n v="43"/>
  </r>
  <r>
    <x v="2"/>
    <x v="49"/>
    <x v="210"/>
    <n v="325000"/>
    <x v="59"/>
    <x v="1"/>
    <x v="73"/>
    <x v="0"/>
    <x v="0"/>
    <x v="0"/>
    <s v="Second           "/>
    <s v="1197 cc "/>
    <s v="85 bhp @ 6000 rpm   "/>
    <n v="85"/>
    <n v="3.9950000000000001"/>
    <n v="1.6950000000000001"/>
    <n v="1.5549999999999999"/>
    <n v="5"/>
    <x v="1"/>
    <n v="42"/>
  </r>
  <r>
    <x v="5"/>
    <x v="116"/>
    <x v="211"/>
    <n v="325000"/>
    <x v="59"/>
    <x v="6"/>
    <x v="138"/>
    <x v="0"/>
    <x v="0"/>
    <x v="1"/>
    <s v="First            "/>
    <s v="1198 cc "/>
    <s v="87 bhp @ 6000 rpm   "/>
    <n v="87"/>
    <n v="3.61"/>
    <n v="1.68"/>
    <n v="1.5"/>
    <n v="5"/>
    <x v="1"/>
    <n v="35"/>
  </r>
  <r>
    <x v="4"/>
    <x v="117"/>
    <x v="212"/>
    <n v="325000"/>
    <x v="59"/>
    <x v="4"/>
    <x v="139"/>
    <x v="0"/>
    <x v="0"/>
    <x v="4"/>
    <s v="Third            "/>
    <s v="1496 cc "/>
    <s v="90 bhp @ 5600 rpm   "/>
    <n v="90"/>
    <n v="4.2649999999999997"/>
    <n v="1.6950000000000001"/>
    <n v="1.51"/>
    <n v="5"/>
    <x v="1"/>
    <n v="45"/>
  </r>
  <r>
    <x v="8"/>
    <x v="118"/>
    <x v="213"/>
    <n v="325000"/>
    <x v="59"/>
    <x v="1"/>
    <x v="26"/>
    <x v="2"/>
    <x v="0"/>
    <x v="0"/>
    <s v="Third            "/>
    <s v="2489 cc "/>
    <s v="95  bhp @3600             "/>
    <n v="95"/>
    <n v="4.5199999999999996"/>
    <n v="1.85"/>
    <n v="1.895"/>
    <n v="8"/>
    <x v="1"/>
    <n v="55"/>
  </r>
  <r>
    <x v="2"/>
    <x v="119"/>
    <x v="214"/>
    <n v="328000"/>
    <x v="60"/>
    <x v="12"/>
    <x v="140"/>
    <x v="0"/>
    <x v="0"/>
    <x v="8"/>
    <s v="Second           "/>
    <s v="1196 cc "/>
    <s v="73 bhp @ 6000 rpm   "/>
    <n v="73"/>
    <n v="3.6749999999999998"/>
    <n v="1.4750000000000001"/>
    <n v="1.8"/>
    <n v="5"/>
    <x v="1"/>
    <n v="40"/>
  </r>
  <r>
    <x v="2"/>
    <x v="120"/>
    <x v="215"/>
    <n v="329000"/>
    <x v="61"/>
    <x v="6"/>
    <x v="141"/>
    <x v="0"/>
    <x v="1"/>
    <x v="4"/>
    <s v="First            "/>
    <s v="998 cc  "/>
    <s v="67 bhp @ 6000 rpm   "/>
    <n v="67"/>
    <n v="3.6"/>
    <n v="1.6"/>
    <n v="1.56"/>
    <n v="5"/>
    <x v="1"/>
    <n v="35"/>
  </r>
  <r>
    <x v="2"/>
    <x v="121"/>
    <x v="216"/>
    <n v="330000"/>
    <x v="62"/>
    <x v="9"/>
    <x v="142"/>
    <x v="3"/>
    <x v="0"/>
    <x v="2"/>
    <s v="First            "/>
    <s v="998 cc  "/>
    <s v="58 bhp @ 6000 rpm   "/>
    <n v="58"/>
    <n v="3.5449999999999999"/>
    <n v="1.49"/>
    <n v="1.4750000000000001"/>
    <n v="4"/>
    <x v="0"/>
    <n v="60"/>
  </r>
  <r>
    <x v="14"/>
    <x v="122"/>
    <x v="217"/>
    <n v="335000"/>
    <x v="63"/>
    <x v="3"/>
    <x v="143"/>
    <x v="2"/>
    <x v="1"/>
    <x v="5"/>
    <s v="Second           "/>
    <s v="2987 cc "/>
    <s v="198 bhp @4000            "/>
    <n v="198"/>
    <n v="4.8179999999999996"/>
    <n v="1.8220000000000001"/>
    <n v="1.42"/>
    <n v="5"/>
    <x v="1"/>
    <n v="80"/>
  </r>
  <r>
    <x v="7"/>
    <x v="123"/>
    <x v="218"/>
    <n v="335000"/>
    <x v="63"/>
    <x v="9"/>
    <x v="91"/>
    <x v="0"/>
    <x v="0"/>
    <x v="10"/>
    <s v="First            "/>
    <s v="1198 cc "/>
    <s v="67 bhp @ 5000 rpm   "/>
    <n v="67"/>
    <n v="3.9950000000000001"/>
    <n v="1.635"/>
    <n v="1.49"/>
    <n v="7"/>
    <x v="1"/>
    <n v="35"/>
  </r>
  <r>
    <x v="1"/>
    <x v="124"/>
    <x v="219"/>
    <n v="335000"/>
    <x v="63"/>
    <x v="11"/>
    <x v="23"/>
    <x v="2"/>
    <x v="0"/>
    <x v="0"/>
    <s v="Second           "/>
    <s v="1186 cc "/>
    <s v="74 bhp @ 4000 rpm   "/>
    <n v="74"/>
    <n v="3.7650000000000001"/>
    <n v="1.66"/>
    <n v="1.52"/>
    <n v="5"/>
    <x v="1"/>
    <n v="43"/>
  </r>
  <r>
    <x v="1"/>
    <x v="125"/>
    <x v="220"/>
    <n v="335000"/>
    <x v="63"/>
    <x v="8"/>
    <x v="144"/>
    <x v="0"/>
    <x v="1"/>
    <x v="2"/>
    <s v="Second           "/>
    <s v="1197 cc "/>
    <s v="79 bhp @ 6000 rpm   "/>
    <n v="79"/>
    <n v="3.585"/>
    <n v="1.595"/>
    <n v="1.55"/>
    <n v="5"/>
    <x v="1"/>
    <n v="35"/>
  </r>
  <r>
    <x v="5"/>
    <x v="126"/>
    <x v="221"/>
    <n v="335000"/>
    <x v="63"/>
    <x v="8"/>
    <x v="145"/>
    <x v="0"/>
    <x v="1"/>
    <x v="1"/>
    <s v="Second           "/>
    <s v="1198 cc "/>
    <s v="87 bhp @ 6000 rpm   "/>
    <n v="87"/>
    <n v="3.61"/>
    <n v="1.68"/>
    <n v="1.5"/>
    <n v="5"/>
    <x v="1"/>
    <n v="35"/>
  </r>
  <r>
    <x v="4"/>
    <x v="127"/>
    <x v="222"/>
    <n v="340000"/>
    <x v="64"/>
    <x v="4"/>
    <x v="146"/>
    <x v="0"/>
    <x v="0"/>
    <x v="0"/>
    <s v="Second           "/>
    <s v="1794 cc "/>
    <s v="132 bhp @6000            "/>
    <n v="132"/>
    <n v="4.54"/>
    <n v="1.76"/>
    <n v="1.48"/>
    <n v="5"/>
    <x v="1"/>
    <n v="55"/>
  </r>
  <r>
    <x v="2"/>
    <x v="34"/>
    <x v="223"/>
    <n v="340000"/>
    <x v="64"/>
    <x v="11"/>
    <x v="147"/>
    <x v="0"/>
    <x v="0"/>
    <x v="2"/>
    <s v="First            "/>
    <s v="796 cc  "/>
    <s v="47 bhp @ 6000 rpm   "/>
    <n v="47"/>
    <n v="3.395"/>
    <n v="1.49"/>
    <n v="1.4750000000000001"/>
    <n v="5"/>
    <x v="1"/>
    <n v="35"/>
  </r>
  <r>
    <x v="11"/>
    <x v="128"/>
    <x v="224"/>
    <n v="340000"/>
    <x v="64"/>
    <x v="9"/>
    <x v="148"/>
    <x v="2"/>
    <x v="0"/>
    <x v="6"/>
    <s v="First            "/>
    <s v="1461 cc "/>
    <s v="63 bhp @ 4000 rpm   "/>
    <n v="63"/>
    <n v="3.8050000000000002"/>
    <n v="1.665"/>
    <n v="1.5249999999999999"/>
    <n v="5"/>
    <x v="1"/>
    <n v="41"/>
  </r>
  <r>
    <x v="2"/>
    <x v="97"/>
    <x v="225"/>
    <n v="340000"/>
    <x v="64"/>
    <x v="8"/>
    <x v="31"/>
    <x v="0"/>
    <x v="0"/>
    <x v="0"/>
    <s v="First            "/>
    <s v="1197 cc "/>
    <s v="85 bhp @ 6000 rpm   "/>
    <n v="85"/>
    <n v="3.85"/>
    <n v="1.6950000000000001"/>
    <n v="1.53"/>
    <n v="5"/>
    <x v="1"/>
    <n v="42"/>
  </r>
  <r>
    <x v="1"/>
    <x v="129"/>
    <x v="226"/>
    <n v="340000"/>
    <x v="64"/>
    <x v="8"/>
    <x v="149"/>
    <x v="2"/>
    <x v="0"/>
    <x v="1"/>
    <s v="First            "/>
    <s v="1336 cc "/>
    <s v="89 bhp @ 4000 rpm   "/>
    <n v="89"/>
    <n v="3.9950000000000001"/>
    <n v="1.71"/>
    <n v="1.5049999999999999"/>
    <n v="5"/>
    <x v="1"/>
    <n v="45"/>
  </r>
  <r>
    <x v="5"/>
    <x v="103"/>
    <x v="227"/>
    <n v="341000"/>
    <x v="65"/>
    <x v="11"/>
    <x v="126"/>
    <x v="0"/>
    <x v="0"/>
    <x v="0"/>
    <s v="First            "/>
    <s v="1198 cc "/>
    <s v="87 bhp @ 6000 rpm   "/>
    <n v="87"/>
    <n v="3.61"/>
    <n v="1.68"/>
    <n v="1.5"/>
    <n v="5"/>
    <x v="1"/>
    <n v="35"/>
  </r>
  <r>
    <x v="2"/>
    <x v="130"/>
    <x v="228"/>
    <n v="345000"/>
    <x v="66"/>
    <x v="5"/>
    <x v="115"/>
    <x v="0"/>
    <x v="1"/>
    <x v="8"/>
    <s v="Third            "/>
    <s v="1995 cc "/>
    <s v="120 bhp@5500            "/>
    <n v="12"/>
    <n v="4.47"/>
    <n v="1.81"/>
    <n v="1.6950000000000001"/>
    <n v="5"/>
    <x v="1"/>
    <n v="66"/>
  </r>
  <r>
    <x v="2"/>
    <x v="52"/>
    <x v="229"/>
    <n v="345000"/>
    <x v="66"/>
    <x v="11"/>
    <x v="150"/>
    <x v="0"/>
    <x v="0"/>
    <x v="2"/>
    <s v="Second           "/>
    <s v="998 cc  "/>
    <s v="67 bhp @ 6200 rpm   "/>
    <n v="67"/>
    <n v="3.5990000000000002"/>
    <n v="1.4950000000000001"/>
    <n v="1.7"/>
    <n v="5"/>
    <x v="1"/>
    <n v="35"/>
  </r>
  <r>
    <x v="7"/>
    <x v="79"/>
    <x v="230"/>
    <n v="345000"/>
    <x v="66"/>
    <x v="13"/>
    <x v="151"/>
    <x v="0"/>
    <x v="0"/>
    <x v="1"/>
    <s v="First            "/>
    <s v="1198 cc "/>
    <s v="67 bhp @ 5000 rpm   "/>
    <n v="67"/>
    <n v="3.7850000000000001"/>
    <n v="1.635"/>
    <n v="1.4850000000000001"/>
    <n v="5"/>
    <x v="1"/>
    <n v="35"/>
  </r>
  <r>
    <x v="2"/>
    <x v="52"/>
    <x v="231"/>
    <n v="345000"/>
    <x v="66"/>
    <x v="9"/>
    <x v="152"/>
    <x v="0"/>
    <x v="0"/>
    <x v="1"/>
    <s v="Second           "/>
    <s v="998 cc  "/>
    <s v="67 bhp @ 6200 rpm   "/>
    <n v="67"/>
    <n v="3.5990000000000002"/>
    <n v="1.4950000000000001"/>
    <n v="1.7"/>
    <n v="5"/>
    <x v="1"/>
    <n v="35"/>
  </r>
  <r>
    <x v="2"/>
    <x v="120"/>
    <x v="232"/>
    <n v="345000"/>
    <x v="66"/>
    <x v="6"/>
    <x v="116"/>
    <x v="0"/>
    <x v="1"/>
    <x v="1"/>
    <s v="Second           "/>
    <s v="998 cc  "/>
    <s v="67 bhp @ 6000 rpm   "/>
    <n v="67"/>
    <n v="3.6"/>
    <n v="1.6"/>
    <n v="1.56"/>
    <n v="5"/>
    <x v="1"/>
    <n v="35"/>
  </r>
  <r>
    <x v="2"/>
    <x v="131"/>
    <x v="233"/>
    <n v="345000"/>
    <x v="66"/>
    <x v="11"/>
    <x v="153"/>
    <x v="0"/>
    <x v="0"/>
    <x v="0"/>
    <s v="First            "/>
    <s v="998 cc  "/>
    <s v="67 bhp @ 6200 rpm   "/>
    <n v="67"/>
    <n v="3.5990000000000002"/>
    <n v="1.4950000000000001"/>
    <n v="1.7"/>
    <n v="5"/>
    <x v="1"/>
    <n v="35"/>
  </r>
  <r>
    <x v="1"/>
    <x v="132"/>
    <x v="234"/>
    <n v="345000"/>
    <x v="66"/>
    <x v="11"/>
    <x v="154"/>
    <x v="2"/>
    <x v="0"/>
    <x v="0"/>
    <s v="Second           "/>
    <s v="1120 cc "/>
    <s v="70 bhp @ 4000 rpm   "/>
    <n v="70"/>
    <n v="3.7650000000000001"/>
    <n v="1.66"/>
    <n v="1.52"/>
    <n v="5"/>
    <x v="1"/>
    <n v="43"/>
  </r>
  <r>
    <x v="13"/>
    <x v="133"/>
    <x v="235"/>
    <n v="345000"/>
    <x v="66"/>
    <x v="10"/>
    <x v="26"/>
    <x v="2"/>
    <x v="0"/>
    <x v="4"/>
    <s v="First            "/>
    <s v="1498 cc "/>
    <s v="89 bhp @ 4200 rpm   "/>
    <n v="89"/>
    <n v="3.9710000000000001"/>
    <n v="1.6819999999999999"/>
    <n v="1.4690000000000001"/>
    <n v="5"/>
    <x v="1"/>
    <n v="45"/>
  </r>
  <r>
    <x v="13"/>
    <x v="134"/>
    <x v="236"/>
    <n v="350000"/>
    <x v="67"/>
    <x v="8"/>
    <x v="101"/>
    <x v="2"/>
    <x v="0"/>
    <x v="0"/>
    <s v="Second           "/>
    <s v="1598 cc "/>
    <s v="103 bhp @ 4400 rpm  "/>
    <n v="103"/>
    <n v="4.3840000000000003"/>
    <n v="1.6990000000000001"/>
    <n v="1.466"/>
    <n v="5"/>
    <x v="1"/>
    <n v="55"/>
  </r>
  <r>
    <x v="9"/>
    <x v="135"/>
    <x v="237"/>
    <n v="350000"/>
    <x v="67"/>
    <x v="1"/>
    <x v="29"/>
    <x v="2"/>
    <x v="0"/>
    <x v="0"/>
    <s v="First            "/>
    <s v="1598 cc "/>
    <s v="105 bhp @ 4400 rpm  "/>
    <n v="105"/>
    <n v="4.3860000000000001"/>
    <n v="1.6990000000000001"/>
    <n v="1.466"/>
    <n v="5"/>
    <x v="1"/>
    <n v="55"/>
  </r>
  <r>
    <x v="2"/>
    <x v="39"/>
    <x v="238"/>
    <n v="350000"/>
    <x v="67"/>
    <x v="1"/>
    <x v="17"/>
    <x v="0"/>
    <x v="0"/>
    <x v="7"/>
    <s v="First            "/>
    <s v="998 cc  "/>
    <s v="68 bhp @6200             "/>
    <n v="68"/>
    <n v="3.5390000000000001"/>
    <n v="1.4750000000000001"/>
    <n v="1.7"/>
    <n v="5"/>
    <x v="1"/>
    <n v="35"/>
  </r>
  <r>
    <x v="2"/>
    <x v="52"/>
    <x v="239"/>
    <n v="350000"/>
    <x v="67"/>
    <x v="8"/>
    <x v="114"/>
    <x v="0"/>
    <x v="0"/>
    <x v="0"/>
    <s v="First            "/>
    <s v="998 cc  "/>
    <s v="68 bhp @6200             "/>
    <n v="68"/>
    <n v="3.5390000000000001"/>
    <n v="1.4950000000000001"/>
    <n v="1.7"/>
    <n v="5"/>
    <x v="1"/>
    <n v="35"/>
  </r>
  <r>
    <x v="13"/>
    <x v="136"/>
    <x v="240"/>
    <n v="350000"/>
    <x v="67"/>
    <x v="6"/>
    <x v="155"/>
    <x v="2"/>
    <x v="0"/>
    <x v="7"/>
    <s v="Second           "/>
    <s v="1199 cc "/>
    <s v="74 bhp @ 4200 rpm   "/>
    <n v="74"/>
    <n v="3.97"/>
    <n v="1.6819999999999999"/>
    <n v="1.4530000000000001"/>
    <n v="5"/>
    <x v="1"/>
    <n v="45"/>
  </r>
  <r>
    <x v="2"/>
    <x v="3"/>
    <x v="241"/>
    <n v="350000"/>
    <x v="67"/>
    <x v="1"/>
    <x v="156"/>
    <x v="2"/>
    <x v="0"/>
    <x v="2"/>
    <s v="First            "/>
    <s v="1248 cc "/>
    <s v="75  bhp @4000             "/>
    <n v="75"/>
    <n v="3.7149999999999999"/>
    <n v="1.68"/>
    <n v="1.62"/>
    <n v="5"/>
    <x v="1"/>
    <n v="43"/>
  </r>
  <r>
    <x v="1"/>
    <x v="40"/>
    <x v="242"/>
    <n v="350000"/>
    <x v="67"/>
    <x v="4"/>
    <x v="157"/>
    <x v="0"/>
    <x v="0"/>
    <x v="4"/>
    <s v="First            "/>
    <s v="1197 cc "/>
    <s v="79 bhp @ 6000 rpm   "/>
    <n v="79"/>
    <n v="3.585"/>
    <n v="1.595"/>
    <n v="1.55"/>
    <n v="5"/>
    <x v="1"/>
    <n v="35"/>
  </r>
  <r>
    <x v="4"/>
    <x v="104"/>
    <x v="243"/>
    <n v="350000"/>
    <x v="67"/>
    <x v="8"/>
    <x v="91"/>
    <x v="0"/>
    <x v="0"/>
    <x v="8"/>
    <s v="First            "/>
    <s v="1197 cc "/>
    <s v="80 bhp @ 5600 rpm   "/>
    <n v="80"/>
    <n v="3.7749999999999999"/>
    <n v="1.6950000000000001"/>
    <n v="1.51"/>
    <n v="5"/>
    <x v="1"/>
    <n v="45"/>
  </r>
  <r>
    <x v="3"/>
    <x v="137"/>
    <x v="244"/>
    <n v="350000"/>
    <x v="67"/>
    <x v="1"/>
    <x v="21"/>
    <x v="2"/>
    <x v="0"/>
    <x v="1"/>
    <s v="First            "/>
    <s v="1498 cc "/>
    <s v="89 bhp @ 3750 rpm   "/>
    <n v="89"/>
    <n v="4.32"/>
    <n v="1.764"/>
    <n v="1.486"/>
    <n v="5"/>
    <x v="1"/>
    <n v="40"/>
  </r>
  <r>
    <x v="5"/>
    <x v="138"/>
    <x v="245"/>
    <n v="350000"/>
    <x v="67"/>
    <x v="6"/>
    <x v="68"/>
    <x v="2"/>
    <x v="0"/>
    <x v="8"/>
    <s v="First            "/>
    <s v="1498 cc "/>
    <s v="99 bhp @ 3600 rpm   "/>
    <n v="99"/>
    <n v="3.99"/>
    <n v="1.68"/>
    <n v="1.5049999999999999"/>
    <n v="5"/>
    <x v="1"/>
    <n v="35"/>
  </r>
  <r>
    <x v="2"/>
    <x v="18"/>
    <x v="246"/>
    <n v="351000"/>
    <x v="68"/>
    <x v="8"/>
    <x v="61"/>
    <x v="2"/>
    <x v="0"/>
    <x v="0"/>
    <s v="First            "/>
    <s v="1248 cc "/>
    <s v="74 bhp @ 4000 rpm   "/>
    <n v="74"/>
    <n v="3.9950000000000001"/>
    <n v="1.6950000000000001"/>
    <n v="1.5549999999999999"/>
    <n v="5"/>
    <x v="1"/>
    <n v="42"/>
  </r>
  <r>
    <x v="5"/>
    <x v="139"/>
    <x v="247"/>
    <n v="351000"/>
    <x v="68"/>
    <x v="6"/>
    <x v="158"/>
    <x v="0"/>
    <x v="0"/>
    <x v="4"/>
    <s v="First            "/>
    <s v="1198 cc "/>
    <s v="87 bhp @ 6000 rpm   "/>
    <n v="87"/>
    <n v="3.61"/>
    <n v="1.68"/>
    <n v="1.5"/>
    <n v="5"/>
    <x v="1"/>
    <n v="35"/>
  </r>
  <r>
    <x v="2"/>
    <x v="140"/>
    <x v="248"/>
    <n v="355000"/>
    <x v="69"/>
    <x v="14"/>
    <x v="122"/>
    <x v="0"/>
    <x v="0"/>
    <x v="0"/>
    <s v="First            "/>
    <s v="796 cc  "/>
    <s v="47 bhp @ 6000 rpm   "/>
    <n v="47"/>
    <n v="3.395"/>
    <n v="1.49"/>
    <n v="1.4750000000000001"/>
    <n v="5"/>
    <x v="1"/>
    <n v="35"/>
  </r>
  <r>
    <x v="2"/>
    <x v="97"/>
    <x v="249"/>
    <n v="355000"/>
    <x v="69"/>
    <x v="6"/>
    <x v="159"/>
    <x v="0"/>
    <x v="0"/>
    <x v="0"/>
    <s v="First            "/>
    <s v="1197 cc "/>
    <s v="85 bhp @ 6000 rpm   "/>
    <n v="85"/>
    <n v="3.85"/>
    <n v="1.6950000000000001"/>
    <n v="1.53"/>
    <n v="5"/>
    <x v="1"/>
    <n v="42"/>
  </r>
  <r>
    <x v="13"/>
    <x v="141"/>
    <x v="250"/>
    <n v="360000"/>
    <x v="70"/>
    <x v="8"/>
    <x v="133"/>
    <x v="0"/>
    <x v="0"/>
    <x v="12"/>
    <s v="First            "/>
    <s v="1598 cc "/>
    <s v="103 bhp @ 5250 rpm  "/>
    <n v="103"/>
    <n v="4.3840000000000003"/>
    <n v="1.6990000000000001"/>
    <n v="1.466"/>
    <n v="5"/>
    <x v="1"/>
    <n v="55"/>
  </r>
  <r>
    <x v="1"/>
    <x v="142"/>
    <x v="251"/>
    <n v="360000"/>
    <x v="70"/>
    <x v="10"/>
    <x v="160"/>
    <x v="0"/>
    <x v="0"/>
    <x v="0"/>
    <s v="First            "/>
    <s v="998 cc  "/>
    <s v="68 bhp @ 6200 rpm   "/>
    <n v="68"/>
    <n v="3.5150000000000001"/>
    <n v="1.55"/>
    <n v="1.51"/>
    <n v="5"/>
    <x v="1"/>
    <n v="32"/>
  </r>
  <r>
    <x v="12"/>
    <x v="114"/>
    <x v="252"/>
    <n v="360000"/>
    <x v="70"/>
    <x v="8"/>
    <x v="115"/>
    <x v="2"/>
    <x v="0"/>
    <x v="2"/>
    <s v="Second           "/>
    <s v="1461 cc "/>
    <s v="85 bhp @ 3750 rpm   "/>
    <n v="85"/>
    <n v="4.4249999999999998"/>
    <n v="1.6950000000000001"/>
    <n v="1.5049999999999999"/>
    <n v="5"/>
    <x v="1"/>
    <n v="41"/>
  </r>
  <r>
    <x v="1"/>
    <x v="143"/>
    <x v="253"/>
    <n v="360000"/>
    <x v="70"/>
    <x v="8"/>
    <x v="161"/>
    <x v="2"/>
    <x v="0"/>
    <x v="0"/>
    <s v="Second           "/>
    <s v="1336 cc "/>
    <s v="89 bhp @ 4000 rpm   "/>
    <n v="89"/>
    <n v="3.9950000000000001"/>
    <n v="1.71"/>
    <n v="1.5049999999999999"/>
    <n v="5"/>
    <x v="1"/>
    <n v="45"/>
  </r>
  <r>
    <x v="5"/>
    <x v="78"/>
    <x v="254"/>
    <n v="365000"/>
    <x v="71"/>
    <x v="0"/>
    <x v="162"/>
    <x v="0"/>
    <x v="0"/>
    <x v="5"/>
    <s v="First            "/>
    <s v="1497 cc "/>
    <s v="118 bhp @6600            "/>
    <n v="118"/>
    <n v="4.42"/>
    <n v="1.6950000000000001"/>
    <n v="1.48"/>
    <n v="5"/>
    <x v="1"/>
    <n v="42"/>
  </r>
  <r>
    <x v="8"/>
    <x v="144"/>
    <x v="255"/>
    <n v="365000"/>
    <x v="71"/>
    <x v="2"/>
    <x v="14"/>
    <x v="2"/>
    <x v="0"/>
    <x v="11"/>
    <s v="Second           "/>
    <s v="2179 cc "/>
    <s v="120 bhp @ 4000 rpm  "/>
    <n v="120"/>
    <n v="4.43"/>
    <n v="1.8169999999999999"/>
    <n v="1.9750000000000001"/>
    <n v="8"/>
    <x v="1"/>
    <n v="60"/>
  </r>
  <r>
    <x v="2"/>
    <x v="93"/>
    <x v="256"/>
    <n v="365000"/>
    <x v="71"/>
    <x v="6"/>
    <x v="163"/>
    <x v="3"/>
    <x v="0"/>
    <x v="2"/>
    <s v="Second           "/>
    <s v="998 cc  "/>
    <s v="58 bhp @ 6200 rpm   "/>
    <n v="58"/>
    <n v="3.5990000000000002"/>
    <n v="1.4950000000000001"/>
    <n v="1.7"/>
    <n v="5"/>
    <x v="1"/>
    <n v="35"/>
  </r>
  <r>
    <x v="11"/>
    <x v="145"/>
    <x v="257"/>
    <n v="365000"/>
    <x v="71"/>
    <x v="13"/>
    <x v="34"/>
    <x v="0"/>
    <x v="0"/>
    <x v="10"/>
    <s v="First            "/>
    <s v="999 cc  "/>
    <s v="67 bhp @ 5500 rpm   "/>
    <n v="67"/>
    <n v="3.6789999999999998"/>
    <n v="1.579"/>
    <n v="1.478"/>
    <n v="5"/>
    <x v="1"/>
    <n v="28"/>
  </r>
  <r>
    <x v="2"/>
    <x v="146"/>
    <x v="258"/>
    <n v="365000"/>
    <x v="71"/>
    <x v="10"/>
    <x v="164"/>
    <x v="0"/>
    <x v="1"/>
    <x v="4"/>
    <s v="First            "/>
    <s v="998 cc  "/>
    <s v="67 bhp @ 6000 rpm   "/>
    <n v="67"/>
    <n v="3.5449999999999999"/>
    <n v="1.49"/>
    <n v="1.4750000000000001"/>
    <n v="5"/>
    <x v="1"/>
    <n v="35"/>
  </r>
  <r>
    <x v="13"/>
    <x v="136"/>
    <x v="259"/>
    <n v="365000"/>
    <x v="71"/>
    <x v="8"/>
    <x v="101"/>
    <x v="2"/>
    <x v="0"/>
    <x v="1"/>
    <s v="First            "/>
    <s v="1199 cc "/>
    <s v="74 bhp @ 4200 rpm   "/>
    <n v="74"/>
    <n v="3.97"/>
    <n v="1.6819999999999999"/>
    <n v="1.4530000000000001"/>
    <n v="5"/>
    <x v="1"/>
    <n v="45"/>
  </r>
  <r>
    <x v="2"/>
    <x v="18"/>
    <x v="260"/>
    <n v="365000"/>
    <x v="71"/>
    <x v="2"/>
    <x v="47"/>
    <x v="2"/>
    <x v="0"/>
    <x v="0"/>
    <s v="Second           "/>
    <s v="1248 cc "/>
    <s v="75  bhp @4000             "/>
    <n v="75"/>
    <n v="4.16"/>
    <n v="1.69"/>
    <n v="1.53"/>
    <n v="5"/>
    <x v="1"/>
    <n v="43"/>
  </r>
  <r>
    <x v="1"/>
    <x v="147"/>
    <x v="261"/>
    <n v="365000"/>
    <x v="71"/>
    <x v="6"/>
    <x v="93"/>
    <x v="0"/>
    <x v="0"/>
    <x v="0"/>
    <s v="First            "/>
    <s v="1197 cc "/>
    <s v="81 bhp @ 6000 rpm   "/>
    <n v="81"/>
    <n v="3.7650000000000001"/>
    <n v="1.66"/>
    <n v="1.52"/>
    <n v="5"/>
    <x v="1"/>
    <n v="43"/>
  </r>
  <r>
    <x v="2"/>
    <x v="97"/>
    <x v="262"/>
    <n v="365000"/>
    <x v="71"/>
    <x v="8"/>
    <x v="73"/>
    <x v="0"/>
    <x v="0"/>
    <x v="7"/>
    <s v="First            "/>
    <s v="1197 cc "/>
    <s v="85 bhp @ 6000 rpm   "/>
    <n v="85"/>
    <n v="3.85"/>
    <n v="1.6950000000000001"/>
    <n v="1.53"/>
    <n v="5"/>
    <x v="1"/>
    <n v="42"/>
  </r>
  <r>
    <x v="5"/>
    <x v="103"/>
    <x v="263"/>
    <n v="365000"/>
    <x v="71"/>
    <x v="6"/>
    <x v="106"/>
    <x v="0"/>
    <x v="0"/>
    <x v="0"/>
    <s v="First            "/>
    <s v="1198 cc "/>
    <s v="87 bhp @ 6000 rpm   "/>
    <n v="87"/>
    <n v="3.61"/>
    <n v="1.68"/>
    <n v="1.5"/>
    <n v="5"/>
    <x v="1"/>
    <n v="35"/>
  </r>
  <r>
    <x v="2"/>
    <x v="62"/>
    <x v="264"/>
    <n v="369000"/>
    <x v="72"/>
    <x v="9"/>
    <x v="165"/>
    <x v="0"/>
    <x v="0"/>
    <x v="2"/>
    <s v="First            "/>
    <s v="998 cc  "/>
    <s v="67 bhp @ 6000 rpm   "/>
    <n v="67"/>
    <n v="3.5449999999999999"/>
    <n v="1.49"/>
    <n v="1.4750000000000001"/>
    <n v="5"/>
    <x v="1"/>
    <n v="35"/>
  </r>
  <r>
    <x v="2"/>
    <x v="12"/>
    <x v="265"/>
    <n v="370000"/>
    <x v="73"/>
    <x v="13"/>
    <x v="166"/>
    <x v="3"/>
    <x v="0"/>
    <x v="2"/>
    <s v="First            "/>
    <s v="998 cc  "/>
    <s v="58 bhp @ 6000 rpm   "/>
    <n v="58"/>
    <n v="3.5449999999999999"/>
    <n v="1.49"/>
    <n v="1.4750000000000001"/>
    <n v="4"/>
    <x v="0"/>
    <n v="60"/>
  </r>
  <r>
    <x v="2"/>
    <x v="62"/>
    <x v="266"/>
    <n v="370000"/>
    <x v="73"/>
    <x v="10"/>
    <x v="23"/>
    <x v="0"/>
    <x v="0"/>
    <x v="2"/>
    <s v="First            "/>
    <s v="998 cc  "/>
    <s v="67 bhp @ 6000 rpm   "/>
    <n v="67"/>
    <n v="3.5449999999999999"/>
    <n v="1.49"/>
    <n v="1.4750000000000001"/>
    <n v="5"/>
    <x v="1"/>
    <n v="35"/>
  </r>
  <r>
    <x v="1"/>
    <x v="125"/>
    <x v="267"/>
    <n v="370000"/>
    <x v="73"/>
    <x v="8"/>
    <x v="37"/>
    <x v="0"/>
    <x v="1"/>
    <x v="0"/>
    <s v="First            "/>
    <s v="1197 cc "/>
    <s v="79 bhp @ 6000 rpm   "/>
    <n v="79"/>
    <n v="3.585"/>
    <n v="1.595"/>
    <n v="1.55"/>
    <n v="5"/>
    <x v="1"/>
    <n v="35"/>
  </r>
  <r>
    <x v="5"/>
    <x v="148"/>
    <x v="268"/>
    <n v="375000"/>
    <x v="74"/>
    <x v="8"/>
    <x v="90"/>
    <x v="0"/>
    <x v="0"/>
    <x v="15"/>
    <s v="Second           "/>
    <s v="1497 cc "/>
    <s v="116 bhp @ 6600 rpm  "/>
    <n v="116"/>
    <n v="4.4400000000000004"/>
    <n v="1.6950000000000001"/>
    <n v="1.4850000000000001"/>
    <n v="5"/>
    <x v="1"/>
    <n v="42"/>
  </r>
  <r>
    <x v="5"/>
    <x v="78"/>
    <x v="269"/>
    <n v="375000"/>
    <x v="74"/>
    <x v="1"/>
    <x v="167"/>
    <x v="0"/>
    <x v="0"/>
    <x v="1"/>
    <s v="First            "/>
    <s v="1497 cc "/>
    <s v="116 bhp @ 6600 rpm  "/>
    <n v="116"/>
    <n v="4.4400000000000004"/>
    <n v="1.6950000000000001"/>
    <n v="1.4850000000000001"/>
    <n v="5"/>
    <x v="1"/>
    <n v="42"/>
  </r>
  <r>
    <x v="5"/>
    <x v="65"/>
    <x v="270"/>
    <n v="375000"/>
    <x v="74"/>
    <x v="4"/>
    <x v="101"/>
    <x v="0"/>
    <x v="0"/>
    <x v="12"/>
    <s v="First            "/>
    <s v="1497 cc "/>
    <s v="118 bhp @6600            "/>
    <n v="118"/>
    <n v="4.42"/>
    <n v="1.6950000000000001"/>
    <n v="1.48"/>
    <n v="5"/>
    <x v="1"/>
    <n v="42"/>
  </r>
  <r>
    <x v="4"/>
    <x v="127"/>
    <x v="271"/>
    <n v="375000"/>
    <x v="74"/>
    <x v="4"/>
    <x v="82"/>
    <x v="0"/>
    <x v="0"/>
    <x v="1"/>
    <s v="First            "/>
    <s v="1794 cc "/>
    <s v="132  bhp @6000            "/>
    <n v="132"/>
    <n v="4.54"/>
    <n v="1.76"/>
    <n v="1.48"/>
    <n v="5"/>
    <x v="1"/>
    <n v="55"/>
  </r>
  <r>
    <x v="0"/>
    <x v="149"/>
    <x v="272"/>
    <n v="375000"/>
    <x v="74"/>
    <x v="8"/>
    <x v="168"/>
    <x v="2"/>
    <x v="0"/>
    <x v="8"/>
    <s v="First            "/>
    <s v="2179 cc "/>
    <s v="138 bhp @ 4000 rpm  "/>
    <n v="138"/>
    <n v="4.6550000000000002"/>
    <n v="1.9650000000000001"/>
    <n v="1.9219999999999999"/>
    <n v="7"/>
    <x v="1"/>
    <n v="55"/>
  </r>
  <r>
    <x v="11"/>
    <x v="150"/>
    <x v="273"/>
    <n v="375000"/>
    <x v="74"/>
    <x v="13"/>
    <x v="17"/>
    <x v="0"/>
    <x v="0"/>
    <x v="1"/>
    <s v="First            "/>
    <s v="799 cc  "/>
    <s v="53 bhp @ 5678 rpm   "/>
    <n v="53"/>
    <n v="3.6789999999999998"/>
    <n v="1.579"/>
    <n v="1.478"/>
    <n v="5"/>
    <x v="1"/>
    <n v="28"/>
  </r>
  <r>
    <x v="2"/>
    <x v="43"/>
    <x v="274"/>
    <n v="375000"/>
    <x v="74"/>
    <x v="10"/>
    <x v="23"/>
    <x v="3"/>
    <x v="0"/>
    <x v="1"/>
    <s v="First            "/>
    <s v="998 cc  "/>
    <s v="58 bhp @ 6200 rpm   "/>
    <n v="58"/>
    <n v="3.5990000000000002"/>
    <n v="1.4950000000000001"/>
    <n v="1.7"/>
    <n v="5"/>
    <x v="1"/>
    <n v="35"/>
  </r>
  <r>
    <x v="11"/>
    <x v="151"/>
    <x v="275"/>
    <n v="375000"/>
    <x v="74"/>
    <x v="12"/>
    <x v="169"/>
    <x v="0"/>
    <x v="0"/>
    <x v="11"/>
    <s v="First            "/>
    <s v="999 cc  "/>
    <s v="67 bhp @ 5500 rpm   "/>
    <n v="67"/>
    <n v="3.6789999999999998"/>
    <n v="1.579"/>
    <n v="1.478"/>
    <n v="5"/>
    <x v="1"/>
    <n v="28"/>
  </r>
  <r>
    <x v="11"/>
    <x v="152"/>
    <x v="276"/>
    <n v="375000"/>
    <x v="74"/>
    <x v="9"/>
    <x v="114"/>
    <x v="0"/>
    <x v="0"/>
    <x v="2"/>
    <s v="UnRegistered Car "/>
    <s v="999 cc  "/>
    <s v="67 bhp @ 5500 rpm   "/>
    <n v="67"/>
    <n v="3.6789999999999998"/>
    <n v="1.579"/>
    <n v="1.478"/>
    <n v="5"/>
    <x v="1"/>
    <n v="28"/>
  </r>
  <r>
    <x v="2"/>
    <x v="120"/>
    <x v="277"/>
    <n v="375000"/>
    <x v="74"/>
    <x v="6"/>
    <x v="56"/>
    <x v="0"/>
    <x v="1"/>
    <x v="4"/>
    <s v="First            "/>
    <s v="998 cc  "/>
    <s v="67 bhp @ 6000 rpm   "/>
    <n v="67"/>
    <n v="3.6"/>
    <n v="1.6"/>
    <n v="1.56"/>
    <n v="5"/>
    <x v="1"/>
    <n v="35"/>
  </r>
  <r>
    <x v="13"/>
    <x v="153"/>
    <x v="278"/>
    <n v="375000"/>
    <x v="74"/>
    <x v="8"/>
    <x v="170"/>
    <x v="0"/>
    <x v="0"/>
    <x v="4"/>
    <s v="First            "/>
    <s v="1198 cc "/>
    <s v="74 bhp @ 5400 rpm   "/>
    <n v="74"/>
    <n v="3.97"/>
    <n v="1.6819999999999999"/>
    <n v="1.4530000000000001"/>
    <n v="5"/>
    <x v="1"/>
    <n v="45"/>
  </r>
  <r>
    <x v="2"/>
    <x v="85"/>
    <x v="279"/>
    <n v="375000"/>
    <x v="74"/>
    <x v="4"/>
    <x v="171"/>
    <x v="2"/>
    <x v="0"/>
    <x v="1"/>
    <s v="First            "/>
    <s v="1248 cc "/>
    <s v="74 bhp @ 4000 rpm   "/>
    <n v="74"/>
    <n v="3.85"/>
    <n v="1.6950000000000001"/>
    <n v="1.53"/>
    <n v="5"/>
    <x v="1"/>
    <n v="42"/>
  </r>
  <r>
    <x v="10"/>
    <x v="154"/>
    <x v="280"/>
    <n v="375000"/>
    <x v="74"/>
    <x v="6"/>
    <x v="154"/>
    <x v="2"/>
    <x v="0"/>
    <x v="6"/>
    <s v="First            "/>
    <s v="1248 cc "/>
    <s v="75 bhp @ 4000 rpm   "/>
    <n v="75"/>
    <n v="3.9870000000000001"/>
    <n v="1.6870000000000001"/>
    <n v="1.4950000000000001"/>
    <n v="5"/>
    <x v="1"/>
    <n v="45"/>
  </r>
  <r>
    <x v="1"/>
    <x v="125"/>
    <x v="281"/>
    <n v="375000"/>
    <x v="74"/>
    <x v="8"/>
    <x v="91"/>
    <x v="0"/>
    <x v="1"/>
    <x v="4"/>
    <s v="First            "/>
    <s v="1197 cc "/>
    <s v="79 bhp @ 6000 rpm   "/>
    <n v="79"/>
    <n v="3.585"/>
    <n v="1.595"/>
    <n v="1.55"/>
    <n v="5"/>
    <x v="1"/>
    <n v="35"/>
  </r>
  <r>
    <x v="1"/>
    <x v="155"/>
    <x v="282"/>
    <n v="375000"/>
    <x v="74"/>
    <x v="10"/>
    <x v="172"/>
    <x v="0"/>
    <x v="0"/>
    <x v="2"/>
    <s v="First            "/>
    <s v="1197 cc "/>
    <s v="81 bhp @ 6000 rpm   "/>
    <n v="81"/>
    <n v="3.7650000000000001"/>
    <n v="1.66"/>
    <n v="1.52"/>
    <n v="5"/>
    <x v="1"/>
    <n v="43"/>
  </r>
  <r>
    <x v="1"/>
    <x v="156"/>
    <x v="283"/>
    <n v="375000"/>
    <x v="74"/>
    <x v="8"/>
    <x v="173"/>
    <x v="0"/>
    <x v="0"/>
    <x v="0"/>
    <s v="First            "/>
    <s v="1197 cc "/>
    <s v="83 bhp @ 6000 rpm   "/>
    <n v="83"/>
    <n v="3.9950000000000001"/>
    <n v="1.71"/>
    <n v="1.5049999999999999"/>
    <n v="5"/>
    <x v="1"/>
    <n v="45"/>
  </r>
  <r>
    <x v="0"/>
    <x v="157"/>
    <x v="284"/>
    <n v="375000"/>
    <x v="74"/>
    <x v="12"/>
    <x v="174"/>
    <x v="0"/>
    <x v="0"/>
    <x v="2"/>
    <s v="First            "/>
    <s v="1199 cc "/>
    <s v="84 bhp @ 6000 rpm   "/>
    <n v="84"/>
    <n v="3.992"/>
    <n v="1.677"/>
    <n v="1.5369999999999999"/>
    <n v="5"/>
    <x v="1"/>
    <n v="35"/>
  </r>
  <r>
    <x v="5"/>
    <x v="158"/>
    <x v="285"/>
    <n v="375000"/>
    <x v="74"/>
    <x v="11"/>
    <x v="175"/>
    <x v="0"/>
    <x v="0"/>
    <x v="1"/>
    <s v="First            "/>
    <s v="1198 cc "/>
    <s v="87 bhp @ 6000 rpm   "/>
    <n v="87"/>
    <n v="3.61"/>
    <n v="1.68"/>
    <n v="1.5"/>
    <n v="5"/>
    <x v="1"/>
    <n v="35"/>
  </r>
  <r>
    <x v="1"/>
    <x v="159"/>
    <x v="286"/>
    <n v="375000"/>
    <x v="74"/>
    <x v="1"/>
    <x v="58"/>
    <x v="2"/>
    <x v="0"/>
    <x v="0"/>
    <s v="First            "/>
    <s v="1336 cc "/>
    <s v="89 bhp @ 4000 rpm   "/>
    <n v="89"/>
    <n v="3.9950000000000001"/>
    <n v="1.71"/>
    <n v="1.5049999999999999"/>
    <n v="5"/>
    <x v="1"/>
    <n v="45"/>
  </r>
  <r>
    <x v="0"/>
    <x v="160"/>
    <x v="287"/>
    <n v="379000"/>
    <x v="75"/>
    <x v="12"/>
    <x v="176"/>
    <x v="0"/>
    <x v="0"/>
    <x v="1"/>
    <s v="Second           "/>
    <s v="1047 cc "/>
    <s v="69 bhp @ 4000 rpm   "/>
    <n v="69"/>
    <n v="3.746"/>
    <n v="1.647"/>
    <n v="1.5349999999999999"/>
    <n v="5"/>
    <x v="1"/>
    <n v="35"/>
  </r>
  <r>
    <x v="1"/>
    <x v="161"/>
    <x v="288"/>
    <n v="380000"/>
    <x v="76"/>
    <x v="1"/>
    <x v="75"/>
    <x v="0"/>
    <x v="0"/>
    <x v="2"/>
    <s v="First            "/>
    <s v="1591 cc "/>
    <s v="121 bhp @ 6300 rpm  "/>
    <n v="121"/>
    <n v="4.37"/>
    <n v="1.7"/>
    <n v="1.4750000000000001"/>
    <n v="5"/>
    <x v="1"/>
    <n v="43"/>
  </r>
  <r>
    <x v="2"/>
    <x v="93"/>
    <x v="289"/>
    <n v="380000"/>
    <x v="76"/>
    <x v="12"/>
    <x v="177"/>
    <x v="3"/>
    <x v="0"/>
    <x v="1"/>
    <s v="First            "/>
    <s v="998 cc  "/>
    <s v="58 bhp @ 6200 rpm   "/>
    <n v="58"/>
    <n v="3.5990000000000002"/>
    <n v="1.4950000000000001"/>
    <n v="1.7"/>
    <n v="5"/>
    <x v="1"/>
    <n v="35"/>
  </r>
  <r>
    <x v="2"/>
    <x v="162"/>
    <x v="290"/>
    <n v="380000"/>
    <x v="76"/>
    <x v="11"/>
    <x v="26"/>
    <x v="0"/>
    <x v="1"/>
    <x v="2"/>
    <s v="First            "/>
    <s v="998 cc  "/>
    <s v="67 bhp @ 6200 rpm   "/>
    <n v="67"/>
    <n v="3.6360000000000001"/>
    <n v="1.4750000000000001"/>
    <n v="1.67"/>
    <n v="5"/>
    <x v="1"/>
    <n v="35"/>
  </r>
  <r>
    <x v="1"/>
    <x v="163"/>
    <x v="291"/>
    <n v="380000"/>
    <x v="76"/>
    <x v="8"/>
    <x v="38"/>
    <x v="0"/>
    <x v="1"/>
    <x v="0"/>
    <s v="First            "/>
    <s v="1197 cc "/>
    <s v="79 bhp @ 6000 rpm   "/>
    <n v="79"/>
    <n v="3.585"/>
    <n v="1.595"/>
    <n v="1.55"/>
    <n v="5"/>
    <x v="1"/>
    <n v="35"/>
  </r>
  <r>
    <x v="1"/>
    <x v="164"/>
    <x v="292"/>
    <n v="380000"/>
    <x v="76"/>
    <x v="10"/>
    <x v="178"/>
    <x v="0"/>
    <x v="0"/>
    <x v="2"/>
    <s v="First            "/>
    <s v="1197 cc "/>
    <s v="81 bhp @ 6000 rpm   "/>
    <n v="81"/>
    <n v="3.7650000000000001"/>
    <n v="1.66"/>
    <n v="1.52"/>
    <n v="5"/>
    <x v="1"/>
    <n v="43"/>
  </r>
  <r>
    <x v="12"/>
    <x v="114"/>
    <x v="293"/>
    <n v="380000"/>
    <x v="76"/>
    <x v="8"/>
    <x v="56"/>
    <x v="2"/>
    <x v="0"/>
    <x v="2"/>
    <s v="First            "/>
    <s v="1461 cc "/>
    <s v="85 bhp @ 3750 rpm   "/>
    <n v="85"/>
    <n v="4.4249999999999998"/>
    <n v="1.6950000000000001"/>
    <n v="1.5049999999999999"/>
    <n v="5"/>
    <x v="1"/>
    <n v="41"/>
  </r>
  <r>
    <x v="1"/>
    <x v="165"/>
    <x v="294"/>
    <n v="385000"/>
    <x v="77"/>
    <x v="4"/>
    <x v="62"/>
    <x v="0"/>
    <x v="0"/>
    <x v="2"/>
    <s v="First            "/>
    <s v="1591 cc "/>
    <s v="121 bhp @ 6300 rpm  "/>
    <n v="121"/>
    <n v="4.37"/>
    <n v="1.7"/>
    <n v="1.4750000000000001"/>
    <n v="5"/>
    <x v="1"/>
    <n v="43"/>
  </r>
  <r>
    <x v="13"/>
    <x v="111"/>
    <x v="295"/>
    <n v="385000"/>
    <x v="77"/>
    <x v="8"/>
    <x v="6"/>
    <x v="0"/>
    <x v="0"/>
    <x v="0"/>
    <s v="First            "/>
    <s v="1198 cc "/>
    <s v="74 bhp @ 5400 rpm   "/>
    <n v="74"/>
    <n v="3.97"/>
    <n v="1.6819999999999999"/>
    <n v="1.4530000000000001"/>
    <n v="5"/>
    <x v="1"/>
    <n v="45"/>
  </r>
  <r>
    <x v="1"/>
    <x v="99"/>
    <x v="296"/>
    <n v="385000"/>
    <x v="77"/>
    <x v="6"/>
    <x v="117"/>
    <x v="0"/>
    <x v="0"/>
    <x v="6"/>
    <s v="First            "/>
    <s v="1197 cc "/>
    <s v="83 bhp @ 6000 rpm   "/>
    <n v="83"/>
    <n v="3.9950000000000001"/>
    <n v="1.71"/>
    <n v="1.5049999999999999"/>
    <n v="5"/>
    <x v="1"/>
    <n v="45"/>
  </r>
  <r>
    <x v="1"/>
    <x v="99"/>
    <x v="297"/>
    <n v="385000"/>
    <x v="77"/>
    <x v="8"/>
    <x v="179"/>
    <x v="0"/>
    <x v="0"/>
    <x v="0"/>
    <s v="First            "/>
    <s v="1197 cc "/>
    <s v="83 bhp @ 6000 rpm   "/>
    <n v="83"/>
    <n v="3.9950000000000001"/>
    <n v="1.71"/>
    <n v="1.5049999999999999"/>
    <n v="5"/>
    <x v="1"/>
    <n v="45"/>
  </r>
  <r>
    <x v="12"/>
    <x v="166"/>
    <x v="298"/>
    <n v="385000"/>
    <x v="77"/>
    <x v="8"/>
    <x v="8"/>
    <x v="2"/>
    <x v="0"/>
    <x v="2"/>
    <s v="Second           "/>
    <s v="1461 cc "/>
    <s v="84 bhp @ 3750 rpm   "/>
    <n v="84"/>
    <n v="4.3310000000000004"/>
    <n v="1.8220000000000001"/>
    <n v="1.671"/>
    <n v="5"/>
    <x v="1"/>
    <n v="50"/>
  </r>
  <r>
    <x v="2"/>
    <x v="97"/>
    <x v="299"/>
    <n v="385000"/>
    <x v="77"/>
    <x v="4"/>
    <x v="46"/>
    <x v="0"/>
    <x v="0"/>
    <x v="1"/>
    <s v="First            "/>
    <s v="1197 cc "/>
    <s v="85 bhp @ 6000 rpm   "/>
    <n v="85"/>
    <n v="3.85"/>
    <n v="1.6950000000000001"/>
    <n v="1.53"/>
    <n v="5"/>
    <x v="1"/>
    <n v="42"/>
  </r>
  <r>
    <x v="5"/>
    <x v="138"/>
    <x v="300"/>
    <n v="385000"/>
    <x v="77"/>
    <x v="8"/>
    <x v="180"/>
    <x v="2"/>
    <x v="0"/>
    <x v="0"/>
    <s v="First            "/>
    <s v="1498 cc "/>
    <s v="99 bhp @ 3600 rpm   "/>
    <n v="99"/>
    <n v="3.99"/>
    <n v="1.68"/>
    <n v="1.5049999999999999"/>
    <n v="5"/>
    <x v="1"/>
    <n v="35"/>
  </r>
  <r>
    <x v="11"/>
    <x v="167"/>
    <x v="301"/>
    <n v="390000"/>
    <x v="78"/>
    <x v="8"/>
    <x v="11"/>
    <x v="2"/>
    <x v="0"/>
    <x v="1"/>
    <s v="First            "/>
    <s v="1461 cc "/>
    <s v="108 bhp @ 4000 rpm  "/>
    <n v="108"/>
    <n v="4.6180000000000003"/>
    <n v="1.8129999999999999"/>
    <n v="1.488"/>
    <n v="5"/>
    <x v="1"/>
    <n v="67"/>
  </r>
  <r>
    <x v="4"/>
    <x v="127"/>
    <x v="302"/>
    <n v="390000"/>
    <x v="78"/>
    <x v="2"/>
    <x v="181"/>
    <x v="0"/>
    <x v="0"/>
    <x v="0"/>
    <s v="First            "/>
    <s v="1794 cc "/>
    <s v="132 bhp @6000            "/>
    <n v="132"/>
    <n v="4.54"/>
    <n v="1.76"/>
    <n v="1.48"/>
    <n v="5"/>
    <x v="1"/>
    <n v="55"/>
  </r>
  <r>
    <x v="2"/>
    <x v="61"/>
    <x v="303"/>
    <n v="390000"/>
    <x v="78"/>
    <x v="13"/>
    <x v="40"/>
    <x v="3"/>
    <x v="0"/>
    <x v="0"/>
    <s v="First            "/>
    <s v="796 cc  "/>
    <s v="47 bhp @ 6000 rpm   "/>
    <n v="47"/>
    <n v="3.395"/>
    <n v="1.49"/>
    <n v="1.4750000000000001"/>
    <n v="5"/>
    <x v="1"/>
    <n v="35"/>
  </r>
  <r>
    <x v="2"/>
    <x v="52"/>
    <x v="304"/>
    <n v="390000"/>
    <x v="78"/>
    <x v="12"/>
    <x v="182"/>
    <x v="0"/>
    <x v="0"/>
    <x v="14"/>
    <s v="First            "/>
    <s v="998 cc  "/>
    <s v="67 bhp @ 6200 rpm   "/>
    <n v="67"/>
    <n v="3.5990000000000002"/>
    <n v="1.4950000000000001"/>
    <n v="1.7"/>
    <n v="5"/>
    <x v="1"/>
    <n v="35"/>
  </r>
  <r>
    <x v="2"/>
    <x v="52"/>
    <x v="305"/>
    <n v="390000"/>
    <x v="78"/>
    <x v="10"/>
    <x v="183"/>
    <x v="0"/>
    <x v="0"/>
    <x v="4"/>
    <s v="First            "/>
    <s v="998 cc  "/>
    <s v="67 bhp @ 6200 rpm   "/>
    <n v="67"/>
    <n v="3.5990000000000002"/>
    <n v="1.4950000000000001"/>
    <n v="1.7"/>
    <n v="5"/>
    <x v="1"/>
    <n v="35"/>
  </r>
  <r>
    <x v="11"/>
    <x v="145"/>
    <x v="306"/>
    <n v="390000"/>
    <x v="78"/>
    <x v="12"/>
    <x v="184"/>
    <x v="0"/>
    <x v="0"/>
    <x v="4"/>
    <s v="First            "/>
    <s v="999 cc  "/>
    <s v="67 bhp @ 5500 rpm   "/>
    <n v="67"/>
    <n v="3.6789999999999998"/>
    <n v="1.579"/>
    <n v="1.478"/>
    <n v="5"/>
    <x v="1"/>
    <n v="28"/>
  </r>
  <r>
    <x v="2"/>
    <x v="168"/>
    <x v="307"/>
    <n v="390000"/>
    <x v="78"/>
    <x v="12"/>
    <x v="185"/>
    <x v="0"/>
    <x v="0"/>
    <x v="1"/>
    <s v="First            "/>
    <s v="998 cc  "/>
    <s v="67 bhp @ 6000 rpm   "/>
    <n v="67"/>
    <n v="3.5449999999999999"/>
    <n v="1.49"/>
    <n v="1.4750000000000001"/>
    <n v="5"/>
    <x v="1"/>
    <n v="35"/>
  </r>
  <r>
    <x v="2"/>
    <x v="75"/>
    <x v="308"/>
    <n v="390000"/>
    <x v="78"/>
    <x v="6"/>
    <x v="186"/>
    <x v="0"/>
    <x v="0"/>
    <x v="0"/>
    <s v="First            "/>
    <s v="998 cc  "/>
    <s v="67 bhp @ 6000 rpm   "/>
    <n v="67"/>
    <n v="3.6"/>
    <n v="1.6"/>
    <n v="1.56"/>
    <n v="5"/>
    <x v="1"/>
    <n v="35"/>
  </r>
  <r>
    <x v="2"/>
    <x v="120"/>
    <x v="309"/>
    <n v="390000"/>
    <x v="78"/>
    <x v="10"/>
    <x v="26"/>
    <x v="0"/>
    <x v="1"/>
    <x v="0"/>
    <s v="First            "/>
    <s v="998 cc  "/>
    <s v="67 bhp @ 6000 rpm   "/>
    <n v="67"/>
    <n v="3.6"/>
    <n v="1.6"/>
    <n v="1.56"/>
    <n v="5"/>
    <x v="1"/>
    <n v="35"/>
  </r>
  <r>
    <x v="1"/>
    <x v="169"/>
    <x v="310"/>
    <n v="390000"/>
    <x v="78"/>
    <x v="6"/>
    <x v="187"/>
    <x v="2"/>
    <x v="0"/>
    <x v="0"/>
    <s v="First            "/>
    <s v="1120 cc "/>
    <s v="71 bhp @ 4000 rpm   "/>
    <n v="71"/>
    <n v="3.9950000000000001"/>
    <n v="1.66"/>
    <n v="1.52"/>
    <n v="5"/>
    <x v="1"/>
    <n v="43"/>
  </r>
  <r>
    <x v="1"/>
    <x v="40"/>
    <x v="311"/>
    <n v="390000"/>
    <x v="78"/>
    <x v="10"/>
    <x v="188"/>
    <x v="0"/>
    <x v="0"/>
    <x v="0"/>
    <s v="First            "/>
    <s v="1197 cc "/>
    <s v="79 bhp @ 6000 rpm   "/>
    <n v="79"/>
    <n v="3.585"/>
    <n v="1.595"/>
    <n v="1.55"/>
    <n v="5"/>
    <x v="1"/>
    <n v="35"/>
  </r>
  <r>
    <x v="1"/>
    <x v="164"/>
    <x v="312"/>
    <n v="390000"/>
    <x v="78"/>
    <x v="6"/>
    <x v="38"/>
    <x v="0"/>
    <x v="0"/>
    <x v="2"/>
    <s v="First            "/>
    <s v="1197 cc "/>
    <s v="81 bhp @ 6000 rpm   "/>
    <n v="81"/>
    <n v="3.7650000000000001"/>
    <n v="1.66"/>
    <n v="1.52"/>
    <n v="5"/>
    <x v="1"/>
    <n v="43"/>
  </r>
  <r>
    <x v="1"/>
    <x v="170"/>
    <x v="313"/>
    <n v="390000"/>
    <x v="78"/>
    <x v="6"/>
    <x v="117"/>
    <x v="0"/>
    <x v="0"/>
    <x v="9"/>
    <s v="First            "/>
    <s v="1197 cc "/>
    <s v="81 bhp @ 6000 rpm   "/>
    <n v="81"/>
    <n v="3.7650000000000001"/>
    <n v="1.66"/>
    <n v="1.52"/>
    <n v="5"/>
    <x v="1"/>
    <n v="43"/>
  </r>
  <r>
    <x v="5"/>
    <x v="171"/>
    <x v="314"/>
    <n v="390000"/>
    <x v="78"/>
    <x v="6"/>
    <x v="44"/>
    <x v="0"/>
    <x v="1"/>
    <x v="4"/>
    <s v="First            "/>
    <s v="1198 cc "/>
    <s v="87 bhp @ 6000 rpm   "/>
    <n v="87"/>
    <n v="3.99"/>
    <n v="1.68"/>
    <n v="1.5049999999999999"/>
    <n v="5"/>
    <x v="1"/>
    <n v="35"/>
  </r>
  <r>
    <x v="2"/>
    <x v="172"/>
    <x v="315"/>
    <n v="391000"/>
    <x v="79"/>
    <x v="9"/>
    <x v="35"/>
    <x v="0"/>
    <x v="0"/>
    <x v="1"/>
    <s v="First            "/>
    <s v="998 cc  "/>
    <s v="67 bhp @ 6000 rpm   "/>
    <n v="67"/>
    <n v="3.6"/>
    <n v="1.6"/>
    <n v="1.56"/>
    <n v="5"/>
    <x v="1"/>
    <n v="35"/>
  </r>
  <r>
    <x v="11"/>
    <x v="151"/>
    <x v="316"/>
    <n v="395000"/>
    <x v="80"/>
    <x v="12"/>
    <x v="189"/>
    <x v="0"/>
    <x v="0"/>
    <x v="7"/>
    <s v="First            "/>
    <s v="999 cc  "/>
    <s v="67 bhp @ 5500 rpm   "/>
    <n v="67"/>
    <n v="3.6789999999999998"/>
    <n v="1.579"/>
    <n v="1.478"/>
    <n v="5"/>
    <x v="1"/>
    <n v="28"/>
  </r>
  <r>
    <x v="2"/>
    <x v="120"/>
    <x v="317"/>
    <n v="395000"/>
    <x v="80"/>
    <x v="6"/>
    <x v="190"/>
    <x v="0"/>
    <x v="1"/>
    <x v="4"/>
    <s v="First            "/>
    <s v="998 cc  "/>
    <s v="67 bhp @ 6000 rpm   "/>
    <n v="67"/>
    <n v="3.6"/>
    <n v="1.6"/>
    <n v="1.56"/>
    <n v="5"/>
    <x v="1"/>
    <n v="35"/>
  </r>
  <r>
    <x v="1"/>
    <x v="71"/>
    <x v="318"/>
    <n v="395000"/>
    <x v="80"/>
    <x v="11"/>
    <x v="191"/>
    <x v="0"/>
    <x v="0"/>
    <x v="6"/>
    <s v="First            "/>
    <s v="1197 cc "/>
    <s v="79 bhp @ 6000 rpm   "/>
    <n v="79"/>
    <n v="3.585"/>
    <n v="1.595"/>
    <n v="1.55"/>
    <n v="5"/>
    <x v="1"/>
    <n v="35"/>
  </r>
  <r>
    <x v="0"/>
    <x v="173"/>
    <x v="319"/>
    <n v="395000"/>
    <x v="80"/>
    <x v="9"/>
    <x v="192"/>
    <x v="0"/>
    <x v="0"/>
    <x v="0"/>
    <s v="First            "/>
    <s v="1199 cc "/>
    <s v="84 bhp @ 6000 rpm   "/>
    <n v="84"/>
    <n v="3.746"/>
    <n v="1.647"/>
    <n v="1.5349999999999999"/>
    <n v="5"/>
    <x v="1"/>
    <n v="35"/>
  </r>
  <r>
    <x v="5"/>
    <x v="174"/>
    <x v="320"/>
    <n v="395000"/>
    <x v="80"/>
    <x v="6"/>
    <x v="193"/>
    <x v="0"/>
    <x v="0"/>
    <x v="10"/>
    <s v="First            "/>
    <s v="1198 cc "/>
    <s v="87 bhp @ 6000 rpm   "/>
    <n v="87"/>
    <n v="3.99"/>
    <n v="1.68"/>
    <n v="1.5049999999999999"/>
    <n v="5"/>
    <x v="1"/>
    <n v="35"/>
  </r>
  <r>
    <x v="13"/>
    <x v="175"/>
    <x v="321"/>
    <n v="399000"/>
    <x v="81"/>
    <x v="6"/>
    <x v="10"/>
    <x v="0"/>
    <x v="1"/>
    <x v="1"/>
    <s v="First            "/>
    <s v="1598 cc "/>
    <s v="103 bhp @ 5250 rpm  "/>
    <n v="103"/>
    <n v="4.3840000000000003"/>
    <n v="1.6990000000000001"/>
    <n v="1.466"/>
    <n v="5"/>
    <x v="1"/>
    <n v="55"/>
  </r>
  <r>
    <x v="1"/>
    <x v="170"/>
    <x v="322"/>
    <n v="399000"/>
    <x v="81"/>
    <x v="12"/>
    <x v="194"/>
    <x v="0"/>
    <x v="0"/>
    <x v="1"/>
    <s v="First            "/>
    <s v="1197 cc "/>
    <s v="81 bhp @ 6000 rpm   "/>
    <n v="81"/>
    <n v="3.7650000000000001"/>
    <n v="1.66"/>
    <n v="1.52"/>
    <n v="5"/>
    <x v="1"/>
    <n v="43"/>
  </r>
  <r>
    <x v="1"/>
    <x v="176"/>
    <x v="323"/>
    <n v="399000"/>
    <x v="81"/>
    <x v="6"/>
    <x v="110"/>
    <x v="0"/>
    <x v="0"/>
    <x v="0"/>
    <s v="First            "/>
    <s v="1197 cc "/>
    <s v="81 bhp @ 6000 rpm   "/>
    <n v="81"/>
    <n v="3.9950000000000001"/>
    <n v="1.66"/>
    <n v="1.52"/>
    <n v="5"/>
    <x v="1"/>
    <n v="43"/>
  </r>
  <r>
    <x v="3"/>
    <x v="84"/>
    <x v="324"/>
    <n v="399000"/>
    <x v="81"/>
    <x v="8"/>
    <x v="43"/>
    <x v="2"/>
    <x v="0"/>
    <x v="9"/>
    <s v="Third            "/>
    <s v="1498 cc "/>
    <s v="89 bhp @ 3750 rpm   "/>
    <n v="89"/>
    <n v="3.9990000000000001"/>
    <n v="1.7649999999999999"/>
    <n v="1.708"/>
    <n v="5"/>
    <x v="1"/>
    <n v="52"/>
  </r>
  <r>
    <x v="5"/>
    <x v="78"/>
    <x v="325"/>
    <n v="400000"/>
    <x v="82"/>
    <x v="8"/>
    <x v="93"/>
    <x v="0"/>
    <x v="0"/>
    <x v="0"/>
    <s v="First            "/>
    <s v="1497 cc "/>
    <s v="116 bhp @ 6600 rpm  "/>
    <n v="116"/>
    <n v="4.4400000000000004"/>
    <n v="1.6950000000000001"/>
    <n v="1.4850000000000001"/>
    <n v="5"/>
    <x v="1"/>
    <n v="42"/>
  </r>
  <r>
    <x v="8"/>
    <x v="177"/>
    <x v="326"/>
    <n v="400000"/>
    <x v="82"/>
    <x v="6"/>
    <x v="101"/>
    <x v="2"/>
    <x v="0"/>
    <x v="0"/>
    <s v="Second           "/>
    <s v="2179 cc "/>
    <s v="120 bhp @ 4000 rpm  "/>
    <n v="120"/>
    <n v="4.43"/>
    <n v="1.8169999999999999"/>
    <n v="1.9750000000000001"/>
    <n v="8"/>
    <x v="1"/>
    <n v="60"/>
  </r>
  <r>
    <x v="1"/>
    <x v="50"/>
    <x v="327"/>
    <n v="400000"/>
    <x v="82"/>
    <x v="8"/>
    <x v="154"/>
    <x v="2"/>
    <x v="0"/>
    <x v="2"/>
    <s v="First            "/>
    <s v="1582 cc "/>
    <s v="126 bhp @ 4000 rpm  "/>
    <n v="126"/>
    <n v="4.37"/>
    <n v="1.7"/>
    <n v="1.4750000000000001"/>
    <n v="5"/>
    <x v="1"/>
    <n v="43"/>
  </r>
  <r>
    <x v="6"/>
    <x v="106"/>
    <x v="328"/>
    <n v="400000"/>
    <x v="82"/>
    <x v="4"/>
    <x v="3"/>
    <x v="2"/>
    <x v="0"/>
    <x v="1"/>
    <s v="Third            "/>
    <s v="1991 cc "/>
    <s v="150  bhp @4000            "/>
    <n v="150"/>
    <n v="4.5970000000000004"/>
    <n v="1.788"/>
    <n v="1.4770000000000001"/>
    <n v="5"/>
    <x v="1"/>
    <n v="60"/>
  </r>
  <r>
    <x v="2"/>
    <x v="43"/>
    <x v="329"/>
    <n v="400000"/>
    <x v="82"/>
    <x v="9"/>
    <x v="195"/>
    <x v="3"/>
    <x v="0"/>
    <x v="2"/>
    <s v="First            "/>
    <s v="998 cc  "/>
    <s v="58 bhp @ 6200 rpm   "/>
    <n v="58"/>
    <n v="3.5990000000000002"/>
    <n v="1.4950000000000001"/>
    <n v="1.7"/>
    <n v="5"/>
    <x v="1"/>
    <n v="35"/>
  </r>
  <r>
    <x v="2"/>
    <x v="43"/>
    <x v="330"/>
    <n v="400000"/>
    <x v="82"/>
    <x v="11"/>
    <x v="196"/>
    <x v="3"/>
    <x v="0"/>
    <x v="4"/>
    <s v="First            "/>
    <s v="998 cc  "/>
    <s v="58 bhp @ 6200 rpm   "/>
    <n v="58"/>
    <n v="3.5990000000000002"/>
    <n v="1.4950000000000001"/>
    <n v="1.7"/>
    <n v="5"/>
    <x v="1"/>
    <n v="35"/>
  </r>
  <r>
    <x v="2"/>
    <x v="168"/>
    <x v="331"/>
    <n v="400000"/>
    <x v="82"/>
    <x v="13"/>
    <x v="197"/>
    <x v="0"/>
    <x v="0"/>
    <x v="0"/>
    <s v="First            "/>
    <s v="998 cc  "/>
    <s v="67 bhp @ 6000 rpm   "/>
    <n v="67"/>
    <n v="3.5449999999999999"/>
    <n v="1.49"/>
    <n v="1.4750000000000001"/>
    <n v="5"/>
    <x v="1"/>
    <n v="35"/>
  </r>
  <r>
    <x v="2"/>
    <x v="18"/>
    <x v="332"/>
    <n v="400000"/>
    <x v="82"/>
    <x v="10"/>
    <x v="6"/>
    <x v="2"/>
    <x v="0"/>
    <x v="1"/>
    <s v="Second           "/>
    <s v="1248 cc "/>
    <s v="74 bhp @ 4000 rpm   "/>
    <n v="74"/>
    <n v="3.9950000000000001"/>
    <n v="1.6950000000000001"/>
    <n v="1.5549999999999999"/>
    <n v="5"/>
    <x v="1"/>
    <n v="42"/>
  </r>
  <r>
    <x v="2"/>
    <x v="18"/>
    <x v="333"/>
    <n v="400000"/>
    <x v="82"/>
    <x v="6"/>
    <x v="23"/>
    <x v="2"/>
    <x v="0"/>
    <x v="0"/>
    <s v="First            "/>
    <s v="1248 cc "/>
    <s v="74 bhp @ 4000 rpm   "/>
    <n v="74"/>
    <n v="3.9950000000000001"/>
    <n v="1.6950000000000001"/>
    <n v="1.5549999999999999"/>
    <n v="5"/>
    <x v="1"/>
    <n v="42"/>
  </r>
  <r>
    <x v="1"/>
    <x v="178"/>
    <x v="334"/>
    <n v="400000"/>
    <x v="82"/>
    <x v="9"/>
    <x v="56"/>
    <x v="0"/>
    <x v="0"/>
    <x v="7"/>
    <s v="First            "/>
    <s v="1197 cc "/>
    <s v="81 bhp @ 6000 rpm   "/>
    <n v="81"/>
    <n v="3.7650000000000001"/>
    <n v="1.66"/>
    <n v="1.52"/>
    <n v="5"/>
    <x v="1"/>
    <n v="43"/>
  </r>
  <r>
    <x v="0"/>
    <x v="179"/>
    <x v="335"/>
    <n v="400000"/>
    <x v="82"/>
    <x v="12"/>
    <x v="198"/>
    <x v="0"/>
    <x v="0"/>
    <x v="8"/>
    <s v="First            "/>
    <s v="1199 cc "/>
    <s v="84 bhp @ 6000 rpm   "/>
    <n v="84"/>
    <n v="3.746"/>
    <n v="1.647"/>
    <n v="1.5349999999999999"/>
    <n v="5"/>
    <x v="1"/>
    <n v="35"/>
  </r>
  <r>
    <x v="5"/>
    <x v="180"/>
    <x v="336"/>
    <n v="400000"/>
    <x v="82"/>
    <x v="11"/>
    <x v="15"/>
    <x v="0"/>
    <x v="0"/>
    <x v="4"/>
    <s v="First            "/>
    <s v="1199 cc "/>
    <s v="89 bhp @ 6000 rpm   "/>
    <n v="89"/>
    <n v="3.9550000000000001"/>
    <n v="1.694"/>
    <n v="1.544"/>
    <n v="5"/>
    <x v="1"/>
    <n v="40"/>
  </r>
  <r>
    <x v="1"/>
    <x v="181"/>
    <x v="337"/>
    <n v="400000"/>
    <x v="82"/>
    <x v="10"/>
    <x v="199"/>
    <x v="0"/>
    <x v="0"/>
    <x v="0"/>
    <s v="First            "/>
    <s v="1495 cc "/>
    <s v="94 bhp @ 5500 rpm   "/>
    <n v="94"/>
    <n v="4.25"/>
    <n v="1.67"/>
    <n v="1.37"/>
    <n v="5"/>
    <x v="1"/>
    <n v="45"/>
  </r>
  <r>
    <x v="1"/>
    <x v="110"/>
    <x v="338"/>
    <n v="405000"/>
    <x v="83"/>
    <x v="12"/>
    <x v="91"/>
    <x v="0"/>
    <x v="0"/>
    <x v="4"/>
    <s v="First            "/>
    <s v="814 cc  "/>
    <s v="55 bhp @ 5500 rpm   "/>
    <n v="55"/>
    <n v="3.4950000000000001"/>
    <n v="1.55"/>
    <n v="1.5"/>
    <n v="5"/>
    <x v="1"/>
    <n v="32"/>
  </r>
  <r>
    <x v="0"/>
    <x v="173"/>
    <x v="339"/>
    <n v="409000"/>
    <x v="84"/>
    <x v="12"/>
    <x v="200"/>
    <x v="0"/>
    <x v="0"/>
    <x v="0"/>
    <s v="First            "/>
    <s v="1199 cc "/>
    <s v="84 bhp @ 6000 rpm   "/>
    <n v="84"/>
    <n v="3.746"/>
    <n v="1.647"/>
    <n v="1.5349999999999999"/>
    <n v="5"/>
    <x v="1"/>
    <n v="35"/>
  </r>
  <r>
    <x v="2"/>
    <x v="83"/>
    <x v="340"/>
    <n v="409999"/>
    <x v="85"/>
    <x v="15"/>
    <x v="201"/>
    <x v="0"/>
    <x v="0"/>
    <x v="1"/>
    <s v="First            "/>
    <s v="796 cc  "/>
    <s v="47 bhp @ 6000 rpm   "/>
    <n v="47"/>
    <n v="3.4449999999999998"/>
    <n v="1.5149999999999999"/>
    <n v="1.4750000000000001"/>
    <n v="5"/>
    <x v="1"/>
    <n v="35"/>
  </r>
  <r>
    <x v="2"/>
    <x v="120"/>
    <x v="341"/>
    <n v="409999"/>
    <x v="85"/>
    <x v="10"/>
    <x v="202"/>
    <x v="0"/>
    <x v="1"/>
    <x v="0"/>
    <s v="First            "/>
    <s v="998 cc  "/>
    <s v="67 bhp @ 6000 rpm   "/>
    <n v="67"/>
    <n v="3.6"/>
    <n v="1.6"/>
    <n v="1.56"/>
    <n v="5"/>
    <x v="1"/>
    <n v="35"/>
  </r>
  <r>
    <x v="1"/>
    <x v="182"/>
    <x v="342"/>
    <n v="409999"/>
    <x v="85"/>
    <x v="13"/>
    <x v="34"/>
    <x v="0"/>
    <x v="0"/>
    <x v="1"/>
    <s v="First            "/>
    <s v="1086 cc "/>
    <s v="68 bhp @ 5500 rpm   "/>
    <n v="68"/>
    <n v="3.61"/>
    <n v="1.645"/>
    <n v="1.56"/>
    <n v="5"/>
    <x v="1"/>
    <n v="35"/>
  </r>
  <r>
    <x v="2"/>
    <x v="85"/>
    <x v="343"/>
    <n v="409999"/>
    <x v="85"/>
    <x v="10"/>
    <x v="203"/>
    <x v="2"/>
    <x v="0"/>
    <x v="0"/>
    <s v="First            "/>
    <s v="1248 cc "/>
    <s v="74 bhp @ 4000 rpm   "/>
    <n v="74"/>
    <n v="3.85"/>
    <n v="1.6950000000000001"/>
    <n v="1.53"/>
    <n v="5"/>
    <x v="1"/>
    <n v="42"/>
  </r>
  <r>
    <x v="1"/>
    <x v="164"/>
    <x v="344"/>
    <n v="409999"/>
    <x v="85"/>
    <x v="6"/>
    <x v="17"/>
    <x v="0"/>
    <x v="0"/>
    <x v="1"/>
    <s v="First            "/>
    <s v="1197 cc "/>
    <s v="81 bhp @ 6000 rpm   "/>
    <n v="81"/>
    <n v="3.7650000000000001"/>
    <n v="1.66"/>
    <n v="1.52"/>
    <n v="5"/>
    <x v="1"/>
    <n v="43"/>
  </r>
  <r>
    <x v="2"/>
    <x v="97"/>
    <x v="345"/>
    <n v="409999"/>
    <x v="85"/>
    <x v="6"/>
    <x v="17"/>
    <x v="0"/>
    <x v="0"/>
    <x v="2"/>
    <s v="First            "/>
    <s v="1197 cc "/>
    <s v="85 bhp @ 6000 rpm   "/>
    <n v="85"/>
    <n v="3.85"/>
    <n v="1.6950000000000001"/>
    <n v="1.53"/>
    <n v="5"/>
    <x v="1"/>
    <n v="42"/>
  </r>
  <r>
    <x v="2"/>
    <x v="97"/>
    <x v="346"/>
    <n v="409999"/>
    <x v="85"/>
    <x v="6"/>
    <x v="42"/>
    <x v="0"/>
    <x v="0"/>
    <x v="2"/>
    <s v="Second           "/>
    <s v="1197 cc "/>
    <s v="85 bhp @ 6000 rpm   "/>
    <n v="85"/>
    <n v="3.85"/>
    <n v="1.6950000000000001"/>
    <n v="1.53"/>
    <n v="5"/>
    <x v="1"/>
    <n v="42"/>
  </r>
  <r>
    <x v="1"/>
    <x v="143"/>
    <x v="347"/>
    <n v="409999"/>
    <x v="85"/>
    <x v="6"/>
    <x v="73"/>
    <x v="2"/>
    <x v="0"/>
    <x v="1"/>
    <s v="First            "/>
    <s v="1396 cc "/>
    <s v="90  bhp @4000             "/>
    <n v="90"/>
    <n v="3.94"/>
    <n v="1.71"/>
    <n v="1.5049999999999999"/>
    <n v="5"/>
    <x v="1"/>
    <n v="45"/>
  </r>
  <r>
    <x v="2"/>
    <x v="120"/>
    <x v="348"/>
    <n v="412000"/>
    <x v="86"/>
    <x v="11"/>
    <x v="204"/>
    <x v="0"/>
    <x v="1"/>
    <x v="1"/>
    <s v="First            "/>
    <s v="998 cc  "/>
    <s v="67 bhp @ 6000 rpm   "/>
    <n v="67"/>
    <n v="3.6"/>
    <n v="1.6"/>
    <n v="1.56"/>
    <n v="5"/>
    <x v="1"/>
    <n v="35"/>
  </r>
  <r>
    <x v="11"/>
    <x v="183"/>
    <x v="349"/>
    <n v="415000"/>
    <x v="87"/>
    <x v="6"/>
    <x v="26"/>
    <x v="2"/>
    <x v="0"/>
    <x v="0"/>
    <s v="First            "/>
    <s v="1461 cc "/>
    <s v="108 bhp @ 3900 rpm  "/>
    <n v="108"/>
    <n v="4.3150000000000004"/>
    <n v="1.8220000000000001"/>
    <n v="1.6950000000000001"/>
    <n v="5"/>
    <x v="1"/>
    <n v="50"/>
  </r>
  <r>
    <x v="1"/>
    <x v="50"/>
    <x v="350"/>
    <n v="415000"/>
    <x v="87"/>
    <x v="6"/>
    <x v="11"/>
    <x v="2"/>
    <x v="0"/>
    <x v="1"/>
    <s v="Second           "/>
    <s v="1582 cc "/>
    <s v="126 bhp @ 4000 rpm  "/>
    <n v="126"/>
    <n v="4.37"/>
    <n v="1.7"/>
    <n v="1.4750000000000001"/>
    <n v="5"/>
    <x v="1"/>
    <n v="43"/>
  </r>
  <r>
    <x v="2"/>
    <x v="43"/>
    <x v="351"/>
    <n v="415000"/>
    <x v="87"/>
    <x v="10"/>
    <x v="205"/>
    <x v="3"/>
    <x v="0"/>
    <x v="10"/>
    <s v="First            "/>
    <s v="998 cc  "/>
    <s v="58 bhp @ 6200 rpm   "/>
    <n v="58"/>
    <n v="3.5990000000000002"/>
    <n v="1.4950000000000001"/>
    <n v="1.7"/>
    <n v="5"/>
    <x v="1"/>
    <n v="35"/>
  </r>
  <r>
    <x v="2"/>
    <x v="49"/>
    <x v="352"/>
    <n v="415000"/>
    <x v="87"/>
    <x v="6"/>
    <x v="206"/>
    <x v="0"/>
    <x v="0"/>
    <x v="2"/>
    <s v="First            "/>
    <s v="1197 cc "/>
    <s v="85 bhp @ 6000 rpm   "/>
    <n v="85"/>
    <n v="3.9950000000000001"/>
    <n v="1.6950000000000001"/>
    <n v="1.5549999999999999"/>
    <n v="5"/>
    <x v="1"/>
    <n v="42"/>
  </r>
  <r>
    <x v="2"/>
    <x v="120"/>
    <x v="353"/>
    <n v="416000"/>
    <x v="88"/>
    <x v="6"/>
    <x v="207"/>
    <x v="0"/>
    <x v="1"/>
    <x v="2"/>
    <s v="First            "/>
    <s v="998 cc  "/>
    <s v="67 bhp @ 6000 rpm   "/>
    <n v="67"/>
    <n v="3.6"/>
    <n v="1.6"/>
    <n v="1.56"/>
    <n v="5"/>
    <x v="1"/>
    <n v="35"/>
  </r>
  <r>
    <x v="11"/>
    <x v="68"/>
    <x v="354"/>
    <n v="419000"/>
    <x v="89"/>
    <x v="9"/>
    <x v="208"/>
    <x v="0"/>
    <x v="0"/>
    <x v="12"/>
    <s v="First            "/>
    <s v="799 cc  "/>
    <s v="53 bhp @ 5678 rpm   "/>
    <n v="53"/>
    <n v="3.6789999999999998"/>
    <n v="1.579"/>
    <n v="1.478"/>
    <n v="5"/>
    <x v="1"/>
    <n v="28"/>
  </r>
  <r>
    <x v="11"/>
    <x v="76"/>
    <x v="355"/>
    <n v="420000"/>
    <x v="90"/>
    <x v="9"/>
    <x v="195"/>
    <x v="0"/>
    <x v="0"/>
    <x v="2"/>
    <s v="UnRegistered Car "/>
    <s v="999 cc  "/>
    <s v="67 bhp @ 5500 rpm   "/>
    <n v="67"/>
    <n v="3.6789999999999998"/>
    <n v="1.579"/>
    <n v="1.478"/>
    <n v="5"/>
    <x v="1"/>
    <n v="28"/>
  </r>
  <r>
    <x v="2"/>
    <x v="184"/>
    <x v="356"/>
    <n v="421000"/>
    <x v="91"/>
    <x v="9"/>
    <x v="46"/>
    <x v="0"/>
    <x v="0"/>
    <x v="2"/>
    <s v="First            "/>
    <s v="1197 cc "/>
    <s v="83 bhp @ 6000 rpm   "/>
    <n v="83"/>
    <n v="3.9950000000000001"/>
    <n v="1.6950000000000001"/>
    <n v="1.5549999999999999"/>
    <n v="5"/>
    <x v="1"/>
    <n v="42"/>
  </r>
  <r>
    <x v="2"/>
    <x v="119"/>
    <x v="357"/>
    <n v="422000"/>
    <x v="92"/>
    <x v="12"/>
    <x v="209"/>
    <x v="0"/>
    <x v="0"/>
    <x v="0"/>
    <s v="First            "/>
    <s v="1196 cc "/>
    <s v="73 bhp @ 6000 rpm   "/>
    <n v="73"/>
    <n v="3.6749999999999998"/>
    <n v="1.4750000000000001"/>
    <n v="1.8"/>
    <n v="5"/>
    <x v="1"/>
    <n v="40"/>
  </r>
  <r>
    <x v="9"/>
    <x v="185"/>
    <x v="358"/>
    <n v="425000"/>
    <x v="93"/>
    <x v="8"/>
    <x v="38"/>
    <x v="0"/>
    <x v="1"/>
    <x v="0"/>
    <s v="Second           "/>
    <s v="1598 cc "/>
    <s v="103 bhp @ 5250 rpm  "/>
    <n v="103"/>
    <n v="4.3860000000000001"/>
    <n v="1.6990000000000001"/>
    <n v="1.466"/>
    <n v="5"/>
    <x v="1"/>
    <n v="55"/>
  </r>
  <r>
    <x v="9"/>
    <x v="186"/>
    <x v="359"/>
    <n v="425000"/>
    <x v="93"/>
    <x v="6"/>
    <x v="35"/>
    <x v="0"/>
    <x v="1"/>
    <x v="13"/>
    <s v="Second           "/>
    <s v="1598 cc "/>
    <s v="104 bhp @ 5250 rpm  "/>
    <n v="104"/>
    <n v="4.3860000000000001"/>
    <n v="1.6990000000000001"/>
    <n v="1.466"/>
    <n v="5"/>
    <x v="1"/>
    <n v="55"/>
  </r>
  <r>
    <x v="11"/>
    <x v="187"/>
    <x v="360"/>
    <n v="425000"/>
    <x v="93"/>
    <x v="6"/>
    <x v="8"/>
    <x v="2"/>
    <x v="0"/>
    <x v="0"/>
    <s v="Second           "/>
    <s v="1461 cc "/>
    <s v="108 bhp @ 3900 rpm  "/>
    <n v="108"/>
    <n v="4.3150000000000004"/>
    <n v="1.8220000000000001"/>
    <n v="1.6950000000000001"/>
    <n v="5"/>
    <x v="1"/>
    <n v="50"/>
  </r>
  <r>
    <x v="1"/>
    <x v="50"/>
    <x v="361"/>
    <n v="425000"/>
    <x v="93"/>
    <x v="1"/>
    <x v="26"/>
    <x v="2"/>
    <x v="0"/>
    <x v="0"/>
    <s v="Second           "/>
    <s v="1582 cc "/>
    <s v="126 bhp @ 4000 rpm  "/>
    <n v="126"/>
    <n v="4.37"/>
    <n v="1.7"/>
    <n v="1.4750000000000001"/>
    <n v="5"/>
    <x v="1"/>
    <n v="43"/>
  </r>
  <r>
    <x v="0"/>
    <x v="149"/>
    <x v="362"/>
    <n v="425000"/>
    <x v="93"/>
    <x v="8"/>
    <x v="210"/>
    <x v="2"/>
    <x v="0"/>
    <x v="0"/>
    <s v="First            "/>
    <s v="2179 cc "/>
    <s v="138 bhp @ 4000 rpm  "/>
    <n v="138"/>
    <n v="4.6550000000000002"/>
    <n v="1.9650000000000001"/>
    <n v="1.9219999999999999"/>
    <n v="7"/>
    <x v="1"/>
    <n v="55"/>
  </r>
  <r>
    <x v="2"/>
    <x v="188"/>
    <x v="363"/>
    <n v="425000"/>
    <x v="93"/>
    <x v="13"/>
    <x v="211"/>
    <x v="0"/>
    <x v="0"/>
    <x v="2"/>
    <s v="First            "/>
    <s v="998 cc  "/>
    <s v="67 bhp @ 5500 rpm   "/>
    <n v="67"/>
    <n v="3.5649999999999999"/>
    <n v="1.52"/>
    <n v="1.5640000000000001"/>
    <n v="5"/>
    <x v="1"/>
    <n v="27"/>
  </r>
  <r>
    <x v="2"/>
    <x v="131"/>
    <x v="364"/>
    <n v="425000"/>
    <x v="93"/>
    <x v="12"/>
    <x v="185"/>
    <x v="0"/>
    <x v="0"/>
    <x v="2"/>
    <s v="First            "/>
    <s v="998 cc  "/>
    <s v="67 bhp @ 6200 rpm   "/>
    <n v="67"/>
    <n v="3.5990000000000002"/>
    <n v="1.4950000000000001"/>
    <n v="1.7"/>
    <n v="5"/>
    <x v="1"/>
    <n v="35"/>
  </r>
  <r>
    <x v="7"/>
    <x v="70"/>
    <x v="365"/>
    <n v="425000"/>
    <x v="93"/>
    <x v="14"/>
    <x v="212"/>
    <x v="0"/>
    <x v="0"/>
    <x v="4"/>
    <s v="First            "/>
    <s v="999 cc  "/>
    <s v="67 bhp @ 5500 rpm   "/>
    <n v="67"/>
    <n v="3.4289999999999998"/>
    <n v="1.56"/>
    <n v="1.5409999999999999"/>
    <n v="5"/>
    <x v="1"/>
    <n v="28"/>
  </r>
  <r>
    <x v="2"/>
    <x v="189"/>
    <x v="366"/>
    <n v="425000"/>
    <x v="93"/>
    <x v="15"/>
    <x v="213"/>
    <x v="0"/>
    <x v="0"/>
    <x v="1"/>
    <s v="First            "/>
    <s v="998 cc  "/>
    <s v="67 bhp @ 5500 rpm   "/>
    <n v="67"/>
    <n v="3.5649999999999999"/>
    <n v="1.52"/>
    <n v="1.5640000000000001"/>
    <n v="5"/>
    <x v="1"/>
    <n v="27"/>
  </r>
  <r>
    <x v="2"/>
    <x v="190"/>
    <x v="367"/>
    <n v="425000"/>
    <x v="93"/>
    <x v="9"/>
    <x v="214"/>
    <x v="0"/>
    <x v="1"/>
    <x v="0"/>
    <s v="Second           "/>
    <s v="998 cc  "/>
    <s v="67 bhp @ 6000 rpm   "/>
    <n v="67"/>
    <n v="3.6949999999999998"/>
    <n v="1.6"/>
    <n v="1.56"/>
    <n v="5"/>
    <x v="1"/>
    <n v="35"/>
  </r>
  <r>
    <x v="2"/>
    <x v="85"/>
    <x v="368"/>
    <n v="425000"/>
    <x v="93"/>
    <x v="10"/>
    <x v="215"/>
    <x v="2"/>
    <x v="0"/>
    <x v="7"/>
    <s v="Third            "/>
    <s v="1248 cc "/>
    <s v="74 bhp @ 4000 rpm   "/>
    <n v="74"/>
    <n v="3.85"/>
    <n v="1.6950000000000001"/>
    <n v="1.53"/>
    <n v="5"/>
    <x v="1"/>
    <n v="42"/>
  </r>
  <r>
    <x v="0"/>
    <x v="191"/>
    <x v="369"/>
    <n v="425000"/>
    <x v="93"/>
    <x v="9"/>
    <x v="170"/>
    <x v="2"/>
    <x v="0"/>
    <x v="1"/>
    <s v="First            "/>
    <s v="1248 cc "/>
    <s v="74 bhp @ 4000 rpm   "/>
    <n v="74"/>
    <n v="3.9950000000000001"/>
    <n v="1.706"/>
    <n v="1.57"/>
    <n v="5"/>
    <x v="1"/>
    <n v="44"/>
  </r>
  <r>
    <x v="13"/>
    <x v="153"/>
    <x v="370"/>
    <n v="425000"/>
    <x v="93"/>
    <x v="11"/>
    <x v="216"/>
    <x v="0"/>
    <x v="0"/>
    <x v="1"/>
    <s v="First            "/>
    <s v="1198 cc "/>
    <s v="74 bhp @ 5400 rpm   "/>
    <n v="74"/>
    <n v="3.9710000000000001"/>
    <n v="1.6819999999999999"/>
    <n v="1.4690000000000001"/>
    <n v="5"/>
    <x v="1"/>
    <n v="45"/>
  </r>
  <r>
    <x v="2"/>
    <x v="192"/>
    <x v="371"/>
    <n v="425000"/>
    <x v="93"/>
    <x v="8"/>
    <x v="50"/>
    <x v="2"/>
    <x v="0"/>
    <x v="0"/>
    <s v="First            "/>
    <s v="1248 cc "/>
    <s v="74 bhp @ 4000 rpm   "/>
    <n v="74"/>
    <n v="3.85"/>
    <n v="1.6950000000000001"/>
    <n v="1.53"/>
    <n v="5"/>
    <x v="1"/>
    <n v="42"/>
  </r>
  <r>
    <x v="2"/>
    <x v="18"/>
    <x v="372"/>
    <n v="425000"/>
    <x v="93"/>
    <x v="6"/>
    <x v="16"/>
    <x v="2"/>
    <x v="0"/>
    <x v="0"/>
    <s v="First            "/>
    <s v="1248 cc "/>
    <s v="74 bhp @ 4000 rpm   "/>
    <n v="74"/>
    <n v="3.9950000000000001"/>
    <n v="1.6950000000000001"/>
    <n v="1.5549999999999999"/>
    <n v="5"/>
    <x v="1"/>
    <n v="42"/>
  </r>
  <r>
    <x v="1"/>
    <x v="193"/>
    <x v="373"/>
    <n v="425000"/>
    <x v="93"/>
    <x v="10"/>
    <x v="217"/>
    <x v="0"/>
    <x v="0"/>
    <x v="8"/>
    <s v="First            "/>
    <s v="1197 cc "/>
    <s v="81 bhp @ 6000 rpm   "/>
    <n v="81"/>
    <n v="3.9950000000000001"/>
    <n v="1.66"/>
    <n v="1.52"/>
    <n v="5"/>
    <x v="1"/>
    <n v="43"/>
  </r>
  <r>
    <x v="1"/>
    <x v="194"/>
    <x v="374"/>
    <n v="425000"/>
    <x v="93"/>
    <x v="10"/>
    <x v="22"/>
    <x v="0"/>
    <x v="0"/>
    <x v="1"/>
    <s v="First            "/>
    <s v="1197 cc "/>
    <s v="81 bhp @ 6000 rpm   "/>
    <n v="81"/>
    <n v="3.7650000000000001"/>
    <n v="1.66"/>
    <n v="1.52"/>
    <n v="5"/>
    <x v="1"/>
    <n v="43"/>
  </r>
  <r>
    <x v="11"/>
    <x v="195"/>
    <x v="375"/>
    <n v="425000"/>
    <x v="93"/>
    <x v="10"/>
    <x v="33"/>
    <x v="2"/>
    <x v="0"/>
    <x v="8"/>
    <s v="First            "/>
    <s v="1461 cc "/>
    <s v="84 bhp @ 3750 rpm   "/>
    <n v="84"/>
    <n v="4.3150000000000004"/>
    <n v="1.8220000000000001"/>
    <n v="1.6950000000000001"/>
    <n v="5"/>
    <x v="1"/>
    <n v="50"/>
  </r>
  <r>
    <x v="12"/>
    <x v="196"/>
    <x v="376"/>
    <n v="425000"/>
    <x v="93"/>
    <x v="6"/>
    <x v="110"/>
    <x v="2"/>
    <x v="0"/>
    <x v="1"/>
    <s v="Second           "/>
    <s v="1461 cc "/>
    <s v="84 bhp @ 3750 rpm   "/>
    <n v="84"/>
    <n v="4.3310000000000004"/>
    <n v="1.8220000000000001"/>
    <n v="1.671"/>
    <n v="5"/>
    <x v="1"/>
    <n v="50"/>
  </r>
  <r>
    <x v="2"/>
    <x v="97"/>
    <x v="377"/>
    <n v="425000"/>
    <x v="93"/>
    <x v="10"/>
    <x v="3"/>
    <x v="0"/>
    <x v="0"/>
    <x v="0"/>
    <s v="Second           "/>
    <s v="1197 cc "/>
    <s v="85 bhp @ 6000 rpm   "/>
    <n v="85"/>
    <n v="3.85"/>
    <n v="1.6950000000000001"/>
    <n v="1.53"/>
    <n v="5"/>
    <x v="1"/>
    <n v="42"/>
  </r>
  <r>
    <x v="5"/>
    <x v="174"/>
    <x v="378"/>
    <n v="425000"/>
    <x v="93"/>
    <x v="6"/>
    <x v="218"/>
    <x v="0"/>
    <x v="0"/>
    <x v="4"/>
    <s v="First            "/>
    <s v="1198 cc "/>
    <s v="87 bhp @ 6000 rpm   "/>
    <n v="87"/>
    <n v="3.99"/>
    <n v="1.68"/>
    <n v="1.5049999999999999"/>
    <n v="5"/>
    <x v="1"/>
    <n v="35"/>
  </r>
  <r>
    <x v="5"/>
    <x v="174"/>
    <x v="379"/>
    <n v="425000"/>
    <x v="93"/>
    <x v="6"/>
    <x v="219"/>
    <x v="0"/>
    <x v="0"/>
    <x v="0"/>
    <s v="Second           "/>
    <s v="1198 cc "/>
    <s v="87 bhp @ 6000 rpm   "/>
    <n v="87"/>
    <n v="3.99"/>
    <n v="1.68"/>
    <n v="1.5049999999999999"/>
    <n v="5"/>
    <x v="1"/>
    <n v="35"/>
  </r>
  <r>
    <x v="2"/>
    <x v="197"/>
    <x v="380"/>
    <n v="425000"/>
    <x v="93"/>
    <x v="1"/>
    <x v="101"/>
    <x v="2"/>
    <x v="0"/>
    <x v="0"/>
    <s v="Second           "/>
    <s v="1248 cc "/>
    <s v="89 bhp @ 4000 rpm   "/>
    <n v="89"/>
    <n v="4.2649999999999997"/>
    <n v="1.6950000000000001"/>
    <n v="1.6850000000000001"/>
    <n v="7"/>
    <x v="1"/>
    <n v="45"/>
  </r>
  <r>
    <x v="5"/>
    <x v="89"/>
    <x v="381"/>
    <n v="425000"/>
    <x v="93"/>
    <x v="6"/>
    <x v="33"/>
    <x v="2"/>
    <x v="0"/>
    <x v="10"/>
    <s v="First            "/>
    <s v="1498 cc "/>
    <s v="99 bhp @ 3600 rpm   "/>
    <n v="99"/>
    <n v="3.99"/>
    <n v="1.68"/>
    <n v="1.5049999999999999"/>
    <n v="5"/>
    <x v="1"/>
    <n v="35"/>
  </r>
  <r>
    <x v="5"/>
    <x v="198"/>
    <x v="382"/>
    <n v="425000"/>
    <x v="93"/>
    <x v="8"/>
    <x v="220"/>
    <x v="2"/>
    <x v="0"/>
    <x v="1"/>
    <s v="First            "/>
    <s v="1498 cc "/>
    <s v="99 bhp @ 3600 rpm   "/>
    <n v="99"/>
    <n v="3.99"/>
    <n v="1.68"/>
    <n v="1.5049999999999999"/>
    <n v="5"/>
    <x v="1"/>
    <n v="35"/>
  </r>
  <r>
    <x v="5"/>
    <x v="199"/>
    <x v="383"/>
    <n v="425000"/>
    <x v="93"/>
    <x v="6"/>
    <x v="33"/>
    <x v="2"/>
    <x v="0"/>
    <x v="0"/>
    <s v="First            "/>
    <s v="1498 cc "/>
    <s v="99 bhp @ 3600 rpm   "/>
    <n v="99"/>
    <n v="4.4400000000000004"/>
    <n v="1.6950000000000001"/>
    <n v="1.4950000000000001"/>
    <n v="5"/>
    <x v="1"/>
    <n v="40"/>
  </r>
  <r>
    <x v="11"/>
    <x v="200"/>
    <x v="384"/>
    <n v="426999"/>
    <x v="94"/>
    <x v="14"/>
    <x v="221"/>
    <x v="0"/>
    <x v="1"/>
    <x v="14"/>
    <s v="First            "/>
    <s v="999 cc  "/>
    <s v="67 bhp @ 5500 rpm   "/>
    <n v="67"/>
    <n v="3.6789999999999998"/>
    <n v="1.579"/>
    <n v="1.478"/>
    <n v="5"/>
    <x v="1"/>
    <n v="28"/>
  </r>
  <r>
    <x v="13"/>
    <x v="141"/>
    <x v="385"/>
    <n v="430000"/>
    <x v="95"/>
    <x v="10"/>
    <x v="222"/>
    <x v="0"/>
    <x v="0"/>
    <x v="10"/>
    <s v="First            "/>
    <s v="1598 cc "/>
    <s v="103 bhp @ 5250 rpm  "/>
    <n v="103"/>
    <n v="4.3840000000000003"/>
    <n v="1.6990000000000001"/>
    <n v="1.466"/>
    <n v="5"/>
    <x v="1"/>
    <n v="55"/>
  </r>
  <r>
    <x v="2"/>
    <x v="93"/>
    <x v="386"/>
    <n v="430000"/>
    <x v="95"/>
    <x v="11"/>
    <x v="223"/>
    <x v="3"/>
    <x v="0"/>
    <x v="10"/>
    <s v="First            "/>
    <s v="998 cc  "/>
    <s v="58 bhp @ 6200 rpm   "/>
    <n v="58"/>
    <n v="3.5990000000000002"/>
    <n v="1.4950000000000001"/>
    <n v="1.7"/>
    <n v="5"/>
    <x v="1"/>
    <n v="35"/>
  </r>
  <r>
    <x v="2"/>
    <x v="201"/>
    <x v="387"/>
    <n v="430000"/>
    <x v="95"/>
    <x v="14"/>
    <x v="224"/>
    <x v="0"/>
    <x v="0"/>
    <x v="1"/>
    <s v="First            "/>
    <s v="998 cc  "/>
    <s v="67 bhp @ 5500 rpm   "/>
    <n v="67"/>
    <n v="3.5649999999999999"/>
    <n v="1.52"/>
    <n v="1.5640000000000001"/>
    <n v="5"/>
    <x v="1"/>
    <n v="27"/>
  </r>
  <r>
    <x v="2"/>
    <x v="202"/>
    <x v="388"/>
    <n v="430000"/>
    <x v="95"/>
    <x v="13"/>
    <x v="225"/>
    <x v="0"/>
    <x v="1"/>
    <x v="0"/>
    <s v="First            "/>
    <s v="998 cc  "/>
    <s v="67 bhp @ 6000 rpm   "/>
    <n v="67"/>
    <n v="3.5449999999999999"/>
    <n v="1.49"/>
    <n v="1.4750000000000001"/>
    <n v="5"/>
    <x v="1"/>
    <n v="35"/>
  </r>
  <r>
    <x v="2"/>
    <x v="49"/>
    <x v="389"/>
    <n v="430000"/>
    <x v="95"/>
    <x v="6"/>
    <x v="4"/>
    <x v="0"/>
    <x v="0"/>
    <x v="7"/>
    <s v="First            "/>
    <s v="1197 cc "/>
    <s v="85 bhp @ 6000 rpm   "/>
    <n v="85"/>
    <n v="3.9950000000000001"/>
    <n v="1.6950000000000001"/>
    <n v="1.5549999999999999"/>
    <n v="5"/>
    <x v="1"/>
    <n v="42"/>
  </r>
  <r>
    <x v="2"/>
    <x v="203"/>
    <x v="390"/>
    <n v="434000"/>
    <x v="96"/>
    <x v="9"/>
    <x v="15"/>
    <x v="0"/>
    <x v="1"/>
    <x v="0"/>
    <s v="First            "/>
    <s v="998 cc  "/>
    <s v="67 bhp @ 6000 rpm   "/>
    <n v="67"/>
    <n v="3.7149999999999999"/>
    <n v="1.635"/>
    <n v="1.5649999999999999"/>
    <n v="5"/>
    <x v="1"/>
    <n v="35"/>
  </r>
  <r>
    <x v="13"/>
    <x v="204"/>
    <x v="391"/>
    <n v="434999"/>
    <x v="97"/>
    <x v="6"/>
    <x v="226"/>
    <x v="2"/>
    <x v="0"/>
    <x v="2"/>
    <s v="First            "/>
    <s v="1598 cc "/>
    <s v="103 bhp @ 4400 rpm  "/>
    <n v="103"/>
    <n v="4.3840000000000003"/>
    <n v="1.6990000000000001"/>
    <n v="1.466"/>
    <n v="5"/>
    <x v="1"/>
    <n v="55"/>
  </r>
  <r>
    <x v="8"/>
    <x v="177"/>
    <x v="392"/>
    <n v="434999"/>
    <x v="97"/>
    <x v="8"/>
    <x v="227"/>
    <x v="2"/>
    <x v="0"/>
    <x v="0"/>
    <s v="First            "/>
    <s v="2179 cc "/>
    <s v="120 bhp @ 4000 rpm  "/>
    <n v="120"/>
    <n v="4.43"/>
    <n v="1.8169999999999999"/>
    <n v="1.9750000000000001"/>
    <n v="8"/>
    <x v="1"/>
    <n v="60"/>
  </r>
  <r>
    <x v="11"/>
    <x v="68"/>
    <x v="393"/>
    <n v="434999"/>
    <x v="97"/>
    <x v="13"/>
    <x v="34"/>
    <x v="0"/>
    <x v="0"/>
    <x v="2"/>
    <s v="First            "/>
    <s v="799 cc  "/>
    <s v="53 bhp @ 5678 rpm   "/>
    <n v="53"/>
    <n v="3.6789999999999998"/>
    <n v="1.579"/>
    <n v="1.478"/>
    <n v="5"/>
    <x v="1"/>
    <n v="28"/>
  </r>
  <r>
    <x v="1"/>
    <x v="205"/>
    <x v="394"/>
    <n v="434999"/>
    <x v="97"/>
    <x v="13"/>
    <x v="228"/>
    <x v="0"/>
    <x v="1"/>
    <x v="1"/>
    <s v="First            "/>
    <s v="1086 cc "/>
    <s v="68 bhp @ 5500 rpm   "/>
    <n v="68"/>
    <n v="3.61"/>
    <n v="1.645"/>
    <n v="1.56"/>
    <n v="5"/>
    <x v="1"/>
    <n v="35"/>
  </r>
  <r>
    <x v="1"/>
    <x v="206"/>
    <x v="395"/>
    <n v="434999"/>
    <x v="97"/>
    <x v="9"/>
    <x v="86"/>
    <x v="2"/>
    <x v="0"/>
    <x v="0"/>
    <s v="Second           "/>
    <s v="1186 cc "/>
    <s v="74 bhp @ 4000 rpm   "/>
    <n v="74"/>
    <n v="3.9950000000000001"/>
    <n v="1.66"/>
    <n v="1.52"/>
    <n v="5"/>
    <x v="1"/>
    <n v="43"/>
  </r>
  <r>
    <x v="4"/>
    <x v="207"/>
    <x v="396"/>
    <n v="434999"/>
    <x v="97"/>
    <x v="10"/>
    <x v="229"/>
    <x v="0"/>
    <x v="0"/>
    <x v="1"/>
    <s v="First            "/>
    <s v="1197 cc "/>
    <s v="79 bhp @ 5600 rpm   "/>
    <n v="79"/>
    <n v="3.895"/>
    <n v="1.7350000000000001"/>
    <n v="1.5549999999999999"/>
    <n v="5"/>
    <x v="1"/>
    <n v="45"/>
  </r>
  <r>
    <x v="3"/>
    <x v="208"/>
    <x v="397"/>
    <n v="434999"/>
    <x v="97"/>
    <x v="9"/>
    <x v="20"/>
    <x v="0"/>
    <x v="0"/>
    <x v="0"/>
    <s v="First            "/>
    <s v="1196 cc "/>
    <s v="87 bhp @ 6300 rpm   "/>
    <n v="87"/>
    <n v="3.9950000000000001"/>
    <n v="1.6950000000000001"/>
    <n v="1.5249999999999999"/>
    <n v="5"/>
    <x v="1"/>
    <n v="42"/>
  </r>
  <r>
    <x v="5"/>
    <x v="209"/>
    <x v="398"/>
    <n v="434999"/>
    <x v="97"/>
    <x v="6"/>
    <x v="15"/>
    <x v="0"/>
    <x v="1"/>
    <x v="0"/>
    <s v="First            "/>
    <s v="1199 cc "/>
    <s v="89 bhp @ 6000 rpm   "/>
    <n v="89"/>
    <n v="3.99"/>
    <n v="1.68"/>
    <n v="1.5049999999999999"/>
    <n v="5"/>
    <x v="1"/>
    <n v="35"/>
  </r>
  <r>
    <x v="1"/>
    <x v="210"/>
    <x v="399"/>
    <n v="434999"/>
    <x v="97"/>
    <x v="1"/>
    <x v="230"/>
    <x v="2"/>
    <x v="0"/>
    <x v="1"/>
    <s v="First            "/>
    <s v="1396 cc "/>
    <s v="90  bhp @4000             "/>
    <n v="90"/>
    <n v="3.94"/>
    <n v="1.71"/>
    <n v="1.5049999999999999"/>
    <n v="5"/>
    <x v="1"/>
    <n v="45"/>
  </r>
  <r>
    <x v="1"/>
    <x v="211"/>
    <x v="400"/>
    <n v="436000"/>
    <x v="98"/>
    <x v="6"/>
    <x v="231"/>
    <x v="0"/>
    <x v="1"/>
    <x v="0"/>
    <s v="Second           "/>
    <s v="1197 cc "/>
    <s v="79 bhp @ 6000 rpm   "/>
    <n v="79"/>
    <n v="3.7650000000000001"/>
    <n v="1.66"/>
    <n v="1.52"/>
    <n v="5"/>
    <x v="1"/>
    <n v="43"/>
  </r>
  <r>
    <x v="2"/>
    <x v="100"/>
    <x v="401"/>
    <n v="440000"/>
    <x v="99"/>
    <x v="11"/>
    <x v="232"/>
    <x v="0"/>
    <x v="0"/>
    <x v="0"/>
    <s v="First            "/>
    <s v="1197 cc "/>
    <s v="83 bhp @ 6000 rpm   "/>
    <n v="83"/>
    <n v="3.85"/>
    <n v="1.6950000000000001"/>
    <n v="1.53"/>
    <n v="5"/>
    <x v="1"/>
    <n v="42"/>
  </r>
  <r>
    <x v="5"/>
    <x v="103"/>
    <x v="402"/>
    <n v="440000"/>
    <x v="99"/>
    <x v="11"/>
    <x v="233"/>
    <x v="0"/>
    <x v="0"/>
    <x v="0"/>
    <s v="First            "/>
    <s v="1198 cc "/>
    <s v="87 bhp @ 6000 rpm   "/>
    <n v="87"/>
    <n v="3.61"/>
    <n v="1.68"/>
    <n v="1.5"/>
    <n v="5"/>
    <x v="1"/>
    <n v="35"/>
  </r>
  <r>
    <x v="5"/>
    <x v="78"/>
    <x v="403"/>
    <n v="445000"/>
    <x v="100"/>
    <x v="1"/>
    <x v="155"/>
    <x v="0"/>
    <x v="0"/>
    <x v="4"/>
    <s v="First            "/>
    <s v="1497 cc "/>
    <s v="116 bhp @ 6600 rpm  "/>
    <n v="116"/>
    <n v="4.4400000000000004"/>
    <n v="1.6950000000000001"/>
    <n v="1.4850000000000001"/>
    <n v="5"/>
    <x v="1"/>
    <n v="42"/>
  </r>
  <r>
    <x v="2"/>
    <x v="93"/>
    <x v="404"/>
    <n v="445000"/>
    <x v="100"/>
    <x v="10"/>
    <x v="234"/>
    <x v="3"/>
    <x v="0"/>
    <x v="0"/>
    <s v="First            "/>
    <s v="998 cc  "/>
    <s v="58 bhp @ 6200 rpm   "/>
    <n v="58"/>
    <n v="3.5990000000000002"/>
    <n v="1.4950000000000001"/>
    <n v="1.7"/>
    <n v="5"/>
    <x v="1"/>
    <n v="35"/>
  </r>
  <r>
    <x v="2"/>
    <x v="172"/>
    <x v="405"/>
    <n v="445000"/>
    <x v="100"/>
    <x v="12"/>
    <x v="154"/>
    <x v="0"/>
    <x v="0"/>
    <x v="0"/>
    <s v="First            "/>
    <s v="998 cc  "/>
    <s v="67 bhp @ 6000 rpm   "/>
    <n v="67"/>
    <n v="3.6"/>
    <n v="1.6"/>
    <n v="1.56"/>
    <n v="5"/>
    <x v="1"/>
    <n v="35"/>
  </r>
  <r>
    <x v="1"/>
    <x v="212"/>
    <x v="406"/>
    <n v="445000"/>
    <x v="100"/>
    <x v="12"/>
    <x v="235"/>
    <x v="2"/>
    <x v="0"/>
    <x v="0"/>
    <s v="Second           "/>
    <s v="1186 cc "/>
    <s v="74 bhp @ 4000 rpm   "/>
    <n v="74"/>
    <n v="3.9950000000000001"/>
    <n v="1.66"/>
    <n v="1.52"/>
    <n v="5"/>
    <x v="1"/>
    <n v="43"/>
  </r>
  <r>
    <x v="2"/>
    <x v="3"/>
    <x v="407"/>
    <n v="445000"/>
    <x v="100"/>
    <x v="1"/>
    <x v="236"/>
    <x v="2"/>
    <x v="0"/>
    <x v="1"/>
    <s v="First            "/>
    <s v="1248 cc "/>
    <s v="75  bhp @4000             "/>
    <n v="75"/>
    <n v="3.7149999999999999"/>
    <n v="1.68"/>
    <n v="1.62"/>
    <n v="5"/>
    <x v="1"/>
    <n v="43"/>
  </r>
  <r>
    <x v="1"/>
    <x v="213"/>
    <x v="408"/>
    <n v="445000"/>
    <x v="100"/>
    <x v="11"/>
    <x v="237"/>
    <x v="0"/>
    <x v="0"/>
    <x v="2"/>
    <s v="First            "/>
    <s v="1197 cc "/>
    <s v="81 bhp @ 6000 rpm   "/>
    <n v="81"/>
    <n v="3.7650000000000001"/>
    <n v="1.66"/>
    <n v="1.52"/>
    <n v="5"/>
    <x v="1"/>
    <n v="43"/>
  </r>
  <r>
    <x v="12"/>
    <x v="166"/>
    <x v="409"/>
    <n v="445000"/>
    <x v="100"/>
    <x v="6"/>
    <x v="33"/>
    <x v="2"/>
    <x v="0"/>
    <x v="0"/>
    <s v="First            "/>
    <s v="1461 cc "/>
    <s v="84 bhp @ 3750 rpm   "/>
    <n v="84"/>
    <n v="4.3310000000000004"/>
    <n v="1.8220000000000001"/>
    <n v="1.671"/>
    <n v="5"/>
    <x v="1"/>
    <n v="50"/>
  </r>
  <r>
    <x v="5"/>
    <x v="214"/>
    <x v="410"/>
    <n v="445000"/>
    <x v="100"/>
    <x v="11"/>
    <x v="238"/>
    <x v="0"/>
    <x v="0"/>
    <x v="12"/>
    <s v="First            "/>
    <s v="1198 cc "/>
    <s v="87 bhp @ 6000 rpm   "/>
    <n v="87"/>
    <n v="3.99"/>
    <n v="1.68"/>
    <n v="1.5049999999999999"/>
    <n v="5"/>
    <x v="1"/>
    <n v="35"/>
  </r>
  <r>
    <x v="3"/>
    <x v="215"/>
    <x v="411"/>
    <n v="445000"/>
    <x v="100"/>
    <x v="6"/>
    <x v="239"/>
    <x v="2"/>
    <x v="0"/>
    <x v="1"/>
    <s v="First            "/>
    <s v="1498 cc "/>
    <s v="99 bhp @ 3750 rpm   "/>
    <n v="99"/>
    <n v="3.9980000000000002"/>
    <n v="1.7649999999999999"/>
    <n v="1.647"/>
    <n v="5"/>
    <x v="1"/>
    <n v="52"/>
  </r>
  <r>
    <x v="2"/>
    <x v="216"/>
    <x v="412"/>
    <n v="449000"/>
    <x v="101"/>
    <x v="13"/>
    <x v="240"/>
    <x v="0"/>
    <x v="0"/>
    <x v="2"/>
    <s v="First            "/>
    <s v="796 cc  "/>
    <s v="47 bhp @ 6000 rpm   "/>
    <n v="47"/>
    <n v="3.4449999999999998"/>
    <n v="1.5149999999999999"/>
    <n v="1.4750000000000001"/>
    <n v="5"/>
    <x v="1"/>
    <n v="35"/>
  </r>
  <r>
    <x v="0"/>
    <x v="217"/>
    <x v="413"/>
    <n v="449000"/>
    <x v="101"/>
    <x v="12"/>
    <x v="241"/>
    <x v="0"/>
    <x v="0"/>
    <x v="9"/>
    <s v="Second           "/>
    <s v="1199 cc "/>
    <s v="84 bhp @ 6000 rpm   "/>
    <n v="84"/>
    <n v="3.746"/>
    <n v="1.647"/>
    <n v="1.5349999999999999"/>
    <n v="5"/>
    <x v="1"/>
    <n v="35"/>
  </r>
  <r>
    <x v="11"/>
    <x v="218"/>
    <x v="414"/>
    <n v="450000"/>
    <x v="102"/>
    <x v="11"/>
    <x v="242"/>
    <x v="2"/>
    <x v="0"/>
    <x v="0"/>
    <s v="First            "/>
    <s v="1461 cc "/>
    <s v="108 bhp @ 3900 rpm  "/>
    <n v="108"/>
    <n v="4.3150000000000004"/>
    <n v="1.8220000000000001"/>
    <n v="1.6950000000000001"/>
    <n v="5"/>
    <x v="1"/>
    <n v="50"/>
  </r>
  <r>
    <x v="5"/>
    <x v="65"/>
    <x v="415"/>
    <n v="450000"/>
    <x v="102"/>
    <x v="8"/>
    <x v="27"/>
    <x v="0"/>
    <x v="0"/>
    <x v="6"/>
    <s v="First            "/>
    <s v="1497 cc "/>
    <s v="116 bhp @ 6600 rpm  "/>
    <n v="116"/>
    <n v="4.4400000000000004"/>
    <n v="1.6950000000000001"/>
    <n v="1.4850000000000001"/>
    <n v="5"/>
    <x v="1"/>
    <n v="42"/>
  </r>
  <r>
    <x v="5"/>
    <x v="219"/>
    <x v="416"/>
    <n v="450000"/>
    <x v="102"/>
    <x v="6"/>
    <x v="243"/>
    <x v="0"/>
    <x v="0"/>
    <x v="0"/>
    <s v="Second           "/>
    <s v="1497 cc "/>
    <s v="117 bhp @ 6600 rpm  "/>
    <n v="117"/>
    <n v="4.4400000000000004"/>
    <n v="1.6950000000000001"/>
    <n v="1.4950000000000001"/>
    <n v="5"/>
    <x v="1"/>
    <n v="40"/>
  </r>
  <r>
    <x v="8"/>
    <x v="220"/>
    <x v="417"/>
    <n v="450000"/>
    <x v="102"/>
    <x v="4"/>
    <x v="63"/>
    <x v="2"/>
    <x v="0"/>
    <x v="0"/>
    <s v="First            "/>
    <s v="2179 cc "/>
    <s v="120 bhp @ 4000 rpm  "/>
    <n v="120"/>
    <n v="4.43"/>
    <n v="1.8169999999999999"/>
    <n v="1.9750000000000001"/>
    <n v="8"/>
    <x v="1"/>
    <n v="60"/>
  </r>
  <r>
    <x v="4"/>
    <x v="221"/>
    <x v="418"/>
    <n v="450000"/>
    <x v="102"/>
    <x v="4"/>
    <x v="63"/>
    <x v="0"/>
    <x v="1"/>
    <x v="0"/>
    <s v="First            "/>
    <s v="1794 cc "/>
    <s v="132 bhp @6000            "/>
    <n v="132"/>
    <n v="4.54"/>
    <n v="1.76"/>
    <n v="1.48"/>
    <n v="5"/>
    <x v="1"/>
    <n v="55"/>
  </r>
  <r>
    <x v="2"/>
    <x v="222"/>
    <x v="419"/>
    <n v="450000"/>
    <x v="102"/>
    <x v="6"/>
    <x v="22"/>
    <x v="0"/>
    <x v="1"/>
    <x v="1"/>
    <s v="First            "/>
    <s v="998 cc  "/>
    <s v="67 bhp @ 6000 rpm   "/>
    <n v="67"/>
    <n v="3.6949999999999998"/>
    <n v="1.6"/>
    <n v="1.56"/>
    <n v="5"/>
    <x v="1"/>
    <n v="35"/>
  </r>
  <r>
    <x v="2"/>
    <x v="223"/>
    <x v="420"/>
    <n v="450000"/>
    <x v="102"/>
    <x v="12"/>
    <x v="195"/>
    <x v="0"/>
    <x v="0"/>
    <x v="0"/>
    <s v="First            "/>
    <s v="998 cc  "/>
    <s v="67 bhp @ 6200 rpm "/>
    <n v="67"/>
    <n v="3.6360000000000001"/>
    <n v="1.4750000000000001"/>
    <n v="1.67"/>
    <n v="5"/>
    <x v="1"/>
    <n v="35"/>
  </r>
  <r>
    <x v="2"/>
    <x v="224"/>
    <x v="421"/>
    <n v="450000"/>
    <x v="102"/>
    <x v="12"/>
    <x v="34"/>
    <x v="0"/>
    <x v="0"/>
    <x v="0"/>
    <s v="Second           "/>
    <s v="1196 cc "/>
    <s v="73 bhp @ 6000 rpm   "/>
    <n v="73"/>
    <n v="3.6749999999999998"/>
    <n v="1.4750000000000001"/>
    <n v="1.8"/>
    <n v="7"/>
    <x v="1"/>
    <n v="40"/>
  </r>
  <r>
    <x v="2"/>
    <x v="18"/>
    <x v="422"/>
    <n v="450000"/>
    <x v="102"/>
    <x v="6"/>
    <x v="33"/>
    <x v="2"/>
    <x v="0"/>
    <x v="0"/>
    <s v="Second           "/>
    <s v="1248 cc "/>
    <s v="74 bhp @ 4000 rpm   "/>
    <n v="74"/>
    <n v="3.9950000000000001"/>
    <n v="1.6950000000000001"/>
    <n v="1.5549999999999999"/>
    <n v="5"/>
    <x v="1"/>
    <n v="42"/>
  </r>
  <r>
    <x v="1"/>
    <x v="155"/>
    <x v="423"/>
    <n v="450000"/>
    <x v="102"/>
    <x v="11"/>
    <x v="119"/>
    <x v="0"/>
    <x v="0"/>
    <x v="2"/>
    <s v="Second           "/>
    <s v="1197 cc "/>
    <s v="81 bhp @ 6000 rpm   "/>
    <n v="81"/>
    <n v="3.7650000000000001"/>
    <n v="1.66"/>
    <n v="1.52"/>
    <n v="5"/>
    <x v="1"/>
    <n v="43"/>
  </r>
  <r>
    <x v="1"/>
    <x v="213"/>
    <x v="424"/>
    <n v="450000"/>
    <x v="102"/>
    <x v="11"/>
    <x v="244"/>
    <x v="0"/>
    <x v="0"/>
    <x v="6"/>
    <s v="First            "/>
    <s v="1197 cc "/>
    <s v="81 bhp @ 6000 rpm   "/>
    <n v="81"/>
    <n v="3.7650000000000001"/>
    <n v="1.66"/>
    <n v="1.52"/>
    <n v="5"/>
    <x v="1"/>
    <n v="43"/>
  </r>
  <r>
    <x v="1"/>
    <x v="225"/>
    <x v="425"/>
    <n v="450000"/>
    <x v="102"/>
    <x v="6"/>
    <x v="20"/>
    <x v="0"/>
    <x v="0"/>
    <x v="10"/>
    <s v="First            "/>
    <s v="1197 cc "/>
    <s v="83 bhp @ 6000 rpm   "/>
    <n v="83"/>
    <n v="3.9950000000000001"/>
    <n v="1.71"/>
    <n v="1.5049999999999999"/>
    <n v="5"/>
    <x v="1"/>
    <n v="45"/>
  </r>
  <r>
    <x v="2"/>
    <x v="100"/>
    <x v="426"/>
    <n v="450000"/>
    <x v="102"/>
    <x v="9"/>
    <x v="6"/>
    <x v="0"/>
    <x v="0"/>
    <x v="2"/>
    <s v="First            "/>
    <s v="1197 cc "/>
    <s v="83 bhp @ 6000 rpm   "/>
    <n v="83"/>
    <n v="3.85"/>
    <n v="1.6950000000000001"/>
    <n v="1.53"/>
    <n v="5"/>
    <x v="1"/>
    <n v="42"/>
  </r>
  <r>
    <x v="2"/>
    <x v="226"/>
    <x v="427"/>
    <n v="450000"/>
    <x v="102"/>
    <x v="11"/>
    <x v="245"/>
    <x v="0"/>
    <x v="0"/>
    <x v="1"/>
    <s v="Second           "/>
    <s v="1197 cc "/>
    <s v="83 bhp @ 6000 rpm   "/>
    <n v="83"/>
    <n v="3.85"/>
    <n v="1.6950000000000001"/>
    <n v="1.53"/>
    <n v="5"/>
    <x v="1"/>
    <n v="42"/>
  </r>
  <r>
    <x v="2"/>
    <x v="227"/>
    <x v="428"/>
    <n v="450000"/>
    <x v="102"/>
    <x v="11"/>
    <x v="114"/>
    <x v="0"/>
    <x v="0"/>
    <x v="0"/>
    <s v="First            "/>
    <s v="1197 cc "/>
    <s v="83 bhp @ 6000 rpm   "/>
    <n v="83"/>
    <n v="3.85"/>
    <n v="1.6950000000000001"/>
    <n v="1.53"/>
    <n v="5"/>
    <x v="1"/>
    <n v="42"/>
  </r>
  <r>
    <x v="2"/>
    <x v="49"/>
    <x v="429"/>
    <n v="450000"/>
    <x v="102"/>
    <x v="9"/>
    <x v="33"/>
    <x v="0"/>
    <x v="0"/>
    <x v="0"/>
    <s v="First            "/>
    <s v="1197 cc "/>
    <s v="83 bhp @ 6000 rpm   "/>
    <n v="83"/>
    <n v="3.9950000000000001"/>
    <n v="1.6950000000000001"/>
    <n v="1.5549999999999999"/>
    <n v="5"/>
    <x v="1"/>
    <n v="42"/>
  </r>
  <r>
    <x v="12"/>
    <x v="166"/>
    <x v="430"/>
    <n v="450000"/>
    <x v="102"/>
    <x v="6"/>
    <x v="21"/>
    <x v="2"/>
    <x v="0"/>
    <x v="1"/>
    <s v="Second           "/>
    <s v="1461 cc "/>
    <s v="84 bhp @ 3750 rpm   "/>
    <n v="84"/>
    <n v="4.3310000000000004"/>
    <n v="1.8220000000000001"/>
    <n v="1.671"/>
    <n v="5"/>
    <x v="1"/>
    <n v="50"/>
  </r>
  <r>
    <x v="2"/>
    <x v="49"/>
    <x v="431"/>
    <n v="450000"/>
    <x v="102"/>
    <x v="6"/>
    <x v="53"/>
    <x v="0"/>
    <x v="0"/>
    <x v="1"/>
    <s v="First            "/>
    <s v="1197 cc "/>
    <s v="85 bhp @ 6000 rpm   "/>
    <n v="85"/>
    <n v="3.9950000000000001"/>
    <n v="1.6950000000000001"/>
    <n v="1.5549999999999999"/>
    <n v="5"/>
    <x v="1"/>
    <n v="42"/>
  </r>
  <r>
    <x v="2"/>
    <x v="49"/>
    <x v="432"/>
    <n v="450000"/>
    <x v="102"/>
    <x v="10"/>
    <x v="53"/>
    <x v="0"/>
    <x v="0"/>
    <x v="0"/>
    <s v="First            "/>
    <s v="1197 cc "/>
    <s v="85 bhp @ 6000 rpm   "/>
    <n v="85"/>
    <n v="3.9950000000000001"/>
    <n v="1.6950000000000001"/>
    <n v="1.5549999999999999"/>
    <n v="5"/>
    <x v="1"/>
    <n v="42"/>
  </r>
  <r>
    <x v="3"/>
    <x v="228"/>
    <x v="433"/>
    <n v="450000"/>
    <x v="102"/>
    <x v="11"/>
    <x v="246"/>
    <x v="2"/>
    <x v="0"/>
    <x v="1"/>
    <s v="First            "/>
    <s v="1498 cc "/>
    <s v="99 bhp @ 3750 rpm   "/>
    <n v="99"/>
    <n v="3.9950000000000001"/>
    <n v="1.6950000000000001"/>
    <n v="1.5249999999999999"/>
    <n v="5"/>
    <x v="1"/>
    <n v="40"/>
  </r>
  <r>
    <x v="1"/>
    <x v="229"/>
    <x v="434"/>
    <n v="451000"/>
    <x v="103"/>
    <x v="9"/>
    <x v="17"/>
    <x v="2"/>
    <x v="0"/>
    <x v="0"/>
    <s v="First            "/>
    <s v="1120 cc "/>
    <s v="71 bhp @ 4000 rpm   "/>
    <n v="71"/>
    <n v="3.9950000000000001"/>
    <n v="1.66"/>
    <n v="1.52"/>
    <n v="5"/>
    <x v="1"/>
    <n v="43"/>
  </r>
  <r>
    <x v="3"/>
    <x v="230"/>
    <x v="435"/>
    <n v="455000"/>
    <x v="104"/>
    <x v="6"/>
    <x v="15"/>
    <x v="0"/>
    <x v="0"/>
    <x v="0"/>
    <s v="Second           "/>
    <s v="1499 cc "/>
    <s v="109 bhp @ 6300 rpm  "/>
    <n v="109"/>
    <n v="3.9990000000000001"/>
    <n v="1.7649999999999999"/>
    <n v="1.708"/>
    <n v="5"/>
    <x v="1"/>
    <n v="52"/>
  </r>
  <r>
    <x v="1"/>
    <x v="211"/>
    <x v="436"/>
    <n v="455000"/>
    <x v="104"/>
    <x v="10"/>
    <x v="247"/>
    <x v="0"/>
    <x v="1"/>
    <x v="7"/>
    <s v="First            "/>
    <s v="1197 cc "/>
    <s v="79 bhp @ 6000 rpm   "/>
    <n v="79"/>
    <n v="3.7650000000000001"/>
    <n v="1.66"/>
    <n v="1.52"/>
    <n v="5"/>
    <x v="1"/>
    <n v="43"/>
  </r>
  <r>
    <x v="2"/>
    <x v="49"/>
    <x v="437"/>
    <n v="455000"/>
    <x v="104"/>
    <x v="6"/>
    <x v="248"/>
    <x v="0"/>
    <x v="0"/>
    <x v="2"/>
    <s v="First            "/>
    <s v="1197 cc "/>
    <s v="85 bhp @ 6000 rpm   "/>
    <n v="85"/>
    <n v="3.9950000000000001"/>
    <n v="1.6950000000000001"/>
    <n v="1.5549999999999999"/>
    <n v="5"/>
    <x v="1"/>
    <n v="42"/>
  </r>
  <r>
    <x v="1"/>
    <x v="50"/>
    <x v="438"/>
    <n v="459999"/>
    <x v="105"/>
    <x v="8"/>
    <x v="101"/>
    <x v="2"/>
    <x v="0"/>
    <x v="0"/>
    <s v="Second           "/>
    <s v="1582 cc "/>
    <s v="126 bhp @ 4000 rpm  "/>
    <n v="126"/>
    <n v="4.37"/>
    <n v="1.7"/>
    <n v="1.4750000000000001"/>
    <n v="5"/>
    <x v="1"/>
    <n v="43"/>
  </r>
  <r>
    <x v="11"/>
    <x v="76"/>
    <x v="439"/>
    <n v="459999"/>
    <x v="105"/>
    <x v="12"/>
    <x v="249"/>
    <x v="0"/>
    <x v="0"/>
    <x v="2"/>
    <s v="First            "/>
    <s v="999 cc  "/>
    <s v="67 bhp @ 5500 rpm   "/>
    <n v="67"/>
    <n v="3.6789999999999998"/>
    <n v="1.579"/>
    <n v="1.478"/>
    <n v="5"/>
    <x v="1"/>
    <n v="28"/>
  </r>
  <r>
    <x v="1"/>
    <x v="231"/>
    <x v="440"/>
    <n v="459999"/>
    <x v="105"/>
    <x v="11"/>
    <x v="250"/>
    <x v="2"/>
    <x v="0"/>
    <x v="2"/>
    <s v="First            "/>
    <s v="1186 cc "/>
    <s v="74 bhp @ 4000 rpm   "/>
    <n v="74"/>
    <n v="3.7650000000000001"/>
    <n v="1.66"/>
    <n v="1.52"/>
    <n v="5"/>
    <x v="1"/>
    <n v="43"/>
  </r>
  <r>
    <x v="2"/>
    <x v="18"/>
    <x v="441"/>
    <n v="459999"/>
    <x v="105"/>
    <x v="10"/>
    <x v="17"/>
    <x v="2"/>
    <x v="0"/>
    <x v="1"/>
    <s v="Second           "/>
    <s v="1248 cc "/>
    <s v="74 bhp @ 4000 rpm   "/>
    <n v="74"/>
    <n v="3.9950000000000001"/>
    <n v="1.6950000000000001"/>
    <n v="1.5549999999999999"/>
    <n v="5"/>
    <x v="1"/>
    <n v="42"/>
  </r>
  <r>
    <x v="1"/>
    <x v="170"/>
    <x v="442"/>
    <n v="459999"/>
    <x v="105"/>
    <x v="11"/>
    <x v="251"/>
    <x v="0"/>
    <x v="0"/>
    <x v="0"/>
    <s v="First            "/>
    <s v="1197 cc "/>
    <s v="81 bhp @ 6000 rpm   "/>
    <n v="81"/>
    <n v="3.7650000000000001"/>
    <n v="1.66"/>
    <n v="1.52"/>
    <n v="5"/>
    <x v="1"/>
    <n v="43"/>
  </r>
  <r>
    <x v="2"/>
    <x v="197"/>
    <x v="443"/>
    <n v="459999"/>
    <x v="105"/>
    <x v="8"/>
    <x v="82"/>
    <x v="2"/>
    <x v="0"/>
    <x v="0"/>
    <s v="Second           "/>
    <s v="1248 cc "/>
    <s v="89 bhp @ 4000 rpm   "/>
    <n v="89"/>
    <n v="4.2649999999999997"/>
    <n v="1.6950000000000001"/>
    <n v="1.6850000000000001"/>
    <n v="7"/>
    <x v="1"/>
    <n v="45"/>
  </r>
  <r>
    <x v="1"/>
    <x v="232"/>
    <x v="444"/>
    <n v="465000"/>
    <x v="106"/>
    <x v="13"/>
    <x v="191"/>
    <x v="3"/>
    <x v="0"/>
    <x v="0"/>
    <s v="First            "/>
    <s v="1086 cc "/>
    <s v="58 bhp @ 5500 rpm   "/>
    <n v="58"/>
    <n v="3.61"/>
    <n v="1.645"/>
    <n v="1.56"/>
    <n v="5"/>
    <x v="1"/>
    <n v="60"/>
  </r>
  <r>
    <x v="4"/>
    <x v="233"/>
    <x v="445"/>
    <n v="465000"/>
    <x v="106"/>
    <x v="6"/>
    <x v="58"/>
    <x v="2"/>
    <x v="0"/>
    <x v="1"/>
    <s v="First            "/>
    <s v="1364 cc "/>
    <s v="67 bhp @ 3800 rpm   "/>
    <n v="67"/>
    <n v="4.2649999999999997"/>
    <n v="1.6950000000000001"/>
    <n v="1.51"/>
    <n v="5"/>
    <x v="1"/>
    <n v="45"/>
  </r>
  <r>
    <x v="1"/>
    <x v="205"/>
    <x v="446"/>
    <n v="465000"/>
    <x v="106"/>
    <x v="13"/>
    <x v="116"/>
    <x v="0"/>
    <x v="1"/>
    <x v="5"/>
    <s v="First            "/>
    <s v="1086 cc "/>
    <s v="68 bhp @ 5500 rpm   "/>
    <n v="68"/>
    <n v="3.61"/>
    <n v="1.645"/>
    <n v="1.56"/>
    <n v="5"/>
    <x v="1"/>
    <n v="35"/>
  </r>
  <r>
    <x v="2"/>
    <x v="234"/>
    <x v="447"/>
    <n v="465000"/>
    <x v="106"/>
    <x v="6"/>
    <x v="252"/>
    <x v="0"/>
    <x v="0"/>
    <x v="4"/>
    <s v="First            "/>
    <s v="1197 cc "/>
    <s v="85 bhp @ 6000 rpm   "/>
    <n v="85"/>
    <n v="3.85"/>
    <n v="1.6950000000000001"/>
    <n v="1.53"/>
    <n v="5"/>
    <x v="1"/>
    <n v="42"/>
  </r>
  <r>
    <x v="2"/>
    <x v="97"/>
    <x v="448"/>
    <n v="465000"/>
    <x v="106"/>
    <x v="6"/>
    <x v="33"/>
    <x v="0"/>
    <x v="0"/>
    <x v="0"/>
    <s v="First            "/>
    <s v="1197 cc "/>
    <s v="85 bhp @ 6000 rpm   "/>
    <n v="85"/>
    <n v="3.85"/>
    <n v="1.6950000000000001"/>
    <n v="1.53"/>
    <n v="5"/>
    <x v="1"/>
    <n v="42"/>
  </r>
  <r>
    <x v="2"/>
    <x v="49"/>
    <x v="449"/>
    <n v="465000"/>
    <x v="106"/>
    <x v="6"/>
    <x v="6"/>
    <x v="0"/>
    <x v="0"/>
    <x v="0"/>
    <s v="Second           "/>
    <s v="1197 cc "/>
    <s v="85 bhp @ 6000 rpm   "/>
    <n v="85"/>
    <n v="3.9950000000000001"/>
    <n v="1.6950000000000001"/>
    <n v="1.5549999999999999"/>
    <n v="5"/>
    <x v="1"/>
    <n v="42"/>
  </r>
  <r>
    <x v="5"/>
    <x v="209"/>
    <x v="450"/>
    <n v="465000"/>
    <x v="106"/>
    <x v="6"/>
    <x v="253"/>
    <x v="0"/>
    <x v="1"/>
    <x v="1"/>
    <s v="First            "/>
    <s v="1198 cc "/>
    <s v="87 bhp @ 6000 rpm   "/>
    <n v="87"/>
    <n v="3.99"/>
    <n v="1.68"/>
    <n v="1.5049999999999999"/>
    <n v="5"/>
    <x v="1"/>
    <n v="35"/>
  </r>
  <r>
    <x v="3"/>
    <x v="235"/>
    <x v="451"/>
    <n v="465000"/>
    <x v="106"/>
    <x v="10"/>
    <x v="16"/>
    <x v="2"/>
    <x v="0"/>
    <x v="9"/>
    <s v="Second           "/>
    <s v="1498 cc "/>
    <s v="99 bhp @ 3750 rpm   "/>
    <n v="99"/>
    <n v="3.8860000000000001"/>
    <n v="1.6950000000000001"/>
    <n v="1.5249999999999999"/>
    <n v="5"/>
    <x v="1"/>
    <n v="40"/>
  </r>
  <r>
    <x v="1"/>
    <x v="50"/>
    <x v="452"/>
    <n v="470000"/>
    <x v="107"/>
    <x v="8"/>
    <x v="31"/>
    <x v="2"/>
    <x v="0"/>
    <x v="2"/>
    <s v="Third            "/>
    <s v="1582 cc "/>
    <s v="126 bhp @ 4000 rpm  "/>
    <n v="126"/>
    <n v="4.37"/>
    <n v="1.7"/>
    <n v="1.4750000000000001"/>
    <n v="5"/>
    <x v="1"/>
    <n v="43"/>
  </r>
  <r>
    <x v="2"/>
    <x v="236"/>
    <x v="453"/>
    <n v="470000"/>
    <x v="107"/>
    <x v="14"/>
    <x v="254"/>
    <x v="0"/>
    <x v="1"/>
    <x v="2"/>
    <s v="First            "/>
    <s v="998 cc  "/>
    <s v="67 bhp @ 5500 rpm   "/>
    <n v="67"/>
    <n v="3.5649999999999999"/>
    <n v="1.52"/>
    <n v="1.5640000000000001"/>
    <n v="5"/>
    <x v="1"/>
    <n v="27"/>
  </r>
  <r>
    <x v="11"/>
    <x v="200"/>
    <x v="454"/>
    <n v="470000"/>
    <x v="107"/>
    <x v="13"/>
    <x v="255"/>
    <x v="0"/>
    <x v="1"/>
    <x v="1"/>
    <s v="First            "/>
    <s v="999 cc  "/>
    <s v="67 bhp @ 5500 rpm   "/>
    <n v="67"/>
    <n v="3.6789999999999998"/>
    <n v="1.579"/>
    <n v="1.478"/>
    <n v="5"/>
    <x v="1"/>
    <n v="28"/>
  </r>
  <r>
    <x v="2"/>
    <x v="49"/>
    <x v="455"/>
    <n v="470000"/>
    <x v="107"/>
    <x v="11"/>
    <x v="110"/>
    <x v="0"/>
    <x v="0"/>
    <x v="0"/>
    <s v="First            "/>
    <s v="1197 cc "/>
    <s v="83 bhp @ 6000 rpm   "/>
    <n v="83"/>
    <n v="3.9950000000000001"/>
    <n v="1.6950000000000001"/>
    <n v="1.5549999999999999"/>
    <n v="5"/>
    <x v="1"/>
    <n v="42"/>
  </r>
  <r>
    <x v="3"/>
    <x v="237"/>
    <x v="456"/>
    <n v="475000"/>
    <x v="108"/>
    <x v="11"/>
    <x v="256"/>
    <x v="0"/>
    <x v="0"/>
    <x v="0"/>
    <s v="First            "/>
    <s v="1499 cc "/>
    <s v="110 bhp @ 6300 rpm  "/>
    <n v="110"/>
    <n v="3.9990000000000001"/>
    <n v="1.7649999999999999"/>
    <n v="1.708"/>
    <n v="5"/>
    <x v="1"/>
    <n v="52"/>
  </r>
  <r>
    <x v="5"/>
    <x v="60"/>
    <x v="457"/>
    <n v="475000"/>
    <x v="108"/>
    <x v="1"/>
    <x v="122"/>
    <x v="0"/>
    <x v="1"/>
    <x v="4"/>
    <s v="Second           "/>
    <s v="1497 cc "/>
    <s v="116 bhp @ 6600 rpm  "/>
    <n v="116"/>
    <n v="4.4400000000000004"/>
    <n v="1.6950000000000001"/>
    <n v="1.4850000000000001"/>
    <n v="5"/>
    <x v="1"/>
    <n v="42"/>
  </r>
  <r>
    <x v="1"/>
    <x v="238"/>
    <x v="458"/>
    <n v="475000"/>
    <x v="108"/>
    <x v="6"/>
    <x v="257"/>
    <x v="0"/>
    <x v="1"/>
    <x v="7"/>
    <s v="Second           "/>
    <s v="1591 cc "/>
    <s v="121 bhp @ 6300 rpm  "/>
    <n v="121"/>
    <n v="4.37"/>
    <n v="1.7"/>
    <n v="1.4750000000000001"/>
    <n v="5"/>
    <x v="1"/>
    <n v="43"/>
  </r>
  <r>
    <x v="1"/>
    <x v="165"/>
    <x v="459"/>
    <n v="475000"/>
    <x v="108"/>
    <x v="6"/>
    <x v="11"/>
    <x v="0"/>
    <x v="0"/>
    <x v="1"/>
    <s v="First            "/>
    <s v="1591 cc "/>
    <s v="121 bhp @ 6300 rpm  "/>
    <n v="121"/>
    <n v="4.37"/>
    <n v="1.7"/>
    <n v="1.4750000000000001"/>
    <n v="5"/>
    <x v="1"/>
    <n v="43"/>
  </r>
  <r>
    <x v="6"/>
    <x v="239"/>
    <x v="460"/>
    <n v="475000"/>
    <x v="108"/>
    <x v="1"/>
    <x v="110"/>
    <x v="2"/>
    <x v="1"/>
    <x v="0"/>
    <s v="First            "/>
    <s v="1991 cc "/>
    <s v="150  bhp @4000            "/>
    <n v="150"/>
    <n v="4.66"/>
    <n v="1.87"/>
    <n v="1.7549999999999999"/>
    <n v="7"/>
    <x v="1"/>
    <n v="65"/>
  </r>
  <r>
    <x v="6"/>
    <x v="240"/>
    <x v="461"/>
    <n v="475000"/>
    <x v="108"/>
    <x v="6"/>
    <x v="258"/>
    <x v="2"/>
    <x v="1"/>
    <x v="0"/>
    <s v="Second           "/>
    <s v="1998 cc "/>
    <s v="164 bhp @ 3800 rpm  "/>
    <n v="164"/>
    <n v="4.5970000000000004"/>
    <n v="1.788"/>
    <n v="1.4770000000000001"/>
    <n v="5"/>
    <x v="1"/>
    <n v="60"/>
  </r>
  <r>
    <x v="5"/>
    <x v="241"/>
    <x v="462"/>
    <n v="475000"/>
    <x v="108"/>
    <x v="4"/>
    <x v="8"/>
    <x v="0"/>
    <x v="1"/>
    <x v="5"/>
    <s v="First            "/>
    <s v="2354 cc "/>
    <s v="178 bhp @ 6500 rpm  "/>
    <n v="178"/>
    <n v="4.95"/>
    <n v="1.845"/>
    <n v="1.4750000000000001"/>
    <n v="5"/>
    <x v="1"/>
    <n v="70"/>
  </r>
  <r>
    <x v="2"/>
    <x v="242"/>
    <x v="463"/>
    <n v="475000"/>
    <x v="108"/>
    <x v="13"/>
    <x v="71"/>
    <x v="0"/>
    <x v="0"/>
    <x v="2"/>
    <s v="First            "/>
    <s v="998 cc  "/>
    <s v="67 bhp @ 6000 rpm   "/>
    <n v="67"/>
    <n v="3.6949999999999998"/>
    <n v="1.6"/>
    <n v="1.56"/>
    <n v="5"/>
    <x v="1"/>
    <n v="35"/>
  </r>
  <r>
    <x v="2"/>
    <x v="201"/>
    <x v="464"/>
    <n v="475000"/>
    <x v="108"/>
    <x v="15"/>
    <x v="259"/>
    <x v="0"/>
    <x v="0"/>
    <x v="4"/>
    <s v="First            "/>
    <s v="998 cc  "/>
    <s v="67 bhp @ 5500 rpm   "/>
    <n v="67"/>
    <n v="3.5649999999999999"/>
    <n v="1.52"/>
    <n v="1.5640000000000001"/>
    <n v="5"/>
    <x v="1"/>
    <n v="27"/>
  </r>
  <r>
    <x v="2"/>
    <x v="18"/>
    <x v="465"/>
    <n v="475000"/>
    <x v="108"/>
    <x v="11"/>
    <x v="260"/>
    <x v="2"/>
    <x v="0"/>
    <x v="2"/>
    <s v="Second           "/>
    <s v="1248 cc "/>
    <s v="74 bhp @ 4000 rpm   "/>
    <n v="74"/>
    <n v="3.9950000000000001"/>
    <n v="1.6950000000000001"/>
    <n v="1.5549999999999999"/>
    <n v="5"/>
    <x v="1"/>
    <n v="42"/>
  </r>
  <r>
    <x v="1"/>
    <x v="211"/>
    <x v="466"/>
    <n v="475000"/>
    <x v="108"/>
    <x v="6"/>
    <x v="261"/>
    <x v="0"/>
    <x v="1"/>
    <x v="0"/>
    <s v="First            "/>
    <s v="1197 cc "/>
    <s v="79 bhp @ 6000 rpm   "/>
    <n v="79"/>
    <n v="3.7650000000000001"/>
    <n v="1.66"/>
    <n v="1.52"/>
    <n v="5"/>
    <x v="1"/>
    <n v="43"/>
  </r>
  <r>
    <x v="1"/>
    <x v="164"/>
    <x v="467"/>
    <n v="475000"/>
    <x v="108"/>
    <x v="11"/>
    <x v="262"/>
    <x v="0"/>
    <x v="0"/>
    <x v="6"/>
    <s v="First            "/>
    <s v="1197 cc "/>
    <s v="81 bhp @ 6000 rpm   "/>
    <n v="81"/>
    <n v="3.7650000000000001"/>
    <n v="1.66"/>
    <n v="1.52"/>
    <n v="5"/>
    <x v="1"/>
    <n v="43"/>
  </r>
  <r>
    <x v="2"/>
    <x v="243"/>
    <x v="468"/>
    <n v="475000"/>
    <x v="108"/>
    <x v="10"/>
    <x v="22"/>
    <x v="0"/>
    <x v="0"/>
    <x v="2"/>
    <s v="First            "/>
    <s v="1197 cc "/>
    <s v="83 bhp @ 6000 rpm   "/>
    <n v="83"/>
    <n v="3.9950000000000001"/>
    <n v="1.7450000000000001"/>
    <n v="1.5"/>
    <n v="5"/>
    <x v="1"/>
    <n v="37"/>
  </r>
  <r>
    <x v="0"/>
    <x v="244"/>
    <x v="469"/>
    <n v="475000"/>
    <x v="108"/>
    <x v="9"/>
    <x v="263"/>
    <x v="0"/>
    <x v="1"/>
    <x v="1"/>
    <s v="Second           "/>
    <s v="1199 cc "/>
    <s v="84 bhp @ 6000 rpm   "/>
    <n v="84"/>
    <n v="3.746"/>
    <n v="1.647"/>
    <n v="1.5349999999999999"/>
    <n v="5"/>
    <x v="1"/>
    <n v="35"/>
  </r>
  <r>
    <x v="5"/>
    <x v="174"/>
    <x v="470"/>
    <n v="475000"/>
    <x v="108"/>
    <x v="6"/>
    <x v="6"/>
    <x v="0"/>
    <x v="0"/>
    <x v="1"/>
    <s v="Second           "/>
    <s v="1198 cc "/>
    <s v="87 bhp @ 6000 rpm   "/>
    <n v="87"/>
    <n v="3.99"/>
    <n v="1.68"/>
    <n v="1.5049999999999999"/>
    <n v="5"/>
    <x v="1"/>
    <n v="35"/>
  </r>
  <r>
    <x v="5"/>
    <x v="245"/>
    <x v="471"/>
    <n v="475000"/>
    <x v="108"/>
    <x v="10"/>
    <x v="8"/>
    <x v="2"/>
    <x v="0"/>
    <x v="0"/>
    <s v="Second           "/>
    <s v="1498 cc "/>
    <s v="99 bhp @ 3600 rpm   "/>
    <n v="99"/>
    <n v="4.3860000000000001"/>
    <n v="1.6830000000000001"/>
    <n v="1.603"/>
    <n v="7"/>
    <x v="1"/>
    <n v="42"/>
  </r>
  <r>
    <x v="5"/>
    <x v="246"/>
    <x v="472"/>
    <n v="480000"/>
    <x v="109"/>
    <x v="10"/>
    <x v="126"/>
    <x v="0"/>
    <x v="0"/>
    <x v="2"/>
    <s v="First            "/>
    <s v="1497 cc "/>
    <s v="117 bhp @ 6600 rpm  "/>
    <n v="117"/>
    <n v="4.4400000000000004"/>
    <n v="1.6950000000000001"/>
    <n v="1.4950000000000001"/>
    <n v="5"/>
    <x v="1"/>
    <n v="40"/>
  </r>
  <r>
    <x v="2"/>
    <x v="61"/>
    <x v="473"/>
    <n v="480000"/>
    <x v="109"/>
    <x v="15"/>
    <x v="169"/>
    <x v="3"/>
    <x v="0"/>
    <x v="2"/>
    <s v="First            "/>
    <s v="796 cc  "/>
    <s v="47 bhp @ 6000 rpm   "/>
    <n v="47"/>
    <n v="3.395"/>
    <n v="1.49"/>
    <n v="1.4750000000000001"/>
    <n v="5"/>
    <x v="1"/>
    <n v="35"/>
  </r>
  <r>
    <x v="2"/>
    <x v="247"/>
    <x v="474"/>
    <n v="480000"/>
    <x v="109"/>
    <x v="11"/>
    <x v="21"/>
    <x v="2"/>
    <x v="0"/>
    <x v="0"/>
    <s v="First            "/>
    <s v="1248 cc "/>
    <s v="74 bhp @ 4000 rpm   "/>
    <n v="74"/>
    <n v="3.9950000000000001"/>
    <n v="1.6950000000000001"/>
    <n v="1.5549999999999999"/>
    <n v="5"/>
    <x v="1"/>
    <n v="42"/>
  </r>
  <r>
    <x v="1"/>
    <x v="178"/>
    <x v="475"/>
    <n v="480000"/>
    <x v="109"/>
    <x v="13"/>
    <x v="264"/>
    <x v="0"/>
    <x v="0"/>
    <x v="2"/>
    <s v="First            "/>
    <s v="1197 cc "/>
    <s v="81 bhp @ 6000 rpm   "/>
    <n v="81"/>
    <n v="3.7650000000000001"/>
    <n v="1.66"/>
    <n v="1.52"/>
    <n v="5"/>
    <x v="1"/>
    <n v="43"/>
  </r>
  <r>
    <x v="5"/>
    <x v="248"/>
    <x v="476"/>
    <n v="480000"/>
    <x v="109"/>
    <x v="11"/>
    <x v="15"/>
    <x v="0"/>
    <x v="0"/>
    <x v="0"/>
    <s v="First            "/>
    <s v="1198 cc "/>
    <s v="87 bhp @ 6000 rpm   "/>
    <n v="87"/>
    <n v="3.99"/>
    <n v="1.68"/>
    <n v="1.5049999999999999"/>
    <n v="5"/>
    <x v="1"/>
    <n v="35"/>
  </r>
  <r>
    <x v="3"/>
    <x v="84"/>
    <x v="477"/>
    <n v="480000"/>
    <x v="109"/>
    <x v="6"/>
    <x v="59"/>
    <x v="2"/>
    <x v="0"/>
    <x v="0"/>
    <s v="First            "/>
    <s v="1498 cc "/>
    <s v="89 bhp @ 3750 rpm   "/>
    <n v="89"/>
    <n v="3.9990000000000001"/>
    <n v="1.7649999999999999"/>
    <n v="1.708"/>
    <n v="5"/>
    <x v="1"/>
    <n v="52"/>
  </r>
  <r>
    <x v="1"/>
    <x v="249"/>
    <x v="478"/>
    <n v="484999"/>
    <x v="110"/>
    <x v="8"/>
    <x v="48"/>
    <x v="2"/>
    <x v="0"/>
    <x v="0"/>
    <s v="First            "/>
    <s v="1582 cc "/>
    <s v="126 bhp @ 4000 rpm  "/>
    <n v="126"/>
    <n v="4.4400000000000004"/>
    <n v="1.7290000000000001"/>
    <n v="1.4750000000000001"/>
    <n v="5"/>
    <x v="1"/>
    <n v="45"/>
  </r>
  <r>
    <x v="1"/>
    <x v="50"/>
    <x v="479"/>
    <n v="484999"/>
    <x v="110"/>
    <x v="8"/>
    <x v="57"/>
    <x v="2"/>
    <x v="0"/>
    <x v="0"/>
    <s v="First            "/>
    <s v="1582 cc "/>
    <s v="126 bhp @ 4000 rpm  "/>
    <n v="126"/>
    <n v="4.37"/>
    <n v="1.7"/>
    <n v="1.4750000000000001"/>
    <n v="5"/>
    <x v="1"/>
    <n v="43"/>
  </r>
  <r>
    <x v="8"/>
    <x v="250"/>
    <x v="480"/>
    <n v="484999"/>
    <x v="110"/>
    <x v="1"/>
    <x v="32"/>
    <x v="2"/>
    <x v="0"/>
    <x v="2"/>
    <s v="Second           "/>
    <s v="2179 cc "/>
    <s v="140 bhp @ 3750 rpm  "/>
    <n v="140"/>
    <n v="4.585"/>
    <n v="1.89"/>
    <n v="1.7849999999999999"/>
    <n v="7"/>
    <x v="1"/>
    <n v="70"/>
  </r>
  <r>
    <x v="2"/>
    <x v="251"/>
    <x v="481"/>
    <n v="484999"/>
    <x v="110"/>
    <x v="12"/>
    <x v="265"/>
    <x v="0"/>
    <x v="1"/>
    <x v="2"/>
    <s v="First            "/>
    <s v="998 cc  "/>
    <s v="67 bhp @ 6000 rpm   "/>
    <n v="67"/>
    <n v="3.7149999999999999"/>
    <n v="1.635"/>
    <n v="1.5649999999999999"/>
    <n v="5"/>
    <x v="1"/>
    <n v="35"/>
  </r>
  <r>
    <x v="4"/>
    <x v="252"/>
    <x v="482"/>
    <n v="484999"/>
    <x v="110"/>
    <x v="9"/>
    <x v="266"/>
    <x v="2"/>
    <x v="0"/>
    <x v="0"/>
    <s v="First            "/>
    <s v="1364 cc "/>
    <s v="67 bhp @ 3800 rpm   "/>
    <n v="67"/>
    <n v="3.8839999999999999"/>
    <n v="1.6950000000000001"/>
    <n v="1.51"/>
    <n v="5"/>
    <x v="1"/>
    <n v="45"/>
  </r>
  <r>
    <x v="13"/>
    <x v="136"/>
    <x v="483"/>
    <n v="484999"/>
    <x v="110"/>
    <x v="8"/>
    <x v="101"/>
    <x v="2"/>
    <x v="0"/>
    <x v="0"/>
    <s v="Second           "/>
    <s v="1199 cc "/>
    <s v="74 bhp @ 4200 rpm   "/>
    <n v="74"/>
    <n v="3.97"/>
    <n v="1.6819999999999999"/>
    <n v="1.4530000000000001"/>
    <n v="5"/>
    <x v="1"/>
    <n v="45"/>
  </r>
  <r>
    <x v="1"/>
    <x v="170"/>
    <x v="484"/>
    <n v="484999"/>
    <x v="110"/>
    <x v="12"/>
    <x v="267"/>
    <x v="0"/>
    <x v="0"/>
    <x v="0"/>
    <s v="First            "/>
    <s v="1197 cc "/>
    <s v="81 bhp @ 6000 rpm   "/>
    <n v="81"/>
    <n v="3.7650000000000001"/>
    <n v="1.66"/>
    <n v="1.52"/>
    <n v="5"/>
    <x v="1"/>
    <n v="43"/>
  </r>
  <r>
    <x v="2"/>
    <x v="253"/>
    <x v="485"/>
    <n v="484999"/>
    <x v="110"/>
    <x v="12"/>
    <x v="11"/>
    <x v="0"/>
    <x v="0"/>
    <x v="1"/>
    <s v="Second           "/>
    <s v="1197 cc "/>
    <s v="83 bhp @ 6000 rpm   "/>
    <n v="83"/>
    <n v="3.9950000000000001"/>
    <n v="1.7450000000000001"/>
    <n v="1.5"/>
    <n v="5"/>
    <x v="1"/>
    <n v="37"/>
  </r>
  <r>
    <x v="0"/>
    <x v="254"/>
    <x v="486"/>
    <n v="484999"/>
    <x v="110"/>
    <x v="12"/>
    <x v="56"/>
    <x v="0"/>
    <x v="1"/>
    <x v="7"/>
    <s v="First            "/>
    <s v="1199 cc "/>
    <s v="84 bhp @ 6000 rpm   "/>
    <n v="84"/>
    <n v="3.746"/>
    <n v="1.647"/>
    <n v="1.5349999999999999"/>
    <n v="5"/>
    <x v="1"/>
    <n v="35"/>
  </r>
  <r>
    <x v="11"/>
    <x v="200"/>
    <x v="487"/>
    <n v="490000"/>
    <x v="111"/>
    <x v="13"/>
    <x v="34"/>
    <x v="0"/>
    <x v="1"/>
    <x v="12"/>
    <s v="First            "/>
    <s v="999 cc  "/>
    <s v="67 bhp @ 5500 rpm   "/>
    <n v="67"/>
    <n v="3.6789999999999998"/>
    <n v="1.579"/>
    <n v="1.478"/>
    <n v="5"/>
    <x v="1"/>
    <n v="28"/>
  </r>
  <r>
    <x v="0"/>
    <x v="255"/>
    <x v="488"/>
    <n v="490000"/>
    <x v="111"/>
    <x v="12"/>
    <x v="195"/>
    <x v="2"/>
    <x v="0"/>
    <x v="0"/>
    <s v="First            "/>
    <s v="1047 cc "/>
    <s v="69 bhp @ 4000 rpm   "/>
    <n v="69"/>
    <n v="3.992"/>
    <n v="1.677"/>
    <n v="1.5369999999999999"/>
    <n v="5"/>
    <x v="1"/>
    <n v="35"/>
  </r>
  <r>
    <x v="13"/>
    <x v="111"/>
    <x v="489"/>
    <n v="490000"/>
    <x v="111"/>
    <x v="10"/>
    <x v="15"/>
    <x v="0"/>
    <x v="0"/>
    <x v="0"/>
    <s v="First            "/>
    <s v="1198 cc "/>
    <s v="74 bhp @ 5400 rpm   "/>
    <n v="74"/>
    <n v="3.9710000000000001"/>
    <n v="1.6819999999999999"/>
    <n v="1.4690000000000001"/>
    <n v="5"/>
    <x v="1"/>
    <n v="45"/>
  </r>
  <r>
    <x v="12"/>
    <x v="256"/>
    <x v="490"/>
    <n v="490000"/>
    <x v="111"/>
    <x v="6"/>
    <x v="268"/>
    <x v="0"/>
    <x v="1"/>
    <x v="7"/>
    <s v="Second           "/>
    <s v="1198 cc "/>
    <s v="76 bhp @ 6000 rpm   "/>
    <n v="76"/>
    <n v="3.8250000000000002"/>
    <n v="1.665"/>
    <n v="1.53"/>
    <n v="5"/>
    <x v="1"/>
    <n v="41"/>
  </r>
  <r>
    <x v="1"/>
    <x v="193"/>
    <x v="491"/>
    <n v="490000"/>
    <x v="111"/>
    <x v="10"/>
    <x v="269"/>
    <x v="0"/>
    <x v="0"/>
    <x v="0"/>
    <s v="First            "/>
    <s v="1197 cc "/>
    <s v="81 bhp @ 6000 rpm   "/>
    <n v="81"/>
    <n v="3.9950000000000001"/>
    <n v="1.66"/>
    <n v="1.52"/>
    <n v="5"/>
    <x v="1"/>
    <n v="43"/>
  </r>
  <r>
    <x v="1"/>
    <x v="176"/>
    <x v="492"/>
    <n v="490000"/>
    <x v="111"/>
    <x v="12"/>
    <x v="31"/>
    <x v="0"/>
    <x v="0"/>
    <x v="0"/>
    <s v="First            "/>
    <s v="1197 cc "/>
    <s v="81 bhp @ 6000 rpm   "/>
    <n v="81"/>
    <n v="3.9950000000000001"/>
    <n v="1.66"/>
    <n v="1.52"/>
    <n v="5"/>
    <x v="1"/>
    <n v="43"/>
  </r>
  <r>
    <x v="2"/>
    <x v="243"/>
    <x v="493"/>
    <n v="490000"/>
    <x v="111"/>
    <x v="9"/>
    <x v="58"/>
    <x v="0"/>
    <x v="0"/>
    <x v="0"/>
    <s v="First            "/>
    <s v="1197 cc "/>
    <s v="83 bhp @ 6000 rpm   "/>
    <n v="83"/>
    <n v="3.9950000000000001"/>
    <n v="1.7450000000000001"/>
    <n v="1.5"/>
    <n v="5"/>
    <x v="1"/>
    <n v="37"/>
  </r>
  <r>
    <x v="11"/>
    <x v="195"/>
    <x v="494"/>
    <n v="490000"/>
    <x v="111"/>
    <x v="10"/>
    <x v="77"/>
    <x v="2"/>
    <x v="0"/>
    <x v="0"/>
    <s v="Second           "/>
    <s v="1461 cc "/>
    <s v="84 bhp @ 3750 rpm   "/>
    <n v="84"/>
    <n v="4.3150000000000004"/>
    <n v="1.8220000000000001"/>
    <n v="1.6950000000000001"/>
    <n v="5"/>
    <x v="1"/>
    <n v="50"/>
  </r>
  <r>
    <x v="4"/>
    <x v="127"/>
    <x v="495"/>
    <n v="493000"/>
    <x v="112"/>
    <x v="1"/>
    <x v="270"/>
    <x v="0"/>
    <x v="0"/>
    <x v="1"/>
    <s v="First            "/>
    <s v="1798 cc "/>
    <s v="138 bhp @ 6400 rpm  "/>
    <n v="138"/>
    <n v="4.54"/>
    <n v="1.76"/>
    <n v="1.48"/>
    <n v="5"/>
    <x v="1"/>
    <n v="55"/>
  </r>
  <r>
    <x v="5"/>
    <x v="60"/>
    <x v="496"/>
    <n v="495000"/>
    <x v="113"/>
    <x v="1"/>
    <x v="271"/>
    <x v="0"/>
    <x v="1"/>
    <x v="4"/>
    <s v="First            "/>
    <s v="1497 cc "/>
    <s v="116 bhp @ 6600 rpm  "/>
    <n v="116"/>
    <n v="4.4400000000000004"/>
    <n v="1.6950000000000001"/>
    <n v="1.4850000000000001"/>
    <n v="5"/>
    <x v="1"/>
    <n v="42"/>
  </r>
  <r>
    <x v="1"/>
    <x v="257"/>
    <x v="497"/>
    <n v="495000"/>
    <x v="113"/>
    <x v="10"/>
    <x v="61"/>
    <x v="0"/>
    <x v="0"/>
    <x v="4"/>
    <s v="First            "/>
    <s v="1591 cc "/>
    <s v="121 bhp @ 6300 rpm  "/>
    <n v="121"/>
    <n v="4.375"/>
    <n v="1.7"/>
    <n v="1.4750000000000001"/>
    <n v="5"/>
    <x v="1"/>
    <n v="43"/>
  </r>
  <r>
    <x v="14"/>
    <x v="258"/>
    <x v="498"/>
    <n v="495000"/>
    <x v="113"/>
    <x v="3"/>
    <x v="272"/>
    <x v="2"/>
    <x v="1"/>
    <x v="2"/>
    <s v="First            "/>
    <s v="2148 cc "/>
    <s v="170  bhp @3700            "/>
    <n v="170"/>
    <n v="4.5810000000000004"/>
    <n v="1.77"/>
    <n v="1.4470000000000001"/>
    <n v="5"/>
    <x v="1"/>
    <n v="66"/>
  </r>
  <r>
    <x v="1"/>
    <x v="232"/>
    <x v="499"/>
    <n v="495000"/>
    <x v="113"/>
    <x v="13"/>
    <x v="117"/>
    <x v="3"/>
    <x v="0"/>
    <x v="1"/>
    <s v="First            "/>
    <s v="1086 cc "/>
    <s v="58 bhp @ 5500 rpm   "/>
    <n v="58"/>
    <n v="3.61"/>
    <n v="1.645"/>
    <n v="1.56"/>
    <n v="5"/>
    <x v="1"/>
    <n v="60"/>
  </r>
  <r>
    <x v="2"/>
    <x v="192"/>
    <x v="500"/>
    <n v="495000"/>
    <x v="113"/>
    <x v="9"/>
    <x v="273"/>
    <x v="2"/>
    <x v="0"/>
    <x v="0"/>
    <s v="Second           "/>
    <s v="1248 cc "/>
    <s v="74 bhp @ 4000 rpm   "/>
    <n v="74"/>
    <n v="3.84"/>
    <n v="1.7350000000000001"/>
    <n v="1.53"/>
    <n v="5"/>
    <x v="1"/>
    <n v="37"/>
  </r>
  <r>
    <x v="8"/>
    <x v="259"/>
    <x v="501"/>
    <n v="495000"/>
    <x v="113"/>
    <x v="11"/>
    <x v="274"/>
    <x v="2"/>
    <x v="0"/>
    <x v="9"/>
    <s v="First            "/>
    <s v="1198 cc "/>
    <s v="77 bhp @ 3750 rpm   "/>
    <n v="77"/>
    <n v="3.6749999999999998"/>
    <n v="1.7150000000000001"/>
    <n v="1.655"/>
    <n v="6"/>
    <x v="1"/>
    <n v="35"/>
  </r>
  <r>
    <x v="1"/>
    <x v="260"/>
    <x v="502"/>
    <n v="495000"/>
    <x v="113"/>
    <x v="9"/>
    <x v="83"/>
    <x v="0"/>
    <x v="0"/>
    <x v="9"/>
    <s v="First            "/>
    <s v="1197 cc "/>
    <s v="81 bhp @ 6000 rpm   "/>
    <n v="81"/>
    <n v="3.7650000000000001"/>
    <n v="1.66"/>
    <n v="1.52"/>
    <n v="5"/>
    <x v="1"/>
    <n v="43"/>
  </r>
  <r>
    <x v="1"/>
    <x v="261"/>
    <x v="503"/>
    <n v="495000"/>
    <x v="113"/>
    <x v="9"/>
    <x v="119"/>
    <x v="0"/>
    <x v="0"/>
    <x v="1"/>
    <s v="First            "/>
    <s v="1197 cc "/>
    <s v="81 bhp @ 6000 rpm   "/>
    <n v="81"/>
    <n v="3.7650000000000001"/>
    <n v="1.66"/>
    <n v="1.52"/>
    <n v="5"/>
    <x v="1"/>
    <n v="43"/>
  </r>
  <r>
    <x v="1"/>
    <x v="170"/>
    <x v="504"/>
    <n v="495000"/>
    <x v="113"/>
    <x v="12"/>
    <x v="114"/>
    <x v="0"/>
    <x v="0"/>
    <x v="0"/>
    <s v="First            "/>
    <s v="1197 cc "/>
    <s v="81 bhp @ 6000 rpm   "/>
    <n v="81"/>
    <n v="3.7650000000000001"/>
    <n v="1.66"/>
    <n v="1.52"/>
    <n v="5"/>
    <x v="1"/>
    <n v="43"/>
  </r>
  <r>
    <x v="2"/>
    <x v="49"/>
    <x v="505"/>
    <n v="495000"/>
    <x v="113"/>
    <x v="10"/>
    <x v="275"/>
    <x v="0"/>
    <x v="0"/>
    <x v="1"/>
    <s v="First            "/>
    <s v="1197 cc "/>
    <s v="85 bhp @ 6000 rpm   "/>
    <n v="85"/>
    <n v="3.9950000000000001"/>
    <n v="1.6950000000000001"/>
    <n v="1.5549999999999999"/>
    <n v="5"/>
    <x v="1"/>
    <n v="42"/>
  </r>
  <r>
    <x v="5"/>
    <x v="262"/>
    <x v="506"/>
    <n v="495000"/>
    <x v="113"/>
    <x v="10"/>
    <x v="53"/>
    <x v="0"/>
    <x v="0"/>
    <x v="10"/>
    <s v="First            "/>
    <s v="1199 cc "/>
    <s v="89 bhp @ 6000 rpm   "/>
    <n v="89"/>
    <n v="3.9550000000000001"/>
    <n v="1.694"/>
    <n v="1.544"/>
    <n v="5"/>
    <x v="1"/>
    <n v="40"/>
  </r>
  <r>
    <x v="9"/>
    <x v="263"/>
    <x v="507"/>
    <n v="499000"/>
    <x v="114"/>
    <x v="6"/>
    <x v="10"/>
    <x v="2"/>
    <x v="1"/>
    <x v="8"/>
    <s v="Second           "/>
    <s v="1498 cc "/>
    <s v="103 bhp @ 4400 rpm  "/>
    <n v="103"/>
    <n v="4.3860000000000001"/>
    <n v="1.6990000000000001"/>
    <n v="1.466"/>
    <n v="5"/>
    <x v="1"/>
    <n v="55"/>
  </r>
  <r>
    <x v="5"/>
    <x v="65"/>
    <x v="508"/>
    <n v="499000"/>
    <x v="114"/>
    <x v="1"/>
    <x v="276"/>
    <x v="0"/>
    <x v="0"/>
    <x v="1"/>
    <s v="Second           "/>
    <s v="1497 cc "/>
    <s v="116 bhp @ 6600 rpm  "/>
    <n v="116"/>
    <n v="4.4400000000000004"/>
    <n v="1.6950000000000001"/>
    <n v="1.4850000000000001"/>
    <n v="5"/>
    <x v="1"/>
    <n v="42"/>
  </r>
  <r>
    <x v="5"/>
    <x v="264"/>
    <x v="509"/>
    <n v="499000"/>
    <x v="114"/>
    <x v="6"/>
    <x v="47"/>
    <x v="2"/>
    <x v="0"/>
    <x v="0"/>
    <s v="First            "/>
    <s v="1498 cc "/>
    <s v="99 bhp @ 3600 rpm   "/>
    <n v="99"/>
    <n v="4.4400000000000004"/>
    <n v="1.6950000000000001"/>
    <n v="1.4950000000000001"/>
    <n v="5"/>
    <x v="1"/>
    <n v="40"/>
  </r>
  <r>
    <x v="9"/>
    <x v="265"/>
    <x v="510"/>
    <n v="500000"/>
    <x v="115"/>
    <x v="1"/>
    <x v="277"/>
    <x v="2"/>
    <x v="0"/>
    <x v="8"/>
    <s v="First            "/>
    <s v="1598 cc "/>
    <s v="103 bhp @ 4400 rpm  "/>
    <n v="103"/>
    <n v="4.3860000000000001"/>
    <n v="1.6990000000000001"/>
    <n v="1.466"/>
    <n v="5"/>
    <x v="1"/>
    <n v="55"/>
  </r>
  <r>
    <x v="5"/>
    <x v="65"/>
    <x v="511"/>
    <n v="500000"/>
    <x v="115"/>
    <x v="8"/>
    <x v="6"/>
    <x v="0"/>
    <x v="0"/>
    <x v="10"/>
    <s v="First            "/>
    <s v="1497 cc "/>
    <s v="116 bhp @ 6600 rpm  "/>
    <n v="116"/>
    <n v="4.4400000000000004"/>
    <n v="1.6950000000000001"/>
    <n v="1.4850000000000001"/>
    <n v="5"/>
    <x v="1"/>
    <n v="42"/>
  </r>
  <r>
    <x v="8"/>
    <x v="266"/>
    <x v="512"/>
    <n v="500000"/>
    <x v="115"/>
    <x v="8"/>
    <x v="55"/>
    <x v="2"/>
    <x v="0"/>
    <x v="8"/>
    <s v="First            "/>
    <s v="2179 cc "/>
    <s v="140 bhp @ 3750 rpm  "/>
    <n v="140"/>
    <n v="4.585"/>
    <n v="1.89"/>
    <n v="1.7849999999999999"/>
    <n v="7"/>
    <x v="1"/>
    <n v="70"/>
  </r>
  <r>
    <x v="4"/>
    <x v="267"/>
    <x v="513"/>
    <n v="500000"/>
    <x v="115"/>
    <x v="11"/>
    <x v="66"/>
    <x v="2"/>
    <x v="0"/>
    <x v="2"/>
    <s v="First            "/>
    <s v="1364 cc "/>
    <s v="67 bhp @ 3800 rpm   "/>
    <n v="67"/>
    <n v="3.7749999999999999"/>
    <n v="1.6950000000000001"/>
    <n v="1.51"/>
    <n v="5"/>
    <x v="1"/>
    <n v="45"/>
  </r>
  <r>
    <x v="2"/>
    <x v="251"/>
    <x v="514"/>
    <n v="500000"/>
    <x v="115"/>
    <x v="9"/>
    <x v="34"/>
    <x v="0"/>
    <x v="1"/>
    <x v="9"/>
    <s v="Second           "/>
    <s v="998 cc  "/>
    <s v="67 bhp @ 6000 rpm   "/>
    <n v="67"/>
    <n v="3.7149999999999999"/>
    <n v="1.635"/>
    <n v="1.5649999999999999"/>
    <n v="5"/>
    <x v="1"/>
    <n v="35"/>
  </r>
  <r>
    <x v="2"/>
    <x v="85"/>
    <x v="515"/>
    <n v="500000"/>
    <x v="115"/>
    <x v="9"/>
    <x v="47"/>
    <x v="2"/>
    <x v="0"/>
    <x v="2"/>
    <s v="First            "/>
    <s v="1248 cc "/>
    <s v="74 bhp @ 4000 rpm   "/>
    <n v="74"/>
    <n v="3.85"/>
    <n v="1.6950000000000001"/>
    <n v="1.53"/>
    <n v="5"/>
    <x v="1"/>
    <n v="42"/>
  </r>
  <r>
    <x v="2"/>
    <x v="18"/>
    <x v="516"/>
    <n v="500000"/>
    <x v="115"/>
    <x v="10"/>
    <x v="15"/>
    <x v="2"/>
    <x v="0"/>
    <x v="1"/>
    <s v="Second           "/>
    <s v="1248 cc "/>
    <s v="74 bhp @ 4000 rpm   "/>
    <n v="74"/>
    <n v="3.9950000000000001"/>
    <n v="1.6950000000000001"/>
    <n v="1.5549999999999999"/>
    <n v="5"/>
    <x v="1"/>
    <n v="42"/>
  </r>
  <r>
    <x v="2"/>
    <x v="18"/>
    <x v="517"/>
    <n v="500000"/>
    <x v="115"/>
    <x v="10"/>
    <x v="14"/>
    <x v="2"/>
    <x v="0"/>
    <x v="0"/>
    <s v="First            "/>
    <s v="1248 cc "/>
    <s v="74 bhp @ 4000 rpm   "/>
    <n v="74"/>
    <n v="3.9950000000000001"/>
    <n v="1.6950000000000001"/>
    <n v="1.5549999999999999"/>
    <n v="5"/>
    <x v="1"/>
    <n v="42"/>
  </r>
  <r>
    <x v="2"/>
    <x v="49"/>
    <x v="518"/>
    <n v="500000"/>
    <x v="115"/>
    <x v="11"/>
    <x v="50"/>
    <x v="0"/>
    <x v="0"/>
    <x v="0"/>
    <s v="First            "/>
    <s v="1197 cc "/>
    <s v="83 bhp @ 6000 rpm   "/>
    <n v="83"/>
    <n v="3.9950000000000001"/>
    <n v="1.6950000000000001"/>
    <n v="1.5549999999999999"/>
    <n v="5"/>
    <x v="1"/>
    <n v="42"/>
  </r>
  <r>
    <x v="13"/>
    <x v="268"/>
    <x v="519"/>
    <n v="500000"/>
    <x v="115"/>
    <x v="6"/>
    <x v="11"/>
    <x v="2"/>
    <x v="0"/>
    <x v="10"/>
    <s v="First            "/>
    <s v="1498 cc "/>
    <s v="89 bhp @ 4200 rpm   "/>
    <n v="89"/>
    <n v="3.9870000000000001"/>
    <n v="1.698"/>
    <n v="1.4830000000000001"/>
    <n v="5"/>
    <x v="1"/>
    <n v="45"/>
  </r>
  <r>
    <x v="5"/>
    <x v="180"/>
    <x v="520"/>
    <n v="500000"/>
    <x v="115"/>
    <x v="11"/>
    <x v="278"/>
    <x v="0"/>
    <x v="0"/>
    <x v="1"/>
    <s v="First            "/>
    <s v="1199 cc "/>
    <s v="89 bhp @ 6000 rpm   "/>
    <n v="89"/>
    <n v="3.9550000000000001"/>
    <n v="1.694"/>
    <n v="1.544"/>
    <n v="5"/>
    <x v="1"/>
    <n v="40"/>
  </r>
  <r>
    <x v="5"/>
    <x v="269"/>
    <x v="521"/>
    <n v="505000"/>
    <x v="116"/>
    <x v="9"/>
    <x v="279"/>
    <x v="0"/>
    <x v="0"/>
    <x v="2"/>
    <s v="First            "/>
    <s v="1198 cc "/>
    <s v="87 bhp @ 6000 rpm   "/>
    <n v="87"/>
    <n v="3.99"/>
    <n v="1.68"/>
    <n v="1.5049999999999999"/>
    <n v="5"/>
    <x v="1"/>
    <n v="35"/>
  </r>
  <r>
    <x v="2"/>
    <x v="270"/>
    <x v="522"/>
    <n v="509999"/>
    <x v="117"/>
    <x v="10"/>
    <x v="61"/>
    <x v="0"/>
    <x v="0"/>
    <x v="0"/>
    <s v="First            "/>
    <s v="998 cc  "/>
    <s v="67 bhp @ 6000 rpm   "/>
    <n v="67"/>
    <n v="3.6"/>
    <n v="1.6"/>
    <n v="1.56"/>
    <n v="5"/>
    <x v="1"/>
    <n v="35"/>
  </r>
  <r>
    <x v="2"/>
    <x v="271"/>
    <x v="523"/>
    <n v="509999"/>
    <x v="117"/>
    <x v="13"/>
    <x v="22"/>
    <x v="0"/>
    <x v="0"/>
    <x v="0"/>
    <s v="First            "/>
    <s v="998 cc  "/>
    <s v="67 bhp @ 6000 rpm   "/>
    <n v="67"/>
    <n v="3.6949999999999998"/>
    <n v="1.6"/>
    <n v="1.56"/>
    <n v="5"/>
    <x v="1"/>
    <n v="35"/>
  </r>
  <r>
    <x v="1"/>
    <x v="272"/>
    <x v="524"/>
    <n v="509999"/>
    <x v="117"/>
    <x v="13"/>
    <x v="280"/>
    <x v="0"/>
    <x v="0"/>
    <x v="1"/>
    <s v="First            "/>
    <s v="1086 cc "/>
    <s v="68 bhp @ 5500 rpm   "/>
    <n v="68"/>
    <n v="3.61"/>
    <n v="1.645"/>
    <n v="1.56"/>
    <n v="5"/>
    <x v="1"/>
    <n v="35"/>
  </r>
  <r>
    <x v="2"/>
    <x v="224"/>
    <x v="525"/>
    <n v="509999"/>
    <x v="117"/>
    <x v="13"/>
    <x v="122"/>
    <x v="0"/>
    <x v="0"/>
    <x v="1"/>
    <s v="First            "/>
    <s v="1196 cc "/>
    <s v="73 bhp @ 6000 rpm   "/>
    <n v="73"/>
    <n v="3.6749999999999998"/>
    <n v="1.4750000000000001"/>
    <n v="1.8"/>
    <n v="7"/>
    <x v="1"/>
    <n v="40"/>
  </r>
  <r>
    <x v="2"/>
    <x v="273"/>
    <x v="526"/>
    <n v="511000"/>
    <x v="118"/>
    <x v="10"/>
    <x v="281"/>
    <x v="0"/>
    <x v="0"/>
    <x v="1"/>
    <s v="First            "/>
    <s v="1373 cc "/>
    <s v="91 bhp @ 6000 rpm   "/>
    <n v="91"/>
    <n v="4.49"/>
    <n v="1.73"/>
    <n v="1.4850000000000001"/>
    <n v="5"/>
    <x v="1"/>
    <n v="43"/>
  </r>
  <r>
    <x v="1"/>
    <x v="274"/>
    <x v="527"/>
    <n v="515000"/>
    <x v="119"/>
    <x v="16"/>
    <x v="282"/>
    <x v="0"/>
    <x v="0"/>
    <x v="14"/>
    <s v="First            "/>
    <s v="1086 cc "/>
    <s v="68 bhp @ 5500 rpm   "/>
    <n v="68"/>
    <n v="3.61"/>
    <n v="1.645"/>
    <n v="1.56"/>
    <n v="5"/>
    <x v="1"/>
    <n v="35"/>
  </r>
  <r>
    <x v="2"/>
    <x v="224"/>
    <x v="528"/>
    <n v="515000"/>
    <x v="119"/>
    <x v="13"/>
    <x v="283"/>
    <x v="0"/>
    <x v="0"/>
    <x v="2"/>
    <s v="Second           "/>
    <s v="1196 cc "/>
    <s v="73 bhp @ 6000 rpm   "/>
    <n v="73"/>
    <n v="3.6749999999999998"/>
    <n v="1.4750000000000001"/>
    <n v="1.8"/>
    <n v="7"/>
    <x v="1"/>
    <n v="40"/>
  </r>
  <r>
    <x v="2"/>
    <x v="85"/>
    <x v="529"/>
    <n v="515000"/>
    <x v="119"/>
    <x v="6"/>
    <x v="284"/>
    <x v="2"/>
    <x v="0"/>
    <x v="0"/>
    <s v="Second           "/>
    <s v="1248 cc "/>
    <s v="74 bhp @ 4000 rpm   "/>
    <n v="74"/>
    <n v="3.85"/>
    <n v="1.6950000000000001"/>
    <n v="1.53"/>
    <n v="5"/>
    <x v="1"/>
    <n v="42"/>
  </r>
  <r>
    <x v="5"/>
    <x v="275"/>
    <x v="530"/>
    <n v="515000"/>
    <x v="119"/>
    <x v="10"/>
    <x v="285"/>
    <x v="2"/>
    <x v="0"/>
    <x v="10"/>
    <s v="First            "/>
    <s v="1498 cc "/>
    <s v="99 bhp @ 3600 rpm   "/>
    <n v="99"/>
    <n v="3.99"/>
    <n v="1.68"/>
    <n v="1.5049999999999999"/>
    <n v="5"/>
    <x v="1"/>
    <n v="35"/>
  </r>
  <r>
    <x v="2"/>
    <x v="276"/>
    <x v="531"/>
    <n v="520000"/>
    <x v="120"/>
    <x v="13"/>
    <x v="93"/>
    <x v="3"/>
    <x v="0"/>
    <x v="0"/>
    <s v="First            "/>
    <s v="998 cc  "/>
    <s v="58 bhp @ 5500 rpm   "/>
    <n v="58"/>
    <n v="3.6549999999999998"/>
    <n v="1.62"/>
    <n v="1.675"/>
    <n v="5"/>
    <x v="1"/>
    <n v="60"/>
  </r>
  <r>
    <x v="2"/>
    <x v="247"/>
    <x v="532"/>
    <n v="520000"/>
    <x v="120"/>
    <x v="12"/>
    <x v="117"/>
    <x v="2"/>
    <x v="0"/>
    <x v="0"/>
    <s v="First            "/>
    <s v="1248 cc "/>
    <s v="74 bhp @ 4000 rpm   "/>
    <n v="74"/>
    <n v="3.9950000000000001"/>
    <n v="1.6950000000000001"/>
    <n v="1.5549999999999999"/>
    <n v="5"/>
    <x v="1"/>
    <n v="42"/>
  </r>
  <r>
    <x v="2"/>
    <x v="226"/>
    <x v="533"/>
    <n v="520000"/>
    <x v="120"/>
    <x v="12"/>
    <x v="122"/>
    <x v="0"/>
    <x v="0"/>
    <x v="2"/>
    <s v="Second           "/>
    <s v="1197 cc "/>
    <s v="83 bhp @ 6000 rpm   "/>
    <n v="83"/>
    <n v="3.85"/>
    <n v="1.6950000000000001"/>
    <n v="1.53"/>
    <n v="5"/>
    <x v="1"/>
    <n v="42"/>
  </r>
  <r>
    <x v="5"/>
    <x v="277"/>
    <x v="534"/>
    <n v="520000"/>
    <x v="120"/>
    <x v="10"/>
    <x v="61"/>
    <x v="0"/>
    <x v="1"/>
    <x v="0"/>
    <s v="First            "/>
    <s v="1198 cc "/>
    <s v="87 bhp @ 6000 rpm   "/>
    <n v="87"/>
    <n v="3.9550000000000001"/>
    <n v="1.694"/>
    <n v="1.544"/>
    <n v="5"/>
    <x v="1"/>
    <n v="40"/>
  </r>
  <r>
    <x v="2"/>
    <x v="278"/>
    <x v="535"/>
    <n v="521000"/>
    <x v="121"/>
    <x v="9"/>
    <x v="286"/>
    <x v="0"/>
    <x v="1"/>
    <x v="4"/>
    <s v="First            "/>
    <s v="1197 cc "/>
    <s v="82 bhp @ 6000 rpm   "/>
    <n v="82"/>
    <n v="3.7"/>
    <n v="1.69"/>
    <n v="1.595"/>
    <n v="5"/>
    <x v="1"/>
    <n v="32"/>
  </r>
  <r>
    <x v="13"/>
    <x v="279"/>
    <x v="536"/>
    <n v="525000"/>
    <x v="122"/>
    <x v="10"/>
    <x v="287"/>
    <x v="0"/>
    <x v="1"/>
    <x v="2"/>
    <s v="Second           "/>
    <s v="1198 cc "/>
    <s v="103 bhp @ 5000 rpm  "/>
    <n v="103"/>
    <n v="3.97"/>
    <n v="1.6819999999999999"/>
    <n v="1.4530000000000001"/>
    <n v="5"/>
    <x v="1"/>
    <n v="45"/>
  </r>
  <r>
    <x v="8"/>
    <x v="280"/>
    <x v="537"/>
    <n v="525000"/>
    <x v="122"/>
    <x v="10"/>
    <x v="21"/>
    <x v="2"/>
    <x v="0"/>
    <x v="11"/>
    <s v="Second           "/>
    <s v="2498 cc "/>
    <s v="105 bhp @3800            "/>
    <n v="105"/>
    <n v="3.92"/>
    <n v="1.71"/>
    <n v="1.93"/>
    <n v="7"/>
    <x v="1"/>
    <n v="60"/>
  </r>
  <r>
    <x v="1"/>
    <x v="281"/>
    <x v="538"/>
    <n v="525000"/>
    <x v="122"/>
    <x v="6"/>
    <x v="23"/>
    <x v="2"/>
    <x v="0"/>
    <x v="0"/>
    <s v="Second           "/>
    <s v="1582 cc "/>
    <s v="126 bhp @ 4000 rpm  "/>
    <n v="126"/>
    <n v="4.37"/>
    <n v="1.7"/>
    <n v="1.4750000000000001"/>
    <n v="5"/>
    <x v="1"/>
    <n v="43"/>
  </r>
  <r>
    <x v="2"/>
    <x v="282"/>
    <x v="539"/>
    <n v="525000"/>
    <x v="122"/>
    <x v="13"/>
    <x v="15"/>
    <x v="3"/>
    <x v="0"/>
    <x v="2"/>
    <s v="First            "/>
    <s v="998 cc  "/>
    <s v="58 bhp @ 5500 rpm   "/>
    <n v="58"/>
    <n v="3.6549999999999998"/>
    <n v="1.62"/>
    <n v="1.675"/>
    <n v="5"/>
    <x v="1"/>
    <n v="60"/>
  </r>
  <r>
    <x v="8"/>
    <x v="283"/>
    <x v="540"/>
    <n v="525000"/>
    <x v="122"/>
    <x v="10"/>
    <x v="288"/>
    <x v="2"/>
    <x v="0"/>
    <x v="0"/>
    <s v="Second           "/>
    <s v="2523 cc "/>
    <s v="63 bhp @ 3200 rpm   "/>
    <n v="63"/>
    <n v="4.1070000000000002"/>
    <n v="1.7450000000000001"/>
    <n v="1.88"/>
    <n v="7"/>
    <x v="1"/>
    <n v="60"/>
  </r>
  <r>
    <x v="1"/>
    <x v="284"/>
    <x v="541"/>
    <n v="525000"/>
    <x v="122"/>
    <x v="12"/>
    <x v="289"/>
    <x v="2"/>
    <x v="0"/>
    <x v="1"/>
    <s v="First            "/>
    <s v="1120 cc "/>
    <s v="71 bhp @ 4000 rpm   "/>
    <n v="71"/>
    <n v="3.9950000000000001"/>
    <n v="1.66"/>
    <n v="1.52"/>
    <n v="5"/>
    <x v="1"/>
    <n v="43"/>
  </r>
  <r>
    <x v="13"/>
    <x v="111"/>
    <x v="542"/>
    <n v="525000"/>
    <x v="122"/>
    <x v="6"/>
    <x v="290"/>
    <x v="0"/>
    <x v="0"/>
    <x v="9"/>
    <s v="First            "/>
    <s v="1198 cc "/>
    <s v="74 bhp @ 5400 rpm   "/>
    <n v="74"/>
    <n v="3.97"/>
    <n v="1.6819999999999999"/>
    <n v="1.4530000000000001"/>
    <n v="5"/>
    <x v="1"/>
    <n v="45"/>
  </r>
  <r>
    <x v="1"/>
    <x v="285"/>
    <x v="543"/>
    <n v="525000"/>
    <x v="122"/>
    <x v="10"/>
    <x v="291"/>
    <x v="0"/>
    <x v="0"/>
    <x v="5"/>
    <s v="First            "/>
    <s v="1197 cc "/>
    <s v="82 bhp @ 6000 rpm   "/>
    <n v="82"/>
    <n v="3.9849999999999999"/>
    <n v="1.734"/>
    <n v="1.5049999999999999"/>
    <n v="5"/>
    <x v="1"/>
    <n v="45"/>
  </r>
  <r>
    <x v="1"/>
    <x v="286"/>
    <x v="544"/>
    <n v="525000"/>
    <x v="122"/>
    <x v="10"/>
    <x v="292"/>
    <x v="0"/>
    <x v="0"/>
    <x v="1"/>
    <s v="First            "/>
    <s v="1197 cc "/>
    <s v="82 bhp @ 6000 rpm   "/>
    <n v="82"/>
    <n v="3.9849999999999999"/>
    <n v="1.734"/>
    <n v="1.5049999999999999"/>
    <n v="5"/>
    <x v="1"/>
    <n v="45"/>
  </r>
  <r>
    <x v="2"/>
    <x v="226"/>
    <x v="545"/>
    <n v="525000"/>
    <x v="122"/>
    <x v="11"/>
    <x v="293"/>
    <x v="0"/>
    <x v="0"/>
    <x v="4"/>
    <s v="First            "/>
    <s v="1197 cc "/>
    <s v="83 bhp @ 6000 rpm   "/>
    <n v="83"/>
    <n v="3.85"/>
    <n v="1.6950000000000001"/>
    <n v="1.53"/>
    <n v="5"/>
    <x v="1"/>
    <n v="42"/>
  </r>
  <r>
    <x v="0"/>
    <x v="287"/>
    <x v="546"/>
    <n v="525000"/>
    <x v="122"/>
    <x v="13"/>
    <x v="34"/>
    <x v="0"/>
    <x v="0"/>
    <x v="12"/>
    <s v="First            "/>
    <s v="1199 cc "/>
    <s v="84 bhp @ 6000 rpm   "/>
    <n v="84"/>
    <n v="3.7930000000000001"/>
    <n v="1.665"/>
    <n v="1.587"/>
    <n v="5"/>
    <x v="1"/>
    <n v="35"/>
  </r>
  <r>
    <x v="11"/>
    <x v="82"/>
    <x v="547"/>
    <n v="525000"/>
    <x v="122"/>
    <x v="6"/>
    <x v="22"/>
    <x v="2"/>
    <x v="0"/>
    <x v="1"/>
    <s v="First            "/>
    <s v="1461 cc "/>
    <s v="84 bhp @ 3750 rpm   "/>
    <n v="84"/>
    <n v="4.3150000000000004"/>
    <n v="1.8220000000000001"/>
    <n v="1.6950000000000001"/>
    <n v="5"/>
    <x v="1"/>
    <n v="50"/>
  </r>
  <r>
    <x v="2"/>
    <x v="49"/>
    <x v="548"/>
    <n v="525000"/>
    <x v="122"/>
    <x v="6"/>
    <x v="32"/>
    <x v="0"/>
    <x v="0"/>
    <x v="2"/>
    <s v="Second           "/>
    <s v="1197 cc "/>
    <s v="85 bhp @ 6000 rpm   "/>
    <n v="85"/>
    <n v="3.9950000000000001"/>
    <n v="1.6950000000000001"/>
    <n v="1.5549999999999999"/>
    <n v="5"/>
    <x v="1"/>
    <n v="42"/>
  </r>
  <r>
    <x v="5"/>
    <x v="180"/>
    <x v="549"/>
    <n v="525000"/>
    <x v="122"/>
    <x v="11"/>
    <x v="294"/>
    <x v="0"/>
    <x v="0"/>
    <x v="2"/>
    <s v="First            "/>
    <s v="1199 cc "/>
    <s v="89 bhp @ 6000 rpm   "/>
    <n v="89"/>
    <n v="3.9550000000000001"/>
    <n v="1.694"/>
    <n v="1.544"/>
    <n v="5"/>
    <x v="1"/>
    <n v="40"/>
  </r>
  <r>
    <x v="5"/>
    <x v="288"/>
    <x v="550"/>
    <n v="525000"/>
    <x v="122"/>
    <x v="10"/>
    <x v="295"/>
    <x v="2"/>
    <x v="0"/>
    <x v="1"/>
    <s v="Second           "/>
    <s v="1498 cc "/>
    <s v="98 bhp @ 3600 rpm   "/>
    <n v="98"/>
    <n v="3.9550000000000001"/>
    <n v="1.694"/>
    <n v="1.544"/>
    <n v="5"/>
    <x v="1"/>
    <n v="40"/>
  </r>
  <r>
    <x v="5"/>
    <x v="289"/>
    <x v="551"/>
    <n v="525000"/>
    <x v="122"/>
    <x v="10"/>
    <x v="296"/>
    <x v="2"/>
    <x v="0"/>
    <x v="2"/>
    <s v="First            "/>
    <s v="1498 cc "/>
    <s v="99 bhp @ 3600 rpm   "/>
    <n v="99"/>
    <n v="4.4400000000000004"/>
    <n v="1.6950000000000001"/>
    <n v="1.4950000000000001"/>
    <n v="5"/>
    <x v="1"/>
    <n v="40"/>
  </r>
  <r>
    <x v="1"/>
    <x v="290"/>
    <x v="552"/>
    <n v="529000"/>
    <x v="123"/>
    <x v="10"/>
    <x v="297"/>
    <x v="0"/>
    <x v="0"/>
    <x v="0"/>
    <s v="First            "/>
    <s v="1197 cc "/>
    <s v="82 bhp @ 6000 rpm   "/>
    <n v="82"/>
    <n v="3.9950000000000001"/>
    <n v="1.76"/>
    <n v="1.5549999999999999"/>
    <n v="5"/>
    <x v="1"/>
    <n v="45"/>
  </r>
  <r>
    <x v="0"/>
    <x v="291"/>
    <x v="553"/>
    <n v="530000"/>
    <x v="124"/>
    <x v="14"/>
    <x v="298"/>
    <x v="2"/>
    <x v="0"/>
    <x v="0"/>
    <s v="First            "/>
    <s v="1248 cc "/>
    <s v="74 bhp @ 4000 rpm   "/>
    <n v="74"/>
    <n v="3.9950000000000001"/>
    <n v="1.706"/>
    <n v="1.57"/>
    <n v="5"/>
    <x v="1"/>
    <n v="44"/>
  </r>
  <r>
    <x v="3"/>
    <x v="292"/>
    <x v="554"/>
    <n v="530000"/>
    <x v="124"/>
    <x v="8"/>
    <x v="33"/>
    <x v="2"/>
    <x v="0"/>
    <x v="0"/>
    <s v="First            "/>
    <s v="1498 cc "/>
    <s v="89 bhp @ 3750 rpm   "/>
    <n v="89"/>
    <n v="3.9990000000000001"/>
    <n v="1.7649999999999999"/>
    <n v="1.708"/>
    <n v="5"/>
    <x v="1"/>
    <n v="52"/>
  </r>
  <r>
    <x v="3"/>
    <x v="293"/>
    <x v="555"/>
    <n v="535000"/>
    <x v="125"/>
    <x v="10"/>
    <x v="191"/>
    <x v="0"/>
    <x v="0"/>
    <x v="1"/>
    <s v="First            "/>
    <s v="999 cc  "/>
    <s v="124 bhp @ 6000 rpm  "/>
    <n v="124"/>
    <n v="3.9990000000000001"/>
    <n v="1.7649999999999999"/>
    <n v="1.708"/>
    <n v="5"/>
    <x v="1"/>
    <n v="52"/>
  </r>
  <r>
    <x v="2"/>
    <x v="94"/>
    <x v="556"/>
    <n v="535000"/>
    <x v="125"/>
    <x v="14"/>
    <x v="299"/>
    <x v="0"/>
    <x v="0"/>
    <x v="1"/>
    <s v="First            "/>
    <s v="998 cc  "/>
    <s v="67 bhp @ 6200 rpm   "/>
    <n v="67"/>
    <n v="3.6360000000000001"/>
    <n v="1.4750000000000001"/>
    <n v="1.67"/>
    <n v="5"/>
    <x v="1"/>
    <n v="35"/>
  </r>
  <r>
    <x v="2"/>
    <x v="119"/>
    <x v="557"/>
    <n v="535000"/>
    <x v="125"/>
    <x v="14"/>
    <x v="300"/>
    <x v="0"/>
    <x v="0"/>
    <x v="1"/>
    <s v="First            "/>
    <s v="1196 cc "/>
    <s v="73 bhp @ 6000 rpm   "/>
    <n v="73"/>
    <n v="3.6749999999999998"/>
    <n v="1.4750000000000001"/>
    <n v="1.8"/>
    <n v="5"/>
    <x v="1"/>
    <n v="40"/>
  </r>
  <r>
    <x v="2"/>
    <x v="253"/>
    <x v="558"/>
    <n v="535000"/>
    <x v="125"/>
    <x v="9"/>
    <x v="301"/>
    <x v="0"/>
    <x v="0"/>
    <x v="2"/>
    <s v="First            "/>
    <s v="1197 cc "/>
    <s v="83 bhp @ 6000 rpm   "/>
    <n v="83"/>
    <n v="3.9950000000000001"/>
    <n v="1.7450000000000001"/>
    <n v="1.5"/>
    <n v="5"/>
    <x v="1"/>
    <n v="37"/>
  </r>
  <r>
    <x v="1"/>
    <x v="294"/>
    <x v="559"/>
    <n v="535000"/>
    <x v="125"/>
    <x v="11"/>
    <x v="302"/>
    <x v="2"/>
    <x v="0"/>
    <x v="2"/>
    <s v="First            "/>
    <s v="1396 cc "/>
    <s v="89 bhp @ 4000 rpm   "/>
    <n v="89"/>
    <n v="3.9849999999999999"/>
    <n v="1.734"/>
    <n v="1.5049999999999999"/>
    <n v="5"/>
    <x v="1"/>
    <n v="45"/>
  </r>
  <r>
    <x v="1"/>
    <x v="50"/>
    <x v="560"/>
    <n v="540000"/>
    <x v="126"/>
    <x v="6"/>
    <x v="90"/>
    <x v="2"/>
    <x v="0"/>
    <x v="1"/>
    <s v="First            "/>
    <s v="1582 cc "/>
    <s v="126 bhp @ 4000 rpm  "/>
    <n v="126"/>
    <n v="4.37"/>
    <n v="1.7"/>
    <n v="1.4750000000000001"/>
    <n v="5"/>
    <x v="1"/>
    <n v="43"/>
  </r>
  <r>
    <x v="2"/>
    <x v="295"/>
    <x v="561"/>
    <n v="540000"/>
    <x v="126"/>
    <x v="13"/>
    <x v="91"/>
    <x v="0"/>
    <x v="0"/>
    <x v="0"/>
    <s v="First            "/>
    <s v="998 cc  "/>
    <s v="67 bhp @ 6000 rpm   "/>
    <n v="67"/>
    <n v="3.6949999999999998"/>
    <n v="1.6"/>
    <n v="1.56"/>
    <n v="5"/>
    <x v="1"/>
    <n v="35"/>
  </r>
  <r>
    <x v="5"/>
    <x v="214"/>
    <x v="562"/>
    <n v="540000"/>
    <x v="126"/>
    <x v="9"/>
    <x v="303"/>
    <x v="0"/>
    <x v="0"/>
    <x v="6"/>
    <s v="First            "/>
    <s v="1198 cc "/>
    <s v="87 bhp @ 6000 rpm   "/>
    <n v="87"/>
    <n v="3.99"/>
    <n v="1.68"/>
    <n v="1.5049999999999999"/>
    <n v="5"/>
    <x v="1"/>
    <n v="35"/>
  </r>
  <r>
    <x v="1"/>
    <x v="296"/>
    <x v="563"/>
    <n v="540000"/>
    <x v="126"/>
    <x v="10"/>
    <x v="4"/>
    <x v="2"/>
    <x v="0"/>
    <x v="1"/>
    <s v="First            "/>
    <s v="1396 cc "/>
    <s v="89 bhp @ 4000 rpm   "/>
    <n v="89"/>
    <n v="3.9950000000000001"/>
    <n v="1.76"/>
    <n v="1.5549999999999999"/>
    <n v="5"/>
    <x v="1"/>
    <n v="45"/>
  </r>
  <r>
    <x v="2"/>
    <x v="297"/>
    <x v="564"/>
    <n v="540000"/>
    <x v="126"/>
    <x v="10"/>
    <x v="194"/>
    <x v="0"/>
    <x v="0"/>
    <x v="5"/>
    <s v="First            "/>
    <s v="1373 cc "/>
    <s v="91 bhp @ 6000 rpm   "/>
    <n v="91"/>
    <n v="4.49"/>
    <n v="1.73"/>
    <n v="1.4850000000000001"/>
    <n v="5"/>
    <x v="1"/>
    <n v="43"/>
  </r>
  <r>
    <x v="5"/>
    <x v="199"/>
    <x v="565"/>
    <n v="540000"/>
    <x v="126"/>
    <x v="10"/>
    <x v="93"/>
    <x v="2"/>
    <x v="0"/>
    <x v="4"/>
    <s v="First            "/>
    <s v="1498 cc "/>
    <s v="99 bhp @ 3600 rpm   "/>
    <n v="99"/>
    <n v="4.4400000000000004"/>
    <n v="1.6950000000000001"/>
    <n v="1.4950000000000001"/>
    <n v="5"/>
    <x v="1"/>
    <n v="40"/>
  </r>
  <r>
    <x v="13"/>
    <x v="134"/>
    <x v="566"/>
    <n v="545000"/>
    <x v="127"/>
    <x v="8"/>
    <x v="68"/>
    <x v="2"/>
    <x v="0"/>
    <x v="1"/>
    <s v="First            "/>
    <s v="1598 cc "/>
    <s v="103 bhp @ 4400 rpm  "/>
    <n v="103"/>
    <n v="4.3840000000000003"/>
    <n v="1.6990000000000001"/>
    <n v="1.466"/>
    <n v="5"/>
    <x v="1"/>
    <n v="55"/>
  </r>
  <r>
    <x v="1"/>
    <x v="161"/>
    <x v="567"/>
    <n v="545000"/>
    <x v="127"/>
    <x v="6"/>
    <x v="40"/>
    <x v="0"/>
    <x v="0"/>
    <x v="4"/>
    <s v="First            "/>
    <s v="1591 cc "/>
    <s v="121 bhp @ 6300 rpm  "/>
    <n v="121"/>
    <n v="4.37"/>
    <n v="1.7"/>
    <n v="1.4750000000000001"/>
    <n v="5"/>
    <x v="1"/>
    <n v="43"/>
  </r>
  <r>
    <x v="1"/>
    <x v="50"/>
    <x v="568"/>
    <n v="545000"/>
    <x v="127"/>
    <x v="6"/>
    <x v="110"/>
    <x v="2"/>
    <x v="0"/>
    <x v="2"/>
    <s v="First            "/>
    <s v="1582 cc "/>
    <s v="126 bhp @ 4000 rpm  "/>
    <n v="126"/>
    <n v="4.37"/>
    <n v="1.7"/>
    <n v="1.4750000000000001"/>
    <n v="5"/>
    <x v="1"/>
    <n v="43"/>
  </r>
  <r>
    <x v="1"/>
    <x v="298"/>
    <x v="569"/>
    <n v="545000"/>
    <x v="127"/>
    <x v="8"/>
    <x v="30"/>
    <x v="0"/>
    <x v="1"/>
    <x v="1"/>
    <s v="First            "/>
    <s v="1797 cc "/>
    <s v="147 bhp @ 6500 rpm  "/>
    <n v="147"/>
    <n v="4.53"/>
    <n v="1.7749999999999999"/>
    <n v="1.47"/>
    <n v="5"/>
    <x v="1"/>
    <n v="56"/>
  </r>
  <r>
    <x v="1"/>
    <x v="232"/>
    <x v="570"/>
    <n v="545000"/>
    <x v="127"/>
    <x v="13"/>
    <x v="195"/>
    <x v="3"/>
    <x v="0"/>
    <x v="1"/>
    <s v="First            "/>
    <s v="1086 cc "/>
    <s v="58 bhp @ 5500 rpm   "/>
    <n v="58"/>
    <n v="3.61"/>
    <n v="1.645"/>
    <n v="1.56"/>
    <n v="5"/>
    <x v="1"/>
    <n v="60"/>
  </r>
  <r>
    <x v="2"/>
    <x v="52"/>
    <x v="571"/>
    <n v="545000"/>
    <x v="127"/>
    <x v="13"/>
    <x v="304"/>
    <x v="0"/>
    <x v="0"/>
    <x v="0"/>
    <s v="First            "/>
    <s v="998 cc  "/>
    <s v="67 bhp @ 6200 rpm   "/>
    <n v="67"/>
    <n v="3.5990000000000002"/>
    <n v="1.4950000000000001"/>
    <n v="1.7"/>
    <n v="5"/>
    <x v="1"/>
    <n v="35"/>
  </r>
  <r>
    <x v="1"/>
    <x v="170"/>
    <x v="572"/>
    <n v="545000"/>
    <x v="127"/>
    <x v="13"/>
    <x v="191"/>
    <x v="0"/>
    <x v="0"/>
    <x v="0"/>
    <s v="First            "/>
    <s v="1197 cc "/>
    <s v="81 bhp @ 6000 rpm   "/>
    <n v="81"/>
    <n v="3.7650000000000001"/>
    <n v="1.66"/>
    <n v="1.52"/>
    <n v="5"/>
    <x v="1"/>
    <n v="43"/>
  </r>
  <r>
    <x v="2"/>
    <x v="278"/>
    <x v="573"/>
    <n v="545000"/>
    <x v="127"/>
    <x v="9"/>
    <x v="197"/>
    <x v="0"/>
    <x v="1"/>
    <x v="7"/>
    <s v="First            "/>
    <s v="1197 cc "/>
    <s v="82 bhp @ 6000 rpm   "/>
    <n v="82"/>
    <n v="3.7"/>
    <n v="1.69"/>
    <n v="1.595"/>
    <n v="5"/>
    <x v="1"/>
    <n v="32"/>
  </r>
  <r>
    <x v="2"/>
    <x v="243"/>
    <x v="574"/>
    <n v="545000"/>
    <x v="127"/>
    <x v="9"/>
    <x v="305"/>
    <x v="0"/>
    <x v="0"/>
    <x v="4"/>
    <s v="First            "/>
    <s v="1197 cc "/>
    <s v="83 bhp @ 6000 rpm   "/>
    <n v="83"/>
    <n v="3.9950000000000001"/>
    <n v="1.7450000000000001"/>
    <n v="1.5"/>
    <n v="5"/>
    <x v="1"/>
    <n v="37"/>
  </r>
  <r>
    <x v="2"/>
    <x v="243"/>
    <x v="575"/>
    <n v="545000"/>
    <x v="127"/>
    <x v="11"/>
    <x v="75"/>
    <x v="0"/>
    <x v="0"/>
    <x v="0"/>
    <s v="First            "/>
    <s v="1197 cc "/>
    <s v="83 bhp @ 6000 rpm   "/>
    <n v="83"/>
    <n v="3.9950000000000001"/>
    <n v="1.7450000000000001"/>
    <n v="1.5"/>
    <n v="5"/>
    <x v="1"/>
    <n v="37"/>
  </r>
  <r>
    <x v="2"/>
    <x v="299"/>
    <x v="576"/>
    <n v="545000"/>
    <x v="127"/>
    <x v="10"/>
    <x v="26"/>
    <x v="0"/>
    <x v="0"/>
    <x v="1"/>
    <s v="First            "/>
    <s v="1197 cc "/>
    <s v="85 bhp @ 6000 rpm   "/>
    <n v="85"/>
    <n v="3.9950000000000001"/>
    <n v="1.6950000000000001"/>
    <n v="1.5549999999999999"/>
    <n v="5"/>
    <x v="1"/>
    <n v="42"/>
  </r>
  <r>
    <x v="1"/>
    <x v="300"/>
    <x v="577"/>
    <n v="545000"/>
    <x v="127"/>
    <x v="11"/>
    <x v="306"/>
    <x v="2"/>
    <x v="0"/>
    <x v="0"/>
    <s v="First            "/>
    <s v="1396 cc "/>
    <s v="89 bhp @ 4000 rpm   "/>
    <n v="89"/>
    <n v="3.9950000000000001"/>
    <n v="1.76"/>
    <n v="1.5549999999999999"/>
    <n v="5"/>
    <x v="1"/>
    <n v="45"/>
  </r>
  <r>
    <x v="5"/>
    <x v="301"/>
    <x v="578"/>
    <n v="545000"/>
    <x v="127"/>
    <x v="10"/>
    <x v="61"/>
    <x v="0"/>
    <x v="1"/>
    <x v="0"/>
    <s v="First            "/>
    <s v="1199 cc "/>
    <s v="89 bhp @ 6000 rpm   "/>
    <n v="89"/>
    <n v="3.9550000000000001"/>
    <n v="1.694"/>
    <n v="1.544"/>
    <n v="5"/>
    <x v="1"/>
    <n v="40"/>
  </r>
  <r>
    <x v="1"/>
    <x v="165"/>
    <x v="579"/>
    <n v="547000"/>
    <x v="128"/>
    <x v="8"/>
    <x v="307"/>
    <x v="0"/>
    <x v="0"/>
    <x v="1"/>
    <s v="First            "/>
    <s v="1591 cc "/>
    <s v="121 bhp @ 6300 rpm  "/>
    <n v="121"/>
    <n v="4.37"/>
    <n v="1.7"/>
    <n v="1.4750000000000001"/>
    <n v="5"/>
    <x v="1"/>
    <n v="43"/>
  </r>
  <r>
    <x v="9"/>
    <x v="263"/>
    <x v="580"/>
    <n v="549000"/>
    <x v="129"/>
    <x v="6"/>
    <x v="61"/>
    <x v="2"/>
    <x v="1"/>
    <x v="12"/>
    <s v="First            "/>
    <s v="1498 cc "/>
    <s v="103 bhp @ 4400 rpm  "/>
    <n v="103"/>
    <n v="4.3860000000000001"/>
    <n v="1.6990000000000001"/>
    <n v="1.466"/>
    <n v="5"/>
    <x v="1"/>
    <n v="55"/>
  </r>
  <r>
    <x v="8"/>
    <x v="250"/>
    <x v="581"/>
    <n v="549000"/>
    <x v="129"/>
    <x v="1"/>
    <x v="308"/>
    <x v="2"/>
    <x v="0"/>
    <x v="1"/>
    <s v="First            "/>
    <s v="2179 cc "/>
    <s v="140 bhp @ 3750 rpm  "/>
    <n v="140"/>
    <n v="4.585"/>
    <n v="1.89"/>
    <n v="1.7849999999999999"/>
    <n v="7"/>
    <x v="1"/>
    <n v="70"/>
  </r>
  <r>
    <x v="1"/>
    <x v="302"/>
    <x v="582"/>
    <n v="549000"/>
    <x v="129"/>
    <x v="12"/>
    <x v="75"/>
    <x v="0"/>
    <x v="1"/>
    <x v="0"/>
    <s v="Second           "/>
    <s v="1197 cc "/>
    <s v="81 bhp @ 6000 rpm   "/>
    <n v="81"/>
    <n v="3.7650000000000001"/>
    <n v="1.66"/>
    <n v="1.52"/>
    <n v="5"/>
    <x v="1"/>
    <n v="43"/>
  </r>
  <r>
    <x v="1"/>
    <x v="285"/>
    <x v="583"/>
    <n v="549000"/>
    <x v="129"/>
    <x v="10"/>
    <x v="309"/>
    <x v="0"/>
    <x v="0"/>
    <x v="1"/>
    <s v="First            "/>
    <s v="1197 cc "/>
    <s v="82 bhp @ 6000 rpm   "/>
    <n v="82"/>
    <n v="3.9849999999999999"/>
    <n v="1.734"/>
    <n v="1.5049999999999999"/>
    <n v="5"/>
    <x v="1"/>
    <n v="45"/>
  </r>
  <r>
    <x v="9"/>
    <x v="135"/>
    <x v="584"/>
    <n v="550000"/>
    <x v="130"/>
    <x v="11"/>
    <x v="92"/>
    <x v="2"/>
    <x v="0"/>
    <x v="0"/>
    <s v="First            "/>
    <s v="1598 cc "/>
    <s v="105 bhp @ 4400 rpm  "/>
    <n v="105"/>
    <n v="4.3860000000000001"/>
    <n v="1.6990000000000001"/>
    <n v="1.466"/>
    <n v="5"/>
    <x v="1"/>
    <n v="55"/>
  </r>
  <r>
    <x v="12"/>
    <x v="303"/>
    <x v="585"/>
    <n v="550000"/>
    <x v="130"/>
    <x v="6"/>
    <x v="6"/>
    <x v="2"/>
    <x v="0"/>
    <x v="10"/>
    <s v="First            "/>
    <s v="1461 cc "/>
    <s v="108 bhp @ 3900 rpm  "/>
    <n v="108"/>
    <n v="4.3310000000000004"/>
    <n v="1.8220000000000001"/>
    <n v="1.671"/>
    <n v="5"/>
    <x v="1"/>
    <n v="50"/>
  </r>
  <r>
    <x v="3"/>
    <x v="304"/>
    <x v="586"/>
    <n v="550000"/>
    <x v="130"/>
    <x v="8"/>
    <x v="119"/>
    <x v="0"/>
    <x v="0"/>
    <x v="8"/>
    <s v="First            "/>
    <s v="1499 cc "/>
    <s v="109 bhp @ 6300 rpm  "/>
    <n v="109"/>
    <n v="3.9990000000000001"/>
    <n v="1.7649999999999999"/>
    <n v="1.708"/>
    <n v="5"/>
    <x v="1"/>
    <n v="52"/>
  </r>
  <r>
    <x v="8"/>
    <x v="305"/>
    <x v="587"/>
    <n v="550000"/>
    <x v="130"/>
    <x v="5"/>
    <x v="310"/>
    <x v="2"/>
    <x v="0"/>
    <x v="0"/>
    <s v="Second           "/>
    <s v="2609 cc "/>
    <s v="116 bhp @3800            "/>
    <n v="116"/>
    <n v="4.4950000000000001"/>
    <n v="1.8169999999999999"/>
    <n v="1.9750000000000001"/>
    <n v="7"/>
    <x v="1"/>
    <n v="60"/>
  </r>
  <r>
    <x v="5"/>
    <x v="306"/>
    <x v="588"/>
    <n v="550000"/>
    <x v="130"/>
    <x v="10"/>
    <x v="265"/>
    <x v="0"/>
    <x v="0"/>
    <x v="2"/>
    <s v="First            "/>
    <s v="1497 cc "/>
    <s v="117 bhp @ 6600 rpm  "/>
    <n v="117"/>
    <n v="4.4400000000000004"/>
    <n v="1.6950000000000001"/>
    <n v="1.4950000000000001"/>
    <n v="5"/>
    <x v="1"/>
    <n v="40"/>
  </r>
  <r>
    <x v="5"/>
    <x v="60"/>
    <x v="589"/>
    <n v="550000"/>
    <x v="130"/>
    <x v="4"/>
    <x v="46"/>
    <x v="0"/>
    <x v="1"/>
    <x v="8"/>
    <s v="Second           "/>
    <s v="1497 cc "/>
    <s v="118 bhp @6600            "/>
    <n v="118"/>
    <n v="4.42"/>
    <n v="1.6950000000000001"/>
    <n v="1.48"/>
    <n v="5"/>
    <x v="1"/>
    <n v="42"/>
  </r>
  <r>
    <x v="2"/>
    <x v="276"/>
    <x v="590"/>
    <n v="550000"/>
    <x v="130"/>
    <x v="13"/>
    <x v="22"/>
    <x v="3"/>
    <x v="0"/>
    <x v="1"/>
    <s v="First            "/>
    <s v="998 cc  "/>
    <s v="58 bhp @ 5500 rpm   "/>
    <n v="58"/>
    <n v="3.6549999999999998"/>
    <n v="1.62"/>
    <n v="1.675"/>
    <n v="5"/>
    <x v="1"/>
    <n v="60"/>
  </r>
  <r>
    <x v="2"/>
    <x v="307"/>
    <x v="591"/>
    <n v="550000"/>
    <x v="130"/>
    <x v="11"/>
    <x v="10"/>
    <x v="2"/>
    <x v="0"/>
    <x v="7"/>
    <s v="First            "/>
    <s v="1248 cc "/>
    <s v="74 bhp @ 4000 rpm   "/>
    <n v="74"/>
    <n v="3.9950000000000001"/>
    <n v="1.7450000000000001"/>
    <n v="1.5"/>
    <n v="5"/>
    <x v="1"/>
    <n v="37"/>
  </r>
  <r>
    <x v="2"/>
    <x v="308"/>
    <x v="592"/>
    <n v="550000"/>
    <x v="130"/>
    <x v="6"/>
    <x v="16"/>
    <x v="2"/>
    <x v="0"/>
    <x v="0"/>
    <s v="First            "/>
    <s v="1248 cc "/>
    <s v="74 bhp @ 4000 rpm   "/>
    <n v="74"/>
    <n v="3.9950000000000001"/>
    <n v="1.6950000000000001"/>
    <n v="1.5549999999999999"/>
    <n v="5"/>
    <x v="1"/>
    <n v="42"/>
  </r>
  <r>
    <x v="1"/>
    <x v="194"/>
    <x v="593"/>
    <n v="550000"/>
    <x v="130"/>
    <x v="9"/>
    <x v="311"/>
    <x v="0"/>
    <x v="0"/>
    <x v="2"/>
    <s v="First            "/>
    <s v="1197 cc "/>
    <s v="81 bhp @ 6000 rpm   "/>
    <n v="81"/>
    <n v="3.7650000000000001"/>
    <n v="1.66"/>
    <n v="1.52"/>
    <n v="5"/>
    <x v="1"/>
    <n v="43"/>
  </r>
  <r>
    <x v="1"/>
    <x v="164"/>
    <x v="594"/>
    <n v="550000"/>
    <x v="130"/>
    <x v="12"/>
    <x v="40"/>
    <x v="0"/>
    <x v="0"/>
    <x v="2"/>
    <s v="First            "/>
    <s v="1197 cc "/>
    <s v="81 bhp @ 6000 rpm   "/>
    <n v="81"/>
    <n v="3.7650000000000001"/>
    <n v="1.66"/>
    <n v="1.52"/>
    <n v="5"/>
    <x v="1"/>
    <n v="43"/>
  </r>
  <r>
    <x v="1"/>
    <x v="309"/>
    <x v="595"/>
    <n v="550000"/>
    <x v="130"/>
    <x v="10"/>
    <x v="312"/>
    <x v="0"/>
    <x v="0"/>
    <x v="1"/>
    <s v="Second           "/>
    <s v="1197 cc "/>
    <s v="81 bhp @ 6000 rpm   "/>
    <n v="81"/>
    <n v="3.7650000000000001"/>
    <n v="1.66"/>
    <n v="1.52"/>
    <n v="5"/>
    <x v="1"/>
    <n v="43"/>
  </r>
  <r>
    <x v="2"/>
    <x v="310"/>
    <x v="596"/>
    <n v="550000"/>
    <x v="130"/>
    <x v="14"/>
    <x v="116"/>
    <x v="0"/>
    <x v="0"/>
    <x v="7"/>
    <s v="First            "/>
    <s v="1197 cc "/>
    <s v="82 bhp @ 6000 rpm   "/>
    <n v="82"/>
    <n v="3.6549999999999998"/>
    <n v="1.62"/>
    <n v="1.675"/>
    <n v="5"/>
    <x v="1"/>
    <n v="32"/>
  </r>
  <r>
    <x v="1"/>
    <x v="285"/>
    <x v="597"/>
    <n v="550000"/>
    <x v="130"/>
    <x v="10"/>
    <x v="109"/>
    <x v="0"/>
    <x v="0"/>
    <x v="4"/>
    <s v="First            "/>
    <s v="1197 cc "/>
    <s v="82 bhp @ 6000 rpm   "/>
    <n v="82"/>
    <n v="3.9849999999999999"/>
    <n v="1.734"/>
    <n v="1.5049999999999999"/>
    <n v="5"/>
    <x v="1"/>
    <n v="45"/>
  </r>
  <r>
    <x v="2"/>
    <x v="226"/>
    <x v="598"/>
    <n v="550000"/>
    <x v="130"/>
    <x v="13"/>
    <x v="313"/>
    <x v="0"/>
    <x v="0"/>
    <x v="2"/>
    <s v="First            "/>
    <s v="1197 cc "/>
    <s v="83 bhp @ 6000 rpm   "/>
    <n v="83"/>
    <n v="3.85"/>
    <n v="1.6950000000000001"/>
    <n v="1.53"/>
    <n v="5"/>
    <x v="1"/>
    <n v="42"/>
  </r>
  <r>
    <x v="2"/>
    <x v="226"/>
    <x v="599"/>
    <n v="550000"/>
    <x v="130"/>
    <x v="12"/>
    <x v="15"/>
    <x v="0"/>
    <x v="0"/>
    <x v="0"/>
    <s v="First            "/>
    <s v="1197 cc "/>
    <s v="83 bhp @ 6000 rpm   "/>
    <n v="83"/>
    <n v="3.85"/>
    <n v="1.6950000000000001"/>
    <n v="1.53"/>
    <n v="5"/>
    <x v="1"/>
    <n v="42"/>
  </r>
  <r>
    <x v="1"/>
    <x v="143"/>
    <x v="600"/>
    <n v="550000"/>
    <x v="130"/>
    <x v="6"/>
    <x v="33"/>
    <x v="2"/>
    <x v="0"/>
    <x v="6"/>
    <s v="First            "/>
    <s v="1396 cc "/>
    <s v="90  bhp @4000             "/>
    <n v="90"/>
    <n v="3.94"/>
    <n v="1.71"/>
    <n v="1.5049999999999999"/>
    <n v="5"/>
    <x v="1"/>
    <n v="45"/>
  </r>
  <r>
    <x v="5"/>
    <x v="199"/>
    <x v="601"/>
    <n v="550000"/>
    <x v="130"/>
    <x v="6"/>
    <x v="21"/>
    <x v="2"/>
    <x v="0"/>
    <x v="1"/>
    <s v="First            "/>
    <s v="1498 cc "/>
    <s v="99 bhp @ 3600 rpm   "/>
    <n v="99"/>
    <n v="4.4400000000000004"/>
    <n v="1.6950000000000001"/>
    <n v="1.4950000000000001"/>
    <n v="5"/>
    <x v="1"/>
    <n v="40"/>
  </r>
  <r>
    <x v="1"/>
    <x v="311"/>
    <x v="602"/>
    <n v="551000"/>
    <x v="131"/>
    <x v="15"/>
    <x v="116"/>
    <x v="0"/>
    <x v="0"/>
    <x v="0"/>
    <s v="First            "/>
    <s v="1086 cc "/>
    <s v="68 bhp @ 5500 rpm   "/>
    <n v="68"/>
    <n v="3.61"/>
    <n v="1.645"/>
    <n v="1.56"/>
    <n v="5"/>
    <x v="1"/>
    <n v="35"/>
  </r>
  <r>
    <x v="1"/>
    <x v="284"/>
    <x v="603"/>
    <n v="551000"/>
    <x v="131"/>
    <x v="13"/>
    <x v="170"/>
    <x v="2"/>
    <x v="0"/>
    <x v="0"/>
    <s v="First            "/>
    <s v="1120 cc "/>
    <s v="71 bhp @ 4000 rpm   "/>
    <n v="71"/>
    <n v="3.9950000000000001"/>
    <n v="1.66"/>
    <n v="1.52"/>
    <n v="5"/>
    <x v="1"/>
    <n v="43"/>
  </r>
  <r>
    <x v="1"/>
    <x v="285"/>
    <x v="604"/>
    <n v="551000"/>
    <x v="131"/>
    <x v="10"/>
    <x v="314"/>
    <x v="0"/>
    <x v="0"/>
    <x v="0"/>
    <s v="First            "/>
    <s v="1197 cc "/>
    <s v="82 bhp @ 6000 rpm   "/>
    <n v="82"/>
    <n v="3.9849999999999999"/>
    <n v="1.734"/>
    <n v="1.5049999999999999"/>
    <n v="5"/>
    <x v="1"/>
    <n v="45"/>
  </r>
  <r>
    <x v="4"/>
    <x v="312"/>
    <x v="605"/>
    <n v="555000"/>
    <x v="132"/>
    <x v="0"/>
    <x v="315"/>
    <x v="0"/>
    <x v="0"/>
    <x v="1"/>
    <s v="First            "/>
    <s v="1998 cc "/>
    <s v="136  bhp @5600            "/>
    <n v="136"/>
    <n v="4.5549999999999997"/>
    <n v="1.77"/>
    <n v="1.7549999999999999"/>
    <n v="8"/>
    <x v="1"/>
    <n v="55"/>
  </r>
  <r>
    <x v="0"/>
    <x v="313"/>
    <x v="606"/>
    <n v="555000"/>
    <x v="132"/>
    <x v="12"/>
    <x v="42"/>
    <x v="0"/>
    <x v="1"/>
    <x v="4"/>
    <s v="First            "/>
    <s v="1199 cc "/>
    <s v="84 bhp @ 6000 rpm   "/>
    <n v="84"/>
    <n v="3.746"/>
    <n v="1.647"/>
    <n v="1.5349999999999999"/>
    <n v="5"/>
    <x v="1"/>
    <n v="35"/>
  </r>
  <r>
    <x v="2"/>
    <x v="18"/>
    <x v="607"/>
    <n v="560000"/>
    <x v="133"/>
    <x v="8"/>
    <x v="25"/>
    <x v="2"/>
    <x v="0"/>
    <x v="5"/>
    <s v="First            "/>
    <s v="1248 cc "/>
    <s v="74 bhp @ 4000 rpm   "/>
    <n v="74"/>
    <n v="3.9950000000000001"/>
    <n v="1.6950000000000001"/>
    <n v="1.5549999999999999"/>
    <n v="5"/>
    <x v="1"/>
    <n v="42"/>
  </r>
  <r>
    <x v="2"/>
    <x v="314"/>
    <x v="608"/>
    <n v="560000"/>
    <x v="133"/>
    <x v="12"/>
    <x v="316"/>
    <x v="2"/>
    <x v="0"/>
    <x v="0"/>
    <s v="Third            "/>
    <s v="1248 cc "/>
    <s v="74 bhp @ 4000 rpm   "/>
    <n v="74"/>
    <n v="3.9950000000000001"/>
    <n v="1.7350000000000001"/>
    <n v="1.5149999999999999"/>
    <n v="5"/>
    <x v="1"/>
    <n v="37"/>
  </r>
  <r>
    <x v="1"/>
    <x v="194"/>
    <x v="609"/>
    <n v="560000"/>
    <x v="133"/>
    <x v="9"/>
    <x v="313"/>
    <x v="0"/>
    <x v="0"/>
    <x v="2"/>
    <s v="First            "/>
    <s v="1197 cc "/>
    <s v="81 bhp @ 6000 rpm   "/>
    <n v="81"/>
    <n v="3.7650000000000001"/>
    <n v="1.66"/>
    <n v="1.52"/>
    <n v="5"/>
    <x v="1"/>
    <n v="43"/>
  </r>
  <r>
    <x v="1"/>
    <x v="315"/>
    <x v="610"/>
    <n v="560000"/>
    <x v="133"/>
    <x v="11"/>
    <x v="317"/>
    <x v="0"/>
    <x v="0"/>
    <x v="4"/>
    <s v="First            "/>
    <s v="1197 cc "/>
    <s v="82 bhp @ 6000 rpm   "/>
    <n v="82"/>
    <n v="3.9950000000000001"/>
    <n v="1.76"/>
    <n v="1.5549999999999999"/>
    <n v="5"/>
    <x v="1"/>
    <n v="45"/>
  </r>
  <r>
    <x v="2"/>
    <x v="316"/>
    <x v="611"/>
    <n v="560000"/>
    <x v="133"/>
    <x v="9"/>
    <x v="318"/>
    <x v="0"/>
    <x v="1"/>
    <x v="1"/>
    <s v="First            "/>
    <s v="1197 cc "/>
    <s v="82 bhp @ 6000 rpm   "/>
    <n v="82"/>
    <n v="3.7"/>
    <n v="1.69"/>
    <n v="1.595"/>
    <n v="5"/>
    <x v="1"/>
    <n v="32"/>
  </r>
  <r>
    <x v="1"/>
    <x v="317"/>
    <x v="612"/>
    <n v="560000"/>
    <x v="133"/>
    <x v="11"/>
    <x v="319"/>
    <x v="2"/>
    <x v="0"/>
    <x v="0"/>
    <s v="First            "/>
    <s v="1396 cc "/>
    <s v="89 bhp @ 4000 rpm   "/>
    <n v="89"/>
    <n v="3.9849999999999999"/>
    <n v="1.734"/>
    <n v="1.5049999999999999"/>
    <n v="5"/>
    <x v="1"/>
    <n v="40"/>
  </r>
  <r>
    <x v="1"/>
    <x v="317"/>
    <x v="613"/>
    <n v="560000"/>
    <x v="133"/>
    <x v="11"/>
    <x v="3"/>
    <x v="2"/>
    <x v="0"/>
    <x v="0"/>
    <s v="Second           "/>
    <s v="1396 cc "/>
    <s v="89 bhp @ 4000 rpm   "/>
    <n v="89"/>
    <n v="3.9849999999999999"/>
    <n v="1.734"/>
    <n v="1.5049999999999999"/>
    <n v="5"/>
    <x v="1"/>
    <n v="40"/>
  </r>
  <r>
    <x v="2"/>
    <x v="318"/>
    <x v="614"/>
    <n v="561000"/>
    <x v="134"/>
    <x v="9"/>
    <x v="73"/>
    <x v="0"/>
    <x v="0"/>
    <x v="10"/>
    <s v="First            "/>
    <s v="1197 cc "/>
    <s v="83 bhp @ 6000 rpm   "/>
    <n v="83"/>
    <n v="3.9950000000000001"/>
    <n v="1.7450000000000001"/>
    <n v="1.5"/>
    <n v="5"/>
    <x v="1"/>
    <n v="37"/>
  </r>
  <r>
    <x v="1"/>
    <x v="319"/>
    <x v="615"/>
    <n v="561000"/>
    <x v="134"/>
    <x v="10"/>
    <x v="27"/>
    <x v="2"/>
    <x v="0"/>
    <x v="1"/>
    <s v="First            "/>
    <s v="1396 cc "/>
    <s v="89 bhp @ 4000 rpm   "/>
    <n v="89"/>
    <n v="3.9849999999999999"/>
    <n v="1.734"/>
    <n v="1.5049999999999999"/>
    <n v="5"/>
    <x v="1"/>
    <n v="45"/>
  </r>
  <r>
    <x v="1"/>
    <x v="320"/>
    <x v="616"/>
    <n v="565000"/>
    <x v="135"/>
    <x v="6"/>
    <x v="73"/>
    <x v="2"/>
    <x v="0"/>
    <x v="0"/>
    <s v="First            "/>
    <s v="1582 cc "/>
    <s v="128 bhp @ 4000 rpm  "/>
    <n v="128"/>
    <n v="4.37"/>
    <n v="1.7"/>
    <n v="1.4750000000000001"/>
    <n v="5"/>
    <x v="1"/>
    <n v="43"/>
  </r>
  <r>
    <x v="2"/>
    <x v="321"/>
    <x v="617"/>
    <n v="565000"/>
    <x v="135"/>
    <x v="14"/>
    <x v="119"/>
    <x v="0"/>
    <x v="0"/>
    <x v="0"/>
    <s v="First            "/>
    <s v="998 cc  "/>
    <s v="67 bhp @ 6000 rpm   "/>
    <n v="67"/>
    <n v="3.6949999999999998"/>
    <n v="1.6"/>
    <n v="1.56"/>
    <n v="5"/>
    <x v="1"/>
    <n v="35"/>
  </r>
  <r>
    <x v="13"/>
    <x v="153"/>
    <x v="618"/>
    <n v="565000"/>
    <x v="135"/>
    <x v="6"/>
    <x v="320"/>
    <x v="0"/>
    <x v="0"/>
    <x v="2"/>
    <s v="First            "/>
    <s v="1198 cc "/>
    <s v="74 bhp @ 5400 rpm   "/>
    <n v="74"/>
    <n v="3.97"/>
    <n v="1.6819999999999999"/>
    <n v="1.4530000000000001"/>
    <n v="5"/>
    <x v="1"/>
    <n v="45"/>
  </r>
  <r>
    <x v="1"/>
    <x v="211"/>
    <x v="619"/>
    <n v="565000"/>
    <x v="135"/>
    <x v="11"/>
    <x v="313"/>
    <x v="0"/>
    <x v="1"/>
    <x v="1"/>
    <s v="First            "/>
    <s v="1197 cc "/>
    <s v="79 bhp @ 6000 rpm   "/>
    <n v="79"/>
    <n v="3.7650000000000001"/>
    <n v="1.66"/>
    <n v="1.52"/>
    <n v="5"/>
    <x v="1"/>
    <n v="43"/>
  </r>
  <r>
    <x v="8"/>
    <x v="322"/>
    <x v="620"/>
    <n v="565000"/>
    <x v="135"/>
    <x v="9"/>
    <x v="6"/>
    <x v="2"/>
    <x v="0"/>
    <x v="4"/>
    <s v="Second           "/>
    <s v="1493 cc "/>
    <s v="84 bhp @ 3750 rpm   "/>
    <n v="84"/>
    <n v="3.9950000000000001"/>
    <n v="1.835"/>
    <n v="1.839"/>
    <n v="7"/>
    <x v="1"/>
    <n v="60"/>
  </r>
  <r>
    <x v="5"/>
    <x v="180"/>
    <x v="621"/>
    <n v="565000"/>
    <x v="135"/>
    <x v="9"/>
    <x v="114"/>
    <x v="0"/>
    <x v="0"/>
    <x v="2"/>
    <s v="First            "/>
    <s v="1199 cc "/>
    <s v="89 bhp @ 6000 rpm   "/>
    <n v="89"/>
    <n v="3.9550000000000001"/>
    <n v="1.694"/>
    <n v="1.544"/>
    <n v="5"/>
    <x v="1"/>
    <n v="40"/>
  </r>
  <r>
    <x v="1"/>
    <x v="319"/>
    <x v="622"/>
    <n v="565000"/>
    <x v="135"/>
    <x v="10"/>
    <x v="6"/>
    <x v="2"/>
    <x v="0"/>
    <x v="0"/>
    <s v="Second           "/>
    <s v="1396 cc "/>
    <s v="89 bhp @ 4000 rpm   "/>
    <n v="89"/>
    <n v="3.9849999999999999"/>
    <n v="1.734"/>
    <n v="1.5049999999999999"/>
    <n v="5"/>
    <x v="1"/>
    <n v="45"/>
  </r>
  <r>
    <x v="0"/>
    <x v="323"/>
    <x v="623"/>
    <n v="565000"/>
    <x v="135"/>
    <x v="6"/>
    <x v="321"/>
    <x v="2"/>
    <x v="0"/>
    <x v="0"/>
    <s v="First            "/>
    <s v="1948 cc "/>
    <s v="90 bhp @4300             "/>
    <n v="90"/>
    <n v="4.8099999999999996"/>
    <n v="1.9179999999999999"/>
    <n v="1.925"/>
    <n v="7"/>
    <x v="1"/>
    <n v="65"/>
  </r>
  <r>
    <x v="2"/>
    <x v="324"/>
    <x v="624"/>
    <n v="565000"/>
    <x v="135"/>
    <x v="9"/>
    <x v="23"/>
    <x v="0"/>
    <x v="0"/>
    <x v="10"/>
    <s v="First            "/>
    <s v="1373 cc "/>
    <s v="91 bhp @ 6000 rpm   "/>
    <n v="91"/>
    <n v="4.49"/>
    <n v="1.73"/>
    <n v="1.4850000000000001"/>
    <n v="5"/>
    <x v="1"/>
    <n v="43"/>
  </r>
  <r>
    <x v="2"/>
    <x v="222"/>
    <x v="625"/>
    <n v="569000"/>
    <x v="136"/>
    <x v="11"/>
    <x v="322"/>
    <x v="0"/>
    <x v="1"/>
    <x v="4"/>
    <s v="First            "/>
    <s v="998 cc  "/>
    <s v="67 bhp @ 6000 rpm   "/>
    <n v="67"/>
    <n v="3.6949999999999998"/>
    <n v="1.6"/>
    <n v="1.56"/>
    <n v="5"/>
    <x v="1"/>
    <n v="35"/>
  </r>
  <r>
    <x v="1"/>
    <x v="170"/>
    <x v="626"/>
    <n v="569000"/>
    <x v="136"/>
    <x v="12"/>
    <x v="323"/>
    <x v="0"/>
    <x v="0"/>
    <x v="2"/>
    <s v="First            "/>
    <s v="1197 cc "/>
    <s v="81 bhp @ 6000 rpm   "/>
    <n v="81"/>
    <n v="3.7650000000000001"/>
    <n v="1.66"/>
    <n v="1.52"/>
    <n v="5"/>
    <x v="1"/>
    <n v="43"/>
  </r>
  <r>
    <x v="2"/>
    <x v="227"/>
    <x v="627"/>
    <n v="570000"/>
    <x v="137"/>
    <x v="13"/>
    <x v="324"/>
    <x v="0"/>
    <x v="0"/>
    <x v="1"/>
    <s v="First            "/>
    <s v="1197 cc "/>
    <s v="83 bhp @ 6000 rpm   "/>
    <n v="83"/>
    <n v="3.85"/>
    <n v="1.6950000000000001"/>
    <n v="1.53"/>
    <n v="5"/>
    <x v="1"/>
    <n v="42"/>
  </r>
  <r>
    <x v="2"/>
    <x v="325"/>
    <x v="628"/>
    <n v="570000"/>
    <x v="137"/>
    <x v="9"/>
    <x v="318"/>
    <x v="0"/>
    <x v="1"/>
    <x v="0"/>
    <s v="First            "/>
    <s v="1197 cc "/>
    <s v="83 bhp @ 6000 rpm   "/>
    <n v="83"/>
    <n v="3.9950000000000001"/>
    <n v="1.7450000000000001"/>
    <n v="1.5"/>
    <n v="5"/>
    <x v="1"/>
    <n v="37"/>
  </r>
  <r>
    <x v="5"/>
    <x v="326"/>
    <x v="629"/>
    <n v="570000"/>
    <x v="137"/>
    <x v="9"/>
    <x v="325"/>
    <x v="0"/>
    <x v="0"/>
    <x v="10"/>
    <s v="First            "/>
    <s v="1199 cc "/>
    <s v="89 bhp @ 6000 rpm   "/>
    <n v="89"/>
    <n v="3.9550000000000001"/>
    <n v="1.694"/>
    <n v="1.544"/>
    <n v="5"/>
    <x v="1"/>
    <n v="40"/>
  </r>
  <r>
    <x v="2"/>
    <x v="327"/>
    <x v="630"/>
    <n v="570000"/>
    <x v="137"/>
    <x v="10"/>
    <x v="326"/>
    <x v="0"/>
    <x v="0"/>
    <x v="0"/>
    <s v="First            "/>
    <s v="1373 cc "/>
    <s v="91 bhp @ 6000 rpm   "/>
    <n v="91"/>
    <n v="4.49"/>
    <n v="1.73"/>
    <n v="1.4850000000000001"/>
    <n v="5"/>
    <x v="1"/>
    <n v="43"/>
  </r>
  <r>
    <x v="3"/>
    <x v="328"/>
    <x v="631"/>
    <n v="570000"/>
    <x v="137"/>
    <x v="11"/>
    <x v="3"/>
    <x v="2"/>
    <x v="0"/>
    <x v="8"/>
    <s v="First            "/>
    <s v="1498 cc "/>
    <s v="99 bhp @ 3750 rpm   "/>
    <n v="99"/>
    <n v="3.9990000000000001"/>
    <n v="1.7649999999999999"/>
    <n v="1.708"/>
    <n v="5"/>
    <x v="1"/>
    <n v="52"/>
  </r>
  <r>
    <x v="13"/>
    <x v="329"/>
    <x v="632"/>
    <n v="575000"/>
    <x v="138"/>
    <x v="9"/>
    <x v="327"/>
    <x v="2"/>
    <x v="0"/>
    <x v="0"/>
    <s v="Second           "/>
    <s v="1498 cc "/>
    <s v="109 bhp @ 4000 rpm  "/>
    <n v="109"/>
    <n v="3.9950000000000001"/>
    <n v="1.6819999999999999"/>
    <n v="1.4830000000000001"/>
    <n v="5"/>
    <x v="1"/>
    <n v="45"/>
  </r>
  <r>
    <x v="4"/>
    <x v="330"/>
    <x v="633"/>
    <n v="575000"/>
    <x v="138"/>
    <x v="8"/>
    <x v="58"/>
    <x v="0"/>
    <x v="0"/>
    <x v="5"/>
    <s v="UnRegistered Car "/>
    <s v="1998 cc "/>
    <s v="136  bhp @5600            "/>
    <n v="136"/>
    <n v="4.5549999999999997"/>
    <n v="1.77"/>
    <n v="1.7549999999999999"/>
    <n v="8"/>
    <x v="1"/>
    <n v="55"/>
  </r>
  <r>
    <x v="0"/>
    <x v="149"/>
    <x v="634"/>
    <n v="575000"/>
    <x v="138"/>
    <x v="8"/>
    <x v="8"/>
    <x v="2"/>
    <x v="0"/>
    <x v="0"/>
    <s v="Second           "/>
    <s v="2179 cc "/>
    <s v="138 bhp @ 4000 rpm  "/>
    <n v="138"/>
    <n v="4.6550000000000002"/>
    <n v="1.9650000000000001"/>
    <n v="1.9219999999999999"/>
    <n v="7"/>
    <x v="1"/>
    <n v="55"/>
  </r>
  <r>
    <x v="2"/>
    <x v="276"/>
    <x v="635"/>
    <n v="575000"/>
    <x v="138"/>
    <x v="13"/>
    <x v="106"/>
    <x v="3"/>
    <x v="0"/>
    <x v="2"/>
    <s v="First            "/>
    <s v="998 cc  "/>
    <s v="58 bhp @ 5500 rpm   "/>
    <n v="58"/>
    <n v="3.6549999999999998"/>
    <n v="1.62"/>
    <n v="1.675"/>
    <n v="5"/>
    <x v="1"/>
    <n v="60"/>
  </r>
  <r>
    <x v="2"/>
    <x v="331"/>
    <x v="636"/>
    <n v="575000"/>
    <x v="138"/>
    <x v="12"/>
    <x v="328"/>
    <x v="0"/>
    <x v="1"/>
    <x v="9"/>
    <s v="First            "/>
    <s v="998 cc  "/>
    <s v="67 bhp @ 6000 rpm   "/>
    <n v="67"/>
    <n v="3.6"/>
    <n v="1.6"/>
    <n v="1.56"/>
    <n v="5"/>
    <x v="1"/>
    <n v="35"/>
  </r>
  <r>
    <x v="2"/>
    <x v="307"/>
    <x v="637"/>
    <n v="575000"/>
    <x v="138"/>
    <x v="11"/>
    <x v="11"/>
    <x v="2"/>
    <x v="0"/>
    <x v="7"/>
    <s v="First            "/>
    <s v="1248 cc "/>
    <s v="74 bhp @ 4000 rpm   "/>
    <n v="74"/>
    <n v="3.9950000000000001"/>
    <n v="1.7450000000000001"/>
    <n v="1.5"/>
    <n v="5"/>
    <x v="1"/>
    <n v="37"/>
  </r>
  <r>
    <x v="2"/>
    <x v="18"/>
    <x v="638"/>
    <n v="575000"/>
    <x v="138"/>
    <x v="9"/>
    <x v="56"/>
    <x v="2"/>
    <x v="0"/>
    <x v="0"/>
    <s v="First            "/>
    <s v="1248 cc "/>
    <s v="74 bhp @ 4000 rpm   "/>
    <n v="74"/>
    <n v="3.9950000000000001"/>
    <n v="1.6950000000000001"/>
    <n v="1.5549999999999999"/>
    <n v="5"/>
    <x v="1"/>
    <n v="42"/>
  </r>
  <r>
    <x v="1"/>
    <x v="286"/>
    <x v="639"/>
    <n v="575000"/>
    <x v="138"/>
    <x v="10"/>
    <x v="44"/>
    <x v="0"/>
    <x v="0"/>
    <x v="0"/>
    <s v="First            "/>
    <s v="1197 cc "/>
    <s v="82 bhp @ 6000 rpm   "/>
    <n v="82"/>
    <n v="3.9849999999999999"/>
    <n v="1.734"/>
    <n v="1.5049999999999999"/>
    <n v="5"/>
    <x v="1"/>
    <n v="45"/>
  </r>
  <r>
    <x v="12"/>
    <x v="332"/>
    <x v="640"/>
    <n v="575000"/>
    <x v="138"/>
    <x v="10"/>
    <x v="21"/>
    <x v="2"/>
    <x v="0"/>
    <x v="0"/>
    <s v="First            "/>
    <s v="1461 cc "/>
    <s v="84 bhp @ 3750 rpm   "/>
    <n v="84"/>
    <n v="4.3310000000000004"/>
    <n v="1.8220000000000001"/>
    <n v="1.671"/>
    <n v="5"/>
    <x v="1"/>
    <n v="50"/>
  </r>
  <r>
    <x v="2"/>
    <x v="234"/>
    <x v="641"/>
    <n v="575000"/>
    <x v="138"/>
    <x v="10"/>
    <x v="329"/>
    <x v="0"/>
    <x v="0"/>
    <x v="0"/>
    <s v="Second           "/>
    <s v="1197 cc "/>
    <s v="85 bhp @ 6000 rpm   "/>
    <n v="85"/>
    <n v="3.85"/>
    <n v="1.6950000000000001"/>
    <n v="1.53"/>
    <n v="5"/>
    <x v="1"/>
    <n v="42"/>
  </r>
  <r>
    <x v="0"/>
    <x v="333"/>
    <x v="642"/>
    <n v="575000"/>
    <x v="138"/>
    <x v="14"/>
    <x v="122"/>
    <x v="0"/>
    <x v="0"/>
    <x v="0"/>
    <s v="First            "/>
    <s v="1199 cc "/>
    <s v="85 bhp @ 6000 rpm   "/>
    <n v="85"/>
    <n v="3.99"/>
    <n v="1.7549999999999999"/>
    <n v="1.5229999999999999"/>
    <n v="5"/>
    <x v="1"/>
    <n v="37"/>
  </r>
  <r>
    <x v="5"/>
    <x v="334"/>
    <x v="643"/>
    <n v="575000"/>
    <x v="138"/>
    <x v="9"/>
    <x v="330"/>
    <x v="0"/>
    <x v="0"/>
    <x v="5"/>
    <s v="First            "/>
    <s v="1199 cc "/>
    <s v="89 bhp @ 6000 rpm   "/>
    <n v="89"/>
    <n v="3.9990000000000001"/>
    <n v="1.734"/>
    <n v="1.601"/>
    <n v="5"/>
    <x v="1"/>
    <n v="40"/>
  </r>
  <r>
    <x v="1"/>
    <x v="335"/>
    <x v="644"/>
    <n v="575000"/>
    <x v="138"/>
    <x v="11"/>
    <x v="194"/>
    <x v="2"/>
    <x v="0"/>
    <x v="1"/>
    <s v="First            "/>
    <s v="1396 cc "/>
    <s v="89 bhp @ 4000 rpm   "/>
    <n v="89"/>
    <n v="3.9849999999999999"/>
    <n v="1.734"/>
    <n v="1.5049999999999999"/>
    <n v="5"/>
    <x v="1"/>
    <n v="45"/>
  </r>
  <r>
    <x v="2"/>
    <x v="273"/>
    <x v="645"/>
    <n v="575000"/>
    <x v="138"/>
    <x v="10"/>
    <x v="22"/>
    <x v="0"/>
    <x v="0"/>
    <x v="4"/>
    <s v="First            "/>
    <s v="1373 cc "/>
    <s v="91 bhp @ 6000 rpm   "/>
    <n v="91"/>
    <n v="4.49"/>
    <n v="1.73"/>
    <n v="1.4850000000000001"/>
    <n v="5"/>
    <x v="1"/>
    <n v="43"/>
  </r>
  <r>
    <x v="3"/>
    <x v="336"/>
    <x v="646"/>
    <n v="575000"/>
    <x v="138"/>
    <x v="13"/>
    <x v="331"/>
    <x v="2"/>
    <x v="0"/>
    <x v="0"/>
    <s v="First            "/>
    <s v="1498 cc "/>
    <s v="99 bhp @ 3750 rpm   "/>
    <n v="99"/>
    <n v="3.8860000000000001"/>
    <n v="1.6950000000000001"/>
    <n v="1.5249999999999999"/>
    <n v="5"/>
    <x v="1"/>
    <n v="40"/>
  </r>
  <r>
    <x v="2"/>
    <x v="310"/>
    <x v="647"/>
    <n v="579000"/>
    <x v="139"/>
    <x v="13"/>
    <x v="332"/>
    <x v="0"/>
    <x v="0"/>
    <x v="2"/>
    <s v="First            "/>
    <s v="1197 cc "/>
    <s v="82 bhp @ 6000 rpm   "/>
    <n v="82"/>
    <n v="3.6549999999999998"/>
    <n v="1.62"/>
    <n v="1.675"/>
    <n v="5"/>
    <x v="1"/>
    <n v="32"/>
  </r>
  <r>
    <x v="0"/>
    <x v="337"/>
    <x v="648"/>
    <n v="580000"/>
    <x v="140"/>
    <x v="12"/>
    <x v="187"/>
    <x v="0"/>
    <x v="1"/>
    <x v="4"/>
    <s v="First            "/>
    <s v="1198 cc "/>
    <s v="108 bhp @ 5000 rpm  "/>
    <n v="108"/>
    <n v="3.9940000000000002"/>
    <n v="1.8109999999999999"/>
    <n v="1.607"/>
    <n v="5"/>
    <x v="1"/>
    <n v="44"/>
  </r>
  <r>
    <x v="8"/>
    <x v="338"/>
    <x v="649"/>
    <n v="580000"/>
    <x v="140"/>
    <x v="4"/>
    <x v="227"/>
    <x v="2"/>
    <x v="0"/>
    <x v="0"/>
    <s v="Second           "/>
    <s v="2179 cc "/>
    <s v="122 bhp @4000            "/>
    <n v="122"/>
    <n v="4.43"/>
    <n v="1.8169999999999999"/>
    <n v="1.9750000000000001"/>
    <n v="7"/>
    <x v="1"/>
    <n v="60"/>
  </r>
  <r>
    <x v="2"/>
    <x v="339"/>
    <x v="650"/>
    <n v="580000"/>
    <x v="140"/>
    <x v="12"/>
    <x v="333"/>
    <x v="2"/>
    <x v="0"/>
    <x v="7"/>
    <s v="First            "/>
    <s v="1248 cc "/>
    <s v="74 bhp @ 4000 rpm   "/>
    <n v="74"/>
    <n v="3.84"/>
    <n v="1.7350000000000001"/>
    <n v="1.53"/>
    <n v="5"/>
    <x v="1"/>
    <n v="37"/>
  </r>
  <r>
    <x v="2"/>
    <x v="226"/>
    <x v="651"/>
    <n v="580000"/>
    <x v="140"/>
    <x v="13"/>
    <x v="334"/>
    <x v="0"/>
    <x v="0"/>
    <x v="2"/>
    <s v="First            "/>
    <s v="1197 cc "/>
    <s v="83 bhp @ 6000 rpm   "/>
    <n v="83"/>
    <n v="3.85"/>
    <n v="1.6950000000000001"/>
    <n v="1.53"/>
    <n v="5"/>
    <x v="1"/>
    <n v="42"/>
  </r>
  <r>
    <x v="5"/>
    <x v="334"/>
    <x v="652"/>
    <n v="580000"/>
    <x v="140"/>
    <x v="9"/>
    <x v="170"/>
    <x v="0"/>
    <x v="0"/>
    <x v="0"/>
    <s v="First            "/>
    <s v="1199 cc "/>
    <s v="89 bhp @ 6000 rpm   "/>
    <n v="89"/>
    <n v="3.9990000000000001"/>
    <n v="1.734"/>
    <n v="1.601"/>
    <n v="5"/>
    <x v="1"/>
    <n v="40"/>
  </r>
  <r>
    <x v="1"/>
    <x v="340"/>
    <x v="653"/>
    <n v="585000"/>
    <x v="141"/>
    <x v="9"/>
    <x v="119"/>
    <x v="0"/>
    <x v="0"/>
    <x v="2"/>
    <s v="First            "/>
    <s v="1197 cc "/>
    <s v="82 bhp @ 6000 rpm   "/>
    <n v="82"/>
    <n v="3.9849999999999999"/>
    <n v="1.734"/>
    <n v="1.5049999999999999"/>
    <n v="5"/>
    <x v="1"/>
    <n v="45"/>
  </r>
  <r>
    <x v="0"/>
    <x v="254"/>
    <x v="654"/>
    <n v="585000"/>
    <x v="141"/>
    <x v="13"/>
    <x v="335"/>
    <x v="0"/>
    <x v="1"/>
    <x v="1"/>
    <s v="First            "/>
    <s v="1199 cc "/>
    <s v="84 bhp @ 6000 rpm   "/>
    <n v="84"/>
    <n v="3.746"/>
    <n v="1.647"/>
    <n v="1.5349999999999999"/>
    <n v="5"/>
    <x v="1"/>
    <n v="35"/>
  </r>
  <r>
    <x v="5"/>
    <x v="326"/>
    <x v="655"/>
    <n v="585000"/>
    <x v="141"/>
    <x v="9"/>
    <x v="336"/>
    <x v="0"/>
    <x v="0"/>
    <x v="1"/>
    <s v="First            "/>
    <s v="1199 cc "/>
    <s v="89 bhp @ 6000 rpm   "/>
    <n v="89"/>
    <n v="3.9550000000000001"/>
    <n v="1.694"/>
    <n v="1.544"/>
    <n v="5"/>
    <x v="1"/>
    <n v="40"/>
  </r>
  <r>
    <x v="2"/>
    <x v="341"/>
    <x v="656"/>
    <n v="585000"/>
    <x v="141"/>
    <x v="12"/>
    <x v="106"/>
    <x v="0"/>
    <x v="0"/>
    <x v="10"/>
    <s v="First            "/>
    <s v="1373 cc "/>
    <s v="91 bhp @ 6000 rpm   "/>
    <n v="91"/>
    <n v="4.49"/>
    <n v="1.73"/>
    <n v="1.4850000000000001"/>
    <n v="5"/>
    <x v="1"/>
    <n v="43"/>
  </r>
  <r>
    <x v="5"/>
    <x v="72"/>
    <x v="657"/>
    <n v="585000"/>
    <x v="141"/>
    <x v="10"/>
    <x v="27"/>
    <x v="2"/>
    <x v="0"/>
    <x v="2"/>
    <s v="First            "/>
    <s v="1498 cc "/>
    <s v="99 bhp @ 3600 rpm   "/>
    <n v="99"/>
    <n v="4.4400000000000004"/>
    <n v="1.6950000000000001"/>
    <n v="1.4950000000000001"/>
    <n v="5"/>
    <x v="1"/>
    <n v="40"/>
  </r>
  <r>
    <x v="3"/>
    <x v="215"/>
    <x v="658"/>
    <n v="585000"/>
    <x v="141"/>
    <x v="11"/>
    <x v="337"/>
    <x v="2"/>
    <x v="0"/>
    <x v="1"/>
    <s v="First            "/>
    <s v="1498 cc "/>
    <s v="99 bhp @ 3750 rpm   "/>
    <n v="99"/>
    <n v="3.9980000000000002"/>
    <n v="1.7649999999999999"/>
    <n v="1.647"/>
    <n v="5"/>
    <x v="1"/>
    <n v="52"/>
  </r>
  <r>
    <x v="1"/>
    <x v="205"/>
    <x v="659"/>
    <n v="589000"/>
    <x v="142"/>
    <x v="12"/>
    <x v="338"/>
    <x v="0"/>
    <x v="1"/>
    <x v="0"/>
    <s v="First            "/>
    <s v="1086 cc "/>
    <s v="68 bhp @ 5500 rpm   "/>
    <n v="68"/>
    <n v="3.61"/>
    <n v="1.645"/>
    <n v="1.56"/>
    <n v="5"/>
    <x v="1"/>
    <n v="35"/>
  </r>
  <r>
    <x v="5"/>
    <x v="342"/>
    <x v="660"/>
    <n v="590000"/>
    <x v="143"/>
    <x v="10"/>
    <x v="339"/>
    <x v="0"/>
    <x v="1"/>
    <x v="10"/>
    <s v="First            "/>
    <s v="1497 cc "/>
    <s v="117 bhp @ 6600 rpm  "/>
    <n v="117"/>
    <n v="4.4400000000000004"/>
    <n v="1.6950000000000001"/>
    <n v="1.4950000000000001"/>
    <n v="5"/>
    <x v="1"/>
    <n v="40"/>
  </r>
  <r>
    <x v="5"/>
    <x v="342"/>
    <x v="661"/>
    <n v="590000"/>
    <x v="143"/>
    <x v="10"/>
    <x v="340"/>
    <x v="0"/>
    <x v="1"/>
    <x v="0"/>
    <s v="First            "/>
    <s v="1497 cc "/>
    <s v="117 bhp @ 6600 rpm  "/>
    <n v="117"/>
    <n v="4.4400000000000004"/>
    <n v="1.6950000000000001"/>
    <n v="1.4950000000000001"/>
    <n v="5"/>
    <x v="1"/>
    <n v="40"/>
  </r>
  <r>
    <x v="2"/>
    <x v="343"/>
    <x v="662"/>
    <n v="590000"/>
    <x v="143"/>
    <x v="11"/>
    <x v="82"/>
    <x v="2"/>
    <x v="0"/>
    <x v="1"/>
    <s v="First            "/>
    <s v="1598 cc "/>
    <s v="118 bhp @ 3750 rpm  "/>
    <n v="118"/>
    <n v="4.3"/>
    <n v="1.7649999999999999"/>
    <n v="1.59"/>
    <n v="5"/>
    <x v="1"/>
    <n v="48"/>
  </r>
  <r>
    <x v="2"/>
    <x v="344"/>
    <x v="663"/>
    <n v="590000"/>
    <x v="143"/>
    <x v="15"/>
    <x v="341"/>
    <x v="3"/>
    <x v="0"/>
    <x v="0"/>
    <s v="First            "/>
    <s v="1196 cc "/>
    <s v="73 bhp @ 6000 rpm   "/>
    <n v="73"/>
    <n v="3.6749999999999998"/>
    <n v="1.4750000000000001"/>
    <n v="1.8"/>
    <n v="5"/>
    <x v="1"/>
    <n v="40"/>
  </r>
  <r>
    <x v="2"/>
    <x v="345"/>
    <x v="664"/>
    <n v="590000"/>
    <x v="143"/>
    <x v="12"/>
    <x v="342"/>
    <x v="2"/>
    <x v="0"/>
    <x v="2"/>
    <s v="First            "/>
    <s v="1248 cc "/>
    <s v="74 bhp @ 4000 rpm   "/>
    <n v="74"/>
    <n v="3.9950000000000001"/>
    <n v="1.7350000000000001"/>
    <n v="1.5149999999999999"/>
    <n v="5"/>
    <x v="1"/>
    <n v="37"/>
  </r>
  <r>
    <x v="2"/>
    <x v="85"/>
    <x v="665"/>
    <n v="590000"/>
    <x v="143"/>
    <x v="6"/>
    <x v="90"/>
    <x v="2"/>
    <x v="0"/>
    <x v="0"/>
    <s v="First            "/>
    <s v="1248 cc "/>
    <s v="74 bhp @ 4000 rpm   "/>
    <n v="74"/>
    <n v="3.85"/>
    <n v="1.6950000000000001"/>
    <n v="1.53"/>
    <n v="5"/>
    <x v="1"/>
    <n v="42"/>
  </r>
  <r>
    <x v="1"/>
    <x v="346"/>
    <x v="666"/>
    <n v="590000"/>
    <x v="143"/>
    <x v="14"/>
    <x v="110"/>
    <x v="0"/>
    <x v="0"/>
    <x v="0"/>
    <s v="First            "/>
    <s v="1197 cc "/>
    <s v="82 bhp @ 6000 rpm   "/>
    <n v="82"/>
    <n v="3.8050000000000002"/>
    <n v="1.68"/>
    <n v="1.52"/>
    <n v="5"/>
    <x v="1"/>
    <n v="37"/>
  </r>
  <r>
    <x v="2"/>
    <x v="226"/>
    <x v="667"/>
    <n v="590000"/>
    <x v="143"/>
    <x v="13"/>
    <x v="50"/>
    <x v="0"/>
    <x v="0"/>
    <x v="7"/>
    <s v="First            "/>
    <s v="1197 cc "/>
    <s v="83 bhp @ 6000 rpm   "/>
    <n v="83"/>
    <n v="3.85"/>
    <n v="1.6950000000000001"/>
    <n v="1.53"/>
    <n v="5"/>
    <x v="1"/>
    <n v="42"/>
  </r>
  <r>
    <x v="12"/>
    <x v="166"/>
    <x v="668"/>
    <n v="590000"/>
    <x v="143"/>
    <x v="6"/>
    <x v="17"/>
    <x v="2"/>
    <x v="0"/>
    <x v="2"/>
    <s v="Second           "/>
    <s v="1461 cc "/>
    <s v="84 bhp @ 3750 rpm   "/>
    <n v="84"/>
    <n v="4.3310000000000004"/>
    <n v="1.8220000000000001"/>
    <n v="1.671"/>
    <n v="5"/>
    <x v="1"/>
    <n v="50"/>
  </r>
  <r>
    <x v="2"/>
    <x v="273"/>
    <x v="669"/>
    <n v="590000"/>
    <x v="143"/>
    <x v="10"/>
    <x v="170"/>
    <x v="0"/>
    <x v="0"/>
    <x v="0"/>
    <s v="First            "/>
    <s v="1373 cc "/>
    <s v="91 bhp @ 6000 rpm   "/>
    <n v="91"/>
    <n v="4.49"/>
    <n v="1.73"/>
    <n v="1.4850000000000001"/>
    <n v="5"/>
    <x v="1"/>
    <n v="43"/>
  </r>
  <r>
    <x v="1"/>
    <x v="347"/>
    <x v="670"/>
    <n v="591000"/>
    <x v="144"/>
    <x v="9"/>
    <x v="343"/>
    <x v="0"/>
    <x v="0"/>
    <x v="4"/>
    <s v="First            "/>
    <s v="1197 cc "/>
    <s v="82 bhp @ 6000 rpm   "/>
    <n v="82"/>
    <n v="3.9849999999999999"/>
    <n v="1.734"/>
    <n v="1.5049999999999999"/>
    <n v="5"/>
    <x v="1"/>
    <n v="45"/>
  </r>
  <r>
    <x v="2"/>
    <x v="348"/>
    <x v="671"/>
    <n v="591000"/>
    <x v="144"/>
    <x v="10"/>
    <x v="6"/>
    <x v="2"/>
    <x v="0"/>
    <x v="0"/>
    <s v="First            "/>
    <s v="1248 cc "/>
    <s v="89 bhp @ 4000 rpm   "/>
    <n v="89"/>
    <n v="4.49"/>
    <n v="1.73"/>
    <n v="1.4850000000000001"/>
    <n v="5"/>
    <x v="1"/>
    <n v="43"/>
  </r>
  <r>
    <x v="5"/>
    <x v="349"/>
    <x v="672"/>
    <n v="595000"/>
    <x v="145"/>
    <x v="10"/>
    <x v="8"/>
    <x v="0"/>
    <x v="0"/>
    <x v="10"/>
    <s v="First            "/>
    <s v="1497 cc "/>
    <s v="117 bhp @ 6600 rpm  "/>
    <n v="117"/>
    <n v="4.4400000000000004"/>
    <n v="1.6950000000000001"/>
    <n v="1.4950000000000001"/>
    <n v="5"/>
    <x v="1"/>
    <n v="40"/>
  </r>
  <r>
    <x v="1"/>
    <x v="50"/>
    <x v="673"/>
    <n v="595000"/>
    <x v="145"/>
    <x v="6"/>
    <x v="344"/>
    <x v="2"/>
    <x v="0"/>
    <x v="8"/>
    <s v="First            "/>
    <s v="1582 cc "/>
    <s v="126 bhp @ 4000 rpm  "/>
    <n v="126"/>
    <n v="4.37"/>
    <n v="1.7"/>
    <n v="1.4750000000000001"/>
    <n v="5"/>
    <x v="1"/>
    <n v="43"/>
  </r>
  <r>
    <x v="1"/>
    <x v="194"/>
    <x v="674"/>
    <n v="595000"/>
    <x v="145"/>
    <x v="13"/>
    <x v="71"/>
    <x v="0"/>
    <x v="0"/>
    <x v="1"/>
    <s v="First            "/>
    <s v="1197 cc "/>
    <s v="81 bhp @ 6000 rpm   "/>
    <n v="81"/>
    <n v="3.7650000000000001"/>
    <n v="1.66"/>
    <n v="1.52"/>
    <n v="5"/>
    <x v="1"/>
    <n v="43"/>
  </r>
  <r>
    <x v="1"/>
    <x v="350"/>
    <x v="675"/>
    <n v="595000"/>
    <x v="145"/>
    <x v="13"/>
    <x v="22"/>
    <x v="0"/>
    <x v="0"/>
    <x v="0"/>
    <s v="First            "/>
    <s v="1197 cc "/>
    <s v="82 bhp @ 6000 rpm   "/>
    <n v="82"/>
    <n v="3.9849999999999999"/>
    <n v="1.734"/>
    <n v="1.5049999999999999"/>
    <n v="5"/>
    <x v="1"/>
    <n v="40"/>
  </r>
  <r>
    <x v="1"/>
    <x v="315"/>
    <x v="676"/>
    <n v="595000"/>
    <x v="145"/>
    <x v="10"/>
    <x v="114"/>
    <x v="0"/>
    <x v="0"/>
    <x v="0"/>
    <s v="First            "/>
    <s v="1197 cc "/>
    <s v="82 bhp @ 6000 rpm   "/>
    <n v="82"/>
    <n v="3.9950000000000001"/>
    <n v="1.76"/>
    <n v="1.5549999999999999"/>
    <n v="5"/>
    <x v="1"/>
    <n v="45"/>
  </r>
  <r>
    <x v="2"/>
    <x v="351"/>
    <x v="677"/>
    <n v="595000"/>
    <x v="145"/>
    <x v="9"/>
    <x v="56"/>
    <x v="0"/>
    <x v="1"/>
    <x v="7"/>
    <s v="Third            "/>
    <s v="1197 cc "/>
    <s v="83 bhp @ 6000 rpm   "/>
    <n v="83"/>
    <n v="3.9950000000000001"/>
    <n v="1.7450000000000001"/>
    <n v="1.5"/>
    <n v="5"/>
    <x v="1"/>
    <n v="37"/>
  </r>
  <r>
    <x v="2"/>
    <x v="100"/>
    <x v="678"/>
    <n v="595000"/>
    <x v="145"/>
    <x v="11"/>
    <x v="345"/>
    <x v="0"/>
    <x v="0"/>
    <x v="2"/>
    <s v="First            "/>
    <s v="1197 cc "/>
    <s v="83 bhp @ 6000 rpm   "/>
    <n v="83"/>
    <n v="3.85"/>
    <n v="1.6950000000000001"/>
    <n v="1.53"/>
    <n v="5"/>
    <x v="1"/>
    <n v="42"/>
  </r>
  <r>
    <x v="2"/>
    <x v="352"/>
    <x v="679"/>
    <n v="595000"/>
    <x v="145"/>
    <x v="9"/>
    <x v="346"/>
    <x v="0"/>
    <x v="1"/>
    <x v="1"/>
    <s v="First            "/>
    <s v="1197 cc "/>
    <s v="83 bhp @ 6000 rpm   "/>
    <n v="83"/>
    <n v="3.9950000000000001"/>
    <n v="1.6950000000000001"/>
    <n v="1.5549999999999999"/>
    <n v="5"/>
    <x v="1"/>
    <n v="42"/>
  </r>
  <r>
    <x v="5"/>
    <x v="301"/>
    <x v="680"/>
    <n v="595000"/>
    <x v="145"/>
    <x v="9"/>
    <x v="96"/>
    <x v="0"/>
    <x v="1"/>
    <x v="10"/>
    <s v="First            "/>
    <s v="1199 cc "/>
    <s v="89 bhp @ 6000 rpm   "/>
    <n v="89"/>
    <n v="3.9550000000000001"/>
    <n v="1.694"/>
    <n v="1.544"/>
    <n v="5"/>
    <x v="1"/>
    <n v="40"/>
  </r>
  <r>
    <x v="5"/>
    <x v="301"/>
    <x v="681"/>
    <n v="595000"/>
    <x v="145"/>
    <x v="11"/>
    <x v="3"/>
    <x v="0"/>
    <x v="1"/>
    <x v="2"/>
    <s v="First            "/>
    <s v="1199 cc "/>
    <s v="89 bhp @ 6000 rpm   "/>
    <n v="89"/>
    <n v="3.9550000000000001"/>
    <n v="1.694"/>
    <n v="1.544"/>
    <n v="5"/>
    <x v="1"/>
    <n v="40"/>
  </r>
  <r>
    <x v="3"/>
    <x v="292"/>
    <x v="682"/>
    <n v="595000"/>
    <x v="145"/>
    <x v="10"/>
    <x v="195"/>
    <x v="2"/>
    <x v="0"/>
    <x v="1"/>
    <s v="First            "/>
    <s v="1498 cc "/>
    <s v="89 bhp @ 3750 rpm   "/>
    <n v="89"/>
    <n v="3.9990000000000001"/>
    <n v="1.7649999999999999"/>
    <n v="1.708"/>
    <n v="5"/>
    <x v="1"/>
    <n v="52"/>
  </r>
  <r>
    <x v="1"/>
    <x v="353"/>
    <x v="683"/>
    <n v="598000"/>
    <x v="146"/>
    <x v="10"/>
    <x v="347"/>
    <x v="0"/>
    <x v="1"/>
    <x v="1"/>
    <s v="First            "/>
    <s v="1591 cc "/>
    <s v="121 bhp @ 6300 rpm  "/>
    <n v="121"/>
    <n v="4.37"/>
    <n v="1.7"/>
    <n v="1.4750000000000001"/>
    <n v="5"/>
    <x v="1"/>
    <n v="43"/>
  </r>
  <r>
    <x v="1"/>
    <x v="354"/>
    <x v="684"/>
    <n v="599000"/>
    <x v="147"/>
    <x v="14"/>
    <x v="56"/>
    <x v="0"/>
    <x v="1"/>
    <x v="1"/>
    <s v="First            "/>
    <s v="1197 cc "/>
    <s v="82 bhp @ 6000 rpm   "/>
    <n v="82"/>
    <n v="3.8050000000000002"/>
    <n v="1.68"/>
    <n v="1.52"/>
    <n v="5"/>
    <x v="1"/>
    <n v="37"/>
  </r>
  <r>
    <x v="2"/>
    <x v="197"/>
    <x v="685"/>
    <n v="599000"/>
    <x v="147"/>
    <x v="10"/>
    <x v="8"/>
    <x v="2"/>
    <x v="0"/>
    <x v="1"/>
    <s v="First            "/>
    <s v="1248 cc "/>
    <s v="89 bhp @ 4000 rpm   "/>
    <n v="89"/>
    <n v="4.2649999999999997"/>
    <n v="1.6950000000000001"/>
    <n v="1.6850000000000001"/>
    <n v="7"/>
    <x v="1"/>
    <n v="45"/>
  </r>
  <r>
    <x v="11"/>
    <x v="355"/>
    <x v="686"/>
    <n v="600000"/>
    <x v="148"/>
    <x v="9"/>
    <x v="22"/>
    <x v="0"/>
    <x v="0"/>
    <x v="8"/>
    <s v="First            "/>
    <s v="1498 cc "/>
    <s v="105 bhp @ 5600 rpm  "/>
    <n v="105"/>
    <n v="4.3150000000000004"/>
    <n v="1.8220000000000001"/>
    <n v="1.6950000000000001"/>
    <n v="5"/>
    <x v="1"/>
    <n v="50"/>
  </r>
  <r>
    <x v="5"/>
    <x v="246"/>
    <x v="687"/>
    <n v="600000"/>
    <x v="148"/>
    <x v="6"/>
    <x v="348"/>
    <x v="0"/>
    <x v="0"/>
    <x v="14"/>
    <s v="Second           "/>
    <s v="1497 cc "/>
    <s v="117 bhp @ 6600 rpm  "/>
    <n v="117"/>
    <n v="4.4400000000000004"/>
    <n v="1.6950000000000001"/>
    <n v="1.4950000000000001"/>
    <n v="5"/>
    <x v="1"/>
    <n v="40"/>
  </r>
  <r>
    <x v="8"/>
    <x v="356"/>
    <x v="688"/>
    <n v="600000"/>
    <x v="148"/>
    <x v="6"/>
    <x v="92"/>
    <x v="2"/>
    <x v="0"/>
    <x v="0"/>
    <s v="Second           "/>
    <s v="2179 cc "/>
    <s v="120 bhp @ 4000 rpm  "/>
    <n v="120"/>
    <n v="4.43"/>
    <n v="1.8169999999999999"/>
    <n v="1.9750000000000001"/>
    <n v="8"/>
    <x v="1"/>
    <n v="60"/>
  </r>
  <r>
    <x v="2"/>
    <x v="253"/>
    <x v="689"/>
    <n v="600000"/>
    <x v="148"/>
    <x v="12"/>
    <x v="34"/>
    <x v="0"/>
    <x v="0"/>
    <x v="1"/>
    <s v="First            "/>
    <s v="1197 cc "/>
    <s v="83 bhp @ 6000 rpm   "/>
    <n v="83"/>
    <n v="3.9950000000000001"/>
    <n v="1.7450000000000001"/>
    <n v="1.5"/>
    <n v="5"/>
    <x v="1"/>
    <n v="37"/>
  </r>
  <r>
    <x v="2"/>
    <x v="226"/>
    <x v="690"/>
    <n v="600000"/>
    <x v="148"/>
    <x v="14"/>
    <x v="349"/>
    <x v="0"/>
    <x v="0"/>
    <x v="0"/>
    <s v="First            "/>
    <s v="1197 cc "/>
    <s v="83 bhp @ 6000 rpm   "/>
    <n v="83"/>
    <n v="3.85"/>
    <n v="1.6950000000000001"/>
    <n v="1.53"/>
    <n v="5"/>
    <x v="1"/>
    <n v="42"/>
  </r>
  <r>
    <x v="2"/>
    <x v="226"/>
    <x v="691"/>
    <n v="600000"/>
    <x v="148"/>
    <x v="12"/>
    <x v="43"/>
    <x v="0"/>
    <x v="0"/>
    <x v="0"/>
    <s v="First            "/>
    <s v="1197 cc "/>
    <s v="83 bhp @ 6000 rpm   "/>
    <n v="83"/>
    <n v="3.85"/>
    <n v="1.6950000000000001"/>
    <n v="1.53"/>
    <n v="5"/>
    <x v="1"/>
    <n v="42"/>
  </r>
  <r>
    <x v="8"/>
    <x v="322"/>
    <x v="692"/>
    <n v="600000"/>
    <x v="148"/>
    <x v="11"/>
    <x v="115"/>
    <x v="2"/>
    <x v="0"/>
    <x v="0"/>
    <s v="Second           "/>
    <s v="1493 cc "/>
    <s v="84 bhp @ 3750 rpm   "/>
    <n v="84"/>
    <n v="3.9950000000000001"/>
    <n v="1.835"/>
    <n v="1.839"/>
    <n v="7"/>
    <x v="1"/>
    <n v="60"/>
  </r>
  <r>
    <x v="12"/>
    <x v="166"/>
    <x v="693"/>
    <n v="600000"/>
    <x v="148"/>
    <x v="11"/>
    <x v="96"/>
    <x v="2"/>
    <x v="0"/>
    <x v="0"/>
    <s v="First            "/>
    <s v="1461 cc "/>
    <s v="84 bhp @ 3750 rpm   "/>
    <n v="84"/>
    <n v="4.3310000000000004"/>
    <n v="1.8220000000000001"/>
    <n v="1.671"/>
    <n v="5"/>
    <x v="1"/>
    <n v="50"/>
  </r>
  <r>
    <x v="2"/>
    <x v="357"/>
    <x v="694"/>
    <n v="600000"/>
    <x v="148"/>
    <x v="9"/>
    <x v="90"/>
    <x v="2"/>
    <x v="0"/>
    <x v="10"/>
    <s v="Second           "/>
    <s v="1248 cc "/>
    <s v="89 bhp @ 4000 rpm   "/>
    <n v="89"/>
    <n v="4.49"/>
    <n v="1.73"/>
    <n v="1.4850000000000001"/>
    <n v="5"/>
    <x v="1"/>
    <n v="43"/>
  </r>
  <r>
    <x v="2"/>
    <x v="197"/>
    <x v="695"/>
    <n v="600000"/>
    <x v="148"/>
    <x v="6"/>
    <x v="350"/>
    <x v="2"/>
    <x v="0"/>
    <x v="0"/>
    <s v="First            "/>
    <s v="1248 cc "/>
    <s v="89 bhp @ 4000 rpm   "/>
    <n v="89"/>
    <n v="4.2649999999999997"/>
    <n v="1.6950000000000001"/>
    <n v="1.6850000000000001"/>
    <n v="7"/>
    <x v="1"/>
    <n v="45"/>
  </r>
  <r>
    <x v="5"/>
    <x v="289"/>
    <x v="696"/>
    <n v="600000"/>
    <x v="148"/>
    <x v="11"/>
    <x v="26"/>
    <x v="2"/>
    <x v="0"/>
    <x v="1"/>
    <s v="First            "/>
    <s v="1498 cc "/>
    <s v="99 bhp @ 3600 rpm   "/>
    <n v="99"/>
    <n v="4.4400000000000004"/>
    <n v="1.6950000000000001"/>
    <n v="1.4950000000000001"/>
    <n v="5"/>
    <x v="1"/>
    <n v="40"/>
  </r>
  <r>
    <x v="2"/>
    <x v="253"/>
    <x v="697"/>
    <n v="605000"/>
    <x v="149"/>
    <x v="13"/>
    <x v="351"/>
    <x v="0"/>
    <x v="0"/>
    <x v="1"/>
    <s v="First            "/>
    <s v="1197 cc "/>
    <s v="83 bhp @ 6000 rpm   "/>
    <n v="83"/>
    <n v="3.9950000000000001"/>
    <n v="1.7450000000000001"/>
    <n v="1.5"/>
    <n v="5"/>
    <x v="1"/>
    <n v="37"/>
  </r>
  <r>
    <x v="1"/>
    <x v="350"/>
    <x v="698"/>
    <n v="609000"/>
    <x v="150"/>
    <x v="12"/>
    <x v="352"/>
    <x v="0"/>
    <x v="0"/>
    <x v="7"/>
    <s v="First            "/>
    <s v="1197 cc "/>
    <s v="82 bhp @ 6000 rpm   "/>
    <n v="82"/>
    <n v="3.9849999999999999"/>
    <n v="1.734"/>
    <n v="1.5049999999999999"/>
    <n v="5"/>
    <x v="1"/>
    <n v="45"/>
  </r>
  <r>
    <x v="2"/>
    <x v="358"/>
    <x v="699"/>
    <n v="610000"/>
    <x v="151"/>
    <x v="16"/>
    <x v="353"/>
    <x v="3"/>
    <x v="0"/>
    <x v="0"/>
    <s v="First            "/>
    <s v="998 cc  "/>
    <s v="58 bhp @ 5500 rpm   "/>
    <n v="58"/>
    <n v="3.5649999999999999"/>
    <n v="1.52"/>
    <n v="1.5640000000000001"/>
    <n v="4"/>
    <x v="0"/>
    <n v="55"/>
  </r>
  <r>
    <x v="2"/>
    <x v="85"/>
    <x v="700"/>
    <n v="610000"/>
    <x v="151"/>
    <x v="9"/>
    <x v="354"/>
    <x v="2"/>
    <x v="0"/>
    <x v="1"/>
    <s v="First            "/>
    <s v="1248 cc "/>
    <s v="74 bhp @ 4000 rpm   "/>
    <n v="74"/>
    <n v="3.85"/>
    <n v="1.6950000000000001"/>
    <n v="1.53"/>
    <n v="5"/>
    <x v="1"/>
    <n v="42"/>
  </r>
  <r>
    <x v="2"/>
    <x v="87"/>
    <x v="701"/>
    <n v="610000"/>
    <x v="151"/>
    <x v="9"/>
    <x v="355"/>
    <x v="0"/>
    <x v="0"/>
    <x v="4"/>
    <s v="First            "/>
    <s v="1197 cc "/>
    <s v="83 bhp @ 6000 rpm   "/>
    <n v="83"/>
    <n v="3.9950000000000001"/>
    <n v="1.6950000000000001"/>
    <n v="1.5549999999999999"/>
    <n v="5"/>
    <x v="1"/>
    <n v="42"/>
  </r>
  <r>
    <x v="1"/>
    <x v="359"/>
    <x v="702"/>
    <n v="611000"/>
    <x v="152"/>
    <x v="9"/>
    <x v="356"/>
    <x v="0"/>
    <x v="0"/>
    <x v="4"/>
    <s v="First            "/>
    <s v="1197 cc "/>
    <s v="82 bhp @ 6000 rpm   "/>
    <n v="82"/>
    <n v="3.9849999999999999"/>
    <n v="1.734"/>
    <n v="1.5049999999999999"/>
    <n v="5"/>
    <x v="1"/>
    <n v="45"/>
  </r>
  <r>
    <x v="1"/>
    <x v="360"/>
    <x v="703"/>
    <n v="611000"/>
    <x v="152"/>
    <x v="9"/>
    <x v="6"/>
    <x v="2"/>
    <x v="0"/>
    <x v="0"/>
    <s v="First            "/>
    <s v="1396 cc "/>
    <s v="89 bhp @ 4000 rpm   "/>
    <n v="89"/>
    <n v="3.9849999999999999"/>
    <n v="1.734"/>
    <n v="1.5049999999999999"/>
    <n v="5"/>
    <x v="1"/>
    <n v="45"/>
  </r>
  <r>
    <x v="8"/>
    <x v="361"/>
    <x v="704"/>
    <n v="615000"/>
    <x v="153"/>
    <x v="9"/>
    <x v="46"/>
    <x v="2"/>
    <x v="1"/>
    <x v="8"/>
    <s v="First            "/>
    <s v="1493 cc "/>
    <s v="100 bhp @ 3750 rpm  "/>
    <n v="100"/>
    <n v="3.9950000000000001"/>
    <n v="1.835"/>
    <n v="1.839"/>
    <n v="7"/>
    <x v="1"/>
    <n v="60"/>
  </r>
  <r>
    <x v="2"/>
    <x v="318"/>
    <x v="705"/>
    <n v="615000"/>
    <x v="153"/>
    <x v="9"/>
    <x v="357"/>
    <x v="0"/>
    <x v="0"/>
    <x v="1"/>
    <s v="First            "/>
    <s v="1197 cc "/>
    <s v="83 bhp @ 6000 rpm   "/>
    <n v="83"/>
    <n v="3.9950000000000001"/>
    <n v="1.7450000000000001"/>
    <n v="1.5"/>
    <n v="5"/>
    <x v="1"/>
    <n v="37"/>
  </r>
  <r>
    <x v="2"/>
    <x v="362"/>
    <x v="706"/>
    <n v="620000"/>
    <x v="154"/>
    <x v="11"/>
    <x v="21"/>
    <x v="2"/>
    <x v="0"/>
    <x v="0"/>
    <s v="Second           "/>
    <s v="1598 cc "/>
    <s v="118 bhp @ 3750 rpm  "/>
    <n v="118"/>
    <n v="4.3"/>
    <n v="1.7649999999999999"/>
    <n v="1.59"/>
    <n v="5"/>
    <x v="1"/>
    <n v="48"/>
  </r>
  <r>
    <x v="2"/>
    <x v="363"/>
    <x v="707"/>
    <n v="620000"/>
    <x v="154"/>
    <x v="13"/>
    <x v="358"/>
    <x v="0"/>
    <x v="0"/>
    <x v="4"/>
    <s v="First            "/>
    <s v="1197 cc "/>
    <s v="83 bhp @ 6000 rpm   "/>
    <n v="83"/>
    <n v="3.9950000000000001"/>
    <n v="1.7450000000000001"/>
    <n v="1.5"/>
    <n v="5"/>
    <x v="1"/>
    <n v="37"/>
  </r>
  <r>
    <x v="2"/>
    <x v="364"/>
    <x v="708"/>
    <n v="620000"/>
    <x v="154"/>
    <x v="11"/>
    <x v="359"/>
    <x v="2"/>
    <x v="0"/>
    <x v="2"/>
    <s v="First            "/>
    <s v="1248 cc "/>
    <s v="89 bhp @ 4000 rpm   "/>
    <n v="89"/>
    <n v="4.2960000000000003"/>
    <n v="1.6950000000000001"/>
    <n v="1.6850000000000001"/>
    <n v="7"/>
    <x v="1"/>
    <n v="45"/>
  </r>
  <r>
    <x v="3"/>
    <x v="328"/>
    <x v="709"/>
    <n v="620000"/>
    <x v="154"/>
    <x v="9"/>
    <x v="115"/>
    <x v="2"/>
    <x v="0"/>
    <x v="10"/>
    <s v="First            "/>
    <s v="1498 cc "/>
    <s v="99 bhp @ 3750 rpm   "/>
    <n v="99"/>
    <n v="3.9980000000000002"/>
    <n v="1.7649999999999999"/>
    <n v="1.647"/>
    <n v="5"/>
    <x v="1"/>
    <n v="52"/>
  </r>
  <r>
    <x v="2"/>
    <x v="365"/>
    <x v="710"/>
    <n v="621000"/>
    <x v="155"/>
    <x v="8"/>
    <x v="8"/>
    <x v="2"/>
    <x v="0"/>
    <x v="7"/>
    <s v="First            "/>
    <s v="1248 cc "/>
    <s v="89 bhp @ 4000 rpm   "/>
    <n v="89"/>
    <n v="4.2649999999999997"/>
    <n v="1.6950000000000001"/>
    <n v="1.6850000000000001"/>
    <n v="7"/>
    <x v="1"/>
    <n v="45"/>
  </r>
  <r>
    <x v="13"/>
    <x v="279"/>
    <x v="711"/>
    <n v="625000"/>
    <x v="156"/>
    <x v="11"/>
    <x v="73"/>
    <x v="0"/>
    <x v="1"/>
    <x v="0"/>
    <s v="First            "/>
    <s v="1197 cc "/>
    <s v="103 bhp @ 5000 rpm  "/>
    <n v="103"/>
    <n v="3.9710000000000001"/>
    <n v="1.6819999999999999"/>
    <n v="1.4690000000000001"/>
    <n v="5"/>
    <x v="1"/>
    <n v="45"/>
  </r>
  <r>
    <x v="8"/>
    <x v="366"/>
    <x v="712"/>
    <n v="625000"/>
    <x v="156"/>
    <x v="10"/>
    <x v="6"/>
    <x v="2"/>
    <x v="0"/>
    <x v="0"/>
    <s v="Second           "/>
    <s v="2498 cc "/>
    <s v="105 bhp @ 3800 rpm  "/>
    <n v="105"/>
    <n v="3.92"/>
    <n v="1.726"/>
    <n v="1.93"/>
    <n v="6"/>
    <x v="1"/>
    <n v="60"/>
  </r>
  <r>
    <x v="15"/>
    <x v="367"/>
    <x v="713"/>
    <n v="625000"/>
    <x v="156"/>
    <x v="4"/>
    <x v="122"/>
    <x v="2"/>
    <x v="0"/>
    <x v="0"/>
    <s v="Second           "/>
    <s v="2835 cc "/>
    <s v="118 bhp @ 4000 rpm  "/>
    <n v="118"/>
    <n v="4.7549999999999999"/>
    <n v="1.7749999999999999"/>
    <n v="1.9"/>
    <n v="5"/>
    <x v="1"/>
    <n v="92"/>
  </r>
  <r>
    <x v="8"/>
    <x v="220"/>
    <x v="714"/>
    <n v="625000"/>
    <x v="156"/>
    <x v="8"/>
    <x v="360"/>
    <x v="2"/>
    <x v="0"/>
    <x v="0"/>
    <s v="Third            "/>
    <s v="2179 cc "/>
    <s v="120 bhp @ 4000 rpm  "/>
    <n v="120"/>
    <n v="4.43"/>
    <n v="1.8169999999999999"/>
    <n v="1.9750000000000001"/>
    <n v="8"/>
    <x v="1"/>
    <n v="60"/>
  </r>
  <r>
    <x v="3"/>
    <x v="368"/>
    <x v="715"/>
    <n v="625000"/>
    <x v="156"/>
    <x v="13"/>
    <x v="361"/>
    <x v="0"/>
    <x v="0"/>
    <x v="7"/>
    <s v="First            "/>
    <s v="1497 cc "/>
    <s v="121 bhp @ 6500 rpm  "/>
    <n v="121"/>
    <n v="3.9980000000000002"/>
    <n v="1.7649999999999999"/>
    <n v="1.647"/>
    <n v="5"/>
    <x v="1"/>
    <n v="52"/>
  </r>
  <r>
    <x v="1"/>
    <x v="369"/>
    <x v="716"/>
    <n v="625000"/>
    <x v="156"/>
    <x v="6"/>
    <x v="3"/>
    <x v="2"/>
    <x v="1"/>
    <x v="0"/>
    <s v="First            "/>
    <s v="1582 cc "/>
    <s v="126 bhp @ 4000 rpm  "/>
    <n v="126"/>
    <n v="4.53"/>
    <n v="1.7749999999999999"/>
    <n v="1.47"/>
    <n v="5"/>
    <x v="1"/>
    <n v="56"/>
  </r>
  <r>
    <x v="2"/>
    <x v="93"/>
    <x v="717"/>
    <n v="625000"/>
    <x v="156"/>
    <x v="15"/>
    <x v="185"/>
    <x v="3"/>
    <x v="0"/>
    <x v="1"/>
    <s v="First            "/>
    <s v="998 cc  "/>
    <s v="58 bhp @ 6200 rpm   "/>
    <n v="58"/>
    <n v="3.5990000000000002"/>
    <n v="1.4950000000000001"/>
    <n v="1.7"/>
    <n v="5"/>
    <x v="1"/>
    <n v="35"/>
  </r>
  <r>
    <x v="4"/>
    <x v="267"/>
    <x v="718"/>
    <n v="625000"/>
    <x v="156"/>
    <x v="10"/>
    <x v="93"/>
    <x v="2"/>
    <x v="0"/>
    <x v="0"/>
    <s v="First            "/>
    <s v="1364 cc "/>
    <s v="67 bhp @ 3800 rpm   "/>
    <n v="67"/>
    <n v="3.7749999999999999"/>
    <n v="1.6950000000000001"/>
    <n v="1.51"/>
    <n v="5"/>
    <x v="1"/>
    <n v="45"/>
  </r>
  <r>
    <x v="12"/>
    <x v="370"/>
    <x v="719"/>
    <n v="625000"/>
    <x v="156"/>
    <x v="15"/>
    <x v="191"/>
    <x v="0"/>
    <x v="0"/>
    <x v="0"/>
    <s v="First            "/>
    <s v="999 cc  "/>
    <s v="71 bhp @ 6250 rpm   "/>
    <n v="71"/>
    <n v="3.9940000000000002"/>
    <n v="1.758"/>
    <n v="1.5720000000000001"/>
    <n v="5"/>
    <x v="1"/>
    <n v="40"/>
  </r>
  <r>
    <x v="2"/>
    <x v="371"/>
    <x v="720"/>
    <n v="625000"/>
    <x v="156"/>
    <x v="16"/>
    <x v="362"/>
    <x v="0"/>
    <x v="0"/>
    <x v="2"/>
    <s v="First            "/>
    <s v="1196 cc "/>
    <s v="72 bhp @ 6000 rpm   "/>
    <n v="72"/>
    <n v="3.6749999999999998"/>
    <n v="1.4750000000000001"/>
    <n v="1.825"/>
    <n v="7"/>
    <x v="1"/>
    <n v="40"/>
  </r>
  <r>
    <x v="13"/>
    <x v="372"/>
    <x v="721"/>
    <n v="625000"/>
    <x v="156"/>
    <x v="9"/>
    <x v="17"/>
    <x v="0"/>
    <x v="0"/>
    <x v="12"/>
    <s v="First            "/>
    <s v="1198 cc "/>
    <s v="74 bhp @ 5400 rpm   "/>
    <n v="74"/>
    <n v="3.9950000000000001"/>
    <n v="1.6819999999999999"/>
    <n v="1.4830000000000001"/>
    <n v="5"/>
    <x v="1"/>
    <n v="45"/>
  </r>
  <r>
    <x v="1"/>
    <x v="347"/>
    <x v="722"/>
    <n v="625000"/>
    <x v="156"/>
    <x v="12"/>
    <x v="20"/>
    <x v="0"/>
    <x v="0"/>
    <x v="4"/>
    <s v="First            "/>
    <s v="1197 cc "/>
    <s v="82 bhp @ 6000 rpm   "/>
    <n v="82"/>
    <n v="3.9849999999999999"/>
    <n v="1.734"/>
    <n v="1.5049999999999999"/>
    <n v="5"/>
    <x v="1"/>
    <n v="40"/>
  </r>
  <r>
    <x v="1"/>
    <x v="285"/>
    <x v="723"/>
    <n v="625000"/>
    <x v="156"/>
    <x v="9"/>
    <x v="61"/>
    <x v="0"/>
    <x v="0"/>
    <x v="1"/>
    <s v="First            "/>
    <s v="1197 cc "/>
    <s v="82 bhp @ 6000 rpm   "/>
    <n v="82"/>
    <n v="3.9849999999999999"/>
    <n v="1.734"/>
    <n v="1.5049999999999999"/>
    <n v="5"/>
    <x v="1"/>
    <n v="45"/>
  </r>
  <r>
    <x v="2"/>
    <x v="373"/>
    <x v="724"/>
    <n v="625000"/>
    <x v="156"/>
    <x v="9"/>
    <x v="133"/>
    <x v="0"/>
    <x v="1"/>
    <x v="1"/>
    <s v="First            "/>
    <s v="1197 cc "/>
    <s v="82 bhp @ 6000 rpm   "/>
    <n v="82"/>
    <n v="3.9950000000000001"/>
    <n v="1.7350000000000001"/>
    <n v="1.5149999999999999"/>
    <n v="5"/>
    <x v="1"/>
    <n v="37"/>
  </r>
  <r>
    <x v="1"/>
    <x v="340"/>
    <x v="725"/>
    <n v="625000"/>
    <x v="156"/>
    <x v="13"/>
    <x v="106"/>
    <x v="0"/>
    <x v="0"/>
    <x v="0"/>
    <s v="First            "/>
    <s v="1197 cc "/>
    <s v="82 bhp @ 6000 rpm   "/>
    <n v="82"/>
    <n v="3.9849999999999999"/>
    <n v="1.734"/>
    <n v="1.5049999999999999"/>
    <n v="5"/>
    <x v="1"/>
    <n v="45"/>
  </r>
  <r>
    <x v="2"/>
    <x v="226"/>
    <x v="726"/>
    <n v="625000"/>
    <x v="156"/>
    <x v="14"/>
    <x v="363"/>
    <x v="0"/>
    <x v="0"/>
    <x v="7"/>
    <s v="First            "/>
    <s v="1197 cc "/>
    <s v="83 bhp @ 6000 rpm   "/>
    <n v="83"/>
    <n v="3.85"/>
    <n v="1.6950000000000001"/>
    <n v="1.53"/>
    <n v="5"/>
    <x v="1"/>
    <n v="42"/>
  </r>
  <r>
    <x v="2"/>
    <x v="318"/>
    <x v="727"/>
    <n v="625000"/>
    <x v="156"/>
    <x v="9"/>
    <x v="364"/>
    <x v="0"/>
    <x v="0"/>
    <x v="4"/>
    <s v="First            "/>
    <s v="1197 cc "/>
    <s v="83 bhp @ 6000 rpm   "/>
    <n v="83"/>
    <n v="3.9950000000000001"/>
    <n v="1.7450000000000001"/>
    <n v="1.5"/>
    <n v="5"/>
    <x v="1"/>
    <n v="37"/>
  </r>
  <r>
    <x v="11"/>
    <x v="374"/>
    <x v="728"/>
    <n v="625000"/>
    <x v="156"/>
    <x v="9"/>
    <x v="187"/>
    <x v="2"/>
    <x v="0"/>
    <x v="0"/>
    <s v="First            "/>
    <s v="1461 cc "/>
    <s v="84 bhp @ 3750 rpm   "/>
    <n v="84"/>
    <n v="4.3150000000000004"/>
    <n v="1.8220000000000001"/>
    <n v="1.6950000000000001"/>
    <n v="5"/>
    <x v="1"/>
    <n v="50"/>
  </r>
  <r>
    <x v="2"/>
    <x v="375"/>
    <x v="729"/>
    <n v="625000"/>
    <x v="156"/>
    <x v="11"/>
    <x v="365"/>
    <x v="2"/>
    <x v="0"/>
    <x v="10"/>
    <s v="First            "/>
    <s v="1248 cc "/>
    <s v="89 bhp @ 4000 rpm   "/>
    <n v="89"/>
    <n v="4.49"/>
    <n v="1.73"/>
    <n v="1.4850000000000001"/>
    <n v="5"/>
    <x v="1"/>
    <n v="43"/>
  </r>
  <r>
    <x v="5"/>
    <x v="376"/>
    <x v="730"/>
    <n v="625000"/>
    <x v="156"/>
    <x v="9"/>
    <x v="366"/>
    <x v="0"/>
    <x v="0"/>
    <x v="10"/>
    <s v="First            "/>
    <s v="1199 cc "/>
    <s v="89 bhp @ 6000 rpm   "/>
    <n v="89"/>
    <n v="3.9990000000000001"/>
    <n v="1.734"/>
    <n v="1.601"/>
    <n v="5"/>
    <x v="1"/>
    <n v="40"/>
  </r>
  <r>
    <x v="2"/>
    <x v="365"/>
    <x v="731"/>
    <n v="625000"/>
    <x v="156"/>
    <x v="10"/>
    <x v="114"/>
    <x v="2"/>
    <x v="0"/>
    <x v="2"/>
    <s v="Second           "/>
    <s v="1248 cc "/>
    <s v="89 bhp @ 4000 rpm   "/>
    <n v="89"/>
    <n v="4.2649999999999997"/>
    <n v="1.6950000000000001"/>
    <n v="1.6850000000000001"/>
    <n v="7"/>
    <x v="1"/>
    <n v="45"/>
  </r>
  <r>
    <x v="13"/>
    <x v="377"/>
    <x v="732"/>
    <n v="625000"/>
    <x v="156"/>
    <x v="6"/>
    <x v="43"/>
    <x v="2"/>
    <x v="0"/>
    <x v="2"/>
    <s v="First            "/>
    <s v="1498 cc "/>
    <s v="89 bhp @ 4200 rpm   "/>
    <n v="89"/>
    <n v="3.9710000000000001"/>
    <n v="1.6819999999999999"/>
    <n v="1.4690000000000001"/>
    <n v="5"/>
    <x v="1"/>
    <n v="45"/>
  </r>
  <r>
    <x v="1"/>
    <x v="335"/>
    <x v="733"/>
    <n v="625000"/>
    <x v="156"/>
    <x v="11"/>
    <x v="367"/>
    <x v="2"/>
    <x v="0"/>
    <x v="0"/>
    <s v="First            "/>
    <s v="1396 cc "/>
    <s v="89 bhp @ 4000 rpm   "/>
    <n v="89"/>
    <n v="3.9849999999999999"/>
    <n v="1.734"/>
    <n v="1.5049999999999999"/>
    <n v="5"/>
    <x v="1"/>
    <n v="45"/>
  </r>
  <r>
    <x v="2"/>
    <x v="378"/>
    <x v="734"/>
    <n v="625000"/>
    <x v="156"/>
    <x v="10"/>
    <x v="27"/>
    <x v="2"/>
    <x v="0"/>
    <x v="0"/>
    <s v="First            "/>
    <s v="1248 cc "/>
    <s v="89 bhp @ 4000 rpm   "/>
    <n v="89"/>
    <n v="4.49"/>
    <n v="1.73"/>
    <n v="1.4850000000000001"/>
    <n v="5"/>
    <x v="1"/>
    <n v="43"/>
  </r>
  <r>
    <x v="5"/>
    <x v="379"/>
    <x v="735"/>
    <n v="628000"/>
    <x v="157"/>
    <x v="12"/>
    <x v="368"/>
    <x v="0"/>
    <x v="0"/>
    <x v="6"/>
    <s v="First            "/>
    <s v="1199 cc "/>
    <s v="89 bhp @ 6000 rpm   "/>
    <n v="89"/>
    <n v="3.9950000000000001"/>
    <n v="1.6950000000000001"/>
    <n v="1.5009999999999999"/>
    <n v="5"/>
    <x v="1"/>
    <n v="35"/>
  </r>
  <r>
    <x v="8"/>
    <x v="380"/>
    <x v="736"/>
    <n v="630000"/>
    <x v="158"/>
    <x v="10"/>
    <x v="369"/>
    <x v="2"/>
    <x v="0"/>
    <x v="0"/>
    <s v="Second           "/>
    <s v="1493 cc "/>
    <s v="100 bhp @ 3750 rpm  "/>
    <n v="100"/>
    <n v="3.9950000000000001"/>
    <n v="1.835"/>
    <n v="1.839"/>
    <n v="7"/>
    <x v="1"/>
    <n v="60"/>
  </r>
  <r>
    <x v="2"/>
    <x v="222"/>
    <x v="737"/>
    <n v="630000"/>
    <x v="158"/>
    <x v="13"/>
    <x v="370"/>
    <x v="0"/>
    <x v="1"/>
    <x v="1"/>
    <s v="First            "/>
    <s v="998 cc  "/>
    <s v="67 bhp @ 6000 rpm   "/>
    <n v="67"/>
    <n v="3.6949999999999998"/>
    <n v="1.6"/>
    <n v="1.56"/>
    <n v="5"/>
    <x v="1"/>
    <n v="35"/>
  </r>
  <r>
    <x v="2"/>
    <x v="345"/>
    <x v="738"/>
    <n v="630000"/>
    <x v="158"/>
    <x v="9"/>
    <x v="318"/>
    <x v="2"/>
    <x v="0"/>
    <x v="7"/>
    <s v="First            "/>
    <s v="1248 cc "/>
    <s v="74 bhp @ 4000 rpm   "/>
    <n v="74"/>
    <n v="3.9950000000000001"/>
    <n v="1.7350000000000001"/>
    <n v="1.5149999999999999"/>
    <n v="5"/>
    <x v="1"/>
    <n v="37"/>
  </r>
  <r>
    <x v="2"/>
    <x v="381"/>
    <x v="739"/>
    <n v="635000"/>
    <x v="159"/>
    <x v="11"/>
    <x v="115"/>
    <x v="2"/>
    <x v="0"/>
    <x v="0"/>
    <s v="Second           "/>
    <s v="1248 cc "/>
    <s v="89 bhp @ 4000 rpm   "/>
    <n v="89"/>
    <n v="4.49"/>
    <n v="1.73"/>
    <n v="1.4850000000000001"/>
    <n v="5"/>
    <x v="1"/>
    <n v="43"/>
  </r>
  <r>
    <x v="5"/>
    <x v="289"/>
    <x v="740"/>
    <n v="635000"/>
    <x v="159"/>
    <x v="11"/>
    <x v="371"/>
    <x v="2"/>
    <x v="0"/>
    <x v="10"/>
    <s v="First            "/>
    <s v="1498 cc "/>
    <s v="99 bhp @ 3600 rpm   "/>
    <n v="99"/>
    <n v="4.4400000000000004"/>
    <n v="1.6950000000000001"/>
    <n v="1.4950000000000001"/>
    <n v="5"/>
    <x v="1"/>
    <n v="40"/>
  </r>
  <r>
    <x v="2"/>
    <x v="253"/>
    <x v="741"/>
    <n v="636000"/>
    <x v="160"/>
    <x v="15"/>
    <x v="372"/>
    <x v="0"/>
    <x v="0"/>
    <x v="0"/>
    <s v="First            "/>
    <s v="1197 cc "/>
    <s v="83 bhp @ 6000 rpm   "/>
    <n v="83"/>
    <n v="3.9950000000000001"/>
    <n v="1.7450000000000001"/>
    <n v="1.5"/>
    <n v="5"/>
    <x v="1"/>
    <n v="37"/>
  </r>
  <r>
    <x v="2"/>
    <x v="382"/>
    <x v="742"/>
    <n v="639000"/>
    <x v="161"/>
    <x v="14"/>
    <x v="373"/>
    <x v="0"/>
    <x v="1"/>
    <x v="1"/>
    <s v="First            "/>
    <s v="998 cc  "/>
    <s v="67 bhp @ 6000 rpm   "/>
    <n v="67"/>
    <n v="3.6949999999999998"/>
    <n v="1.6"/>
    <n v="1.56"/>
    <n v="5"/>
    <x v="1"/>
    <n v="35"/>
  </r>
  <r>
    <x v="9"/>
    <x v="135"/>
    <x v="743"/>
    <n v="640000"/>
    <x v="162"/>
    <x v="11"/>
    <x v="374"/>
    <x v="2"/>
    <x v="0"/>
    <x v="2"/>
    <s v="First            "/>
    <s v="1598 cc "/>
    <s v="105 bhp @ 4400 rpm  "/>
    <n v="105"/>
    <n v="4.3860000000000001"/>
    <n v="1.6990000000000001"/>
    <n v="1.466"/>
    <n v="5"/>
    <x v="1"/>
    <n v="55"/>
  </r>
  <r>
    <x v="2"/>
    <x v="362"/>
    <x v="744"/>
    <n v="640000"/>
    <x v="162"/>
    <x v="9"/>
    <x v="30"/>
    <x v="2"/>
    <x v="0"/>
    <x v="2"/>
    <s v="First            "/>
    <s v="1598 cc "/>
    <s v="118 bhp @ 3750 rpm  "/>
    <n v="118"/>
    <n v="4.3"/>
    <n v="1.7649999999999999"/>
    <n v="1.59"/>
    <n v="5"/>
    <x v="1"/>
    <n v="48"/>
  </r>
  <r>
    <x v="1"/>
    <x v="383"/>
    <x v="745"/>
    <n v="640000"/>
    <x v="162"/>
    <x v="10"/>
    <x v="126"/>
    <x v="2"/>
    <x v="0"/>
    <x v="0"/>
    <s v="First            "/>
    <s v="1582 cc "/>
    <s v="126 bhp @ 4000 rpm  "/>
    <n v="126"/>
    <n v="4.375"/>
    <n v="1.7"/>
    <n v="1.4750000000000001"/>
    <n v="5"/>
    <x v="1"/>
    <n v="43"/>
  </r>
  <r>
    <x v="2"/>
    <x v="384"/>
    <x v="746"/>
    <n v="640000"/>
    <x v="162"/>
    <x v="11"/>
    <x v="53"/>
    <x v="2"/>
    <x v="0"/>
    <x v="7"/>
    <s v="Second           "/>
    <s v="1248 cc "/>
    <s v="89 bhp @ 4000 rpm   "/>
    <n v="89"/>
    <n v="3.9950000000000001"/>
    <n v="1.79"/>
    <n v="1.64"/>
    <n v="5"/>
    <x v="1"/>
    <n v="48"/>
  </r>
  <r>
    <x v="2"/>
    <x v="385"/>
    <x v="747"/>
    <n v="640000"/>
    <x v="162"/>
    <x v="9"/>
    <x v="27"/>
    <x v="2"/>
    <x v="0"/>
    <x v="6"/>
    <s v="First            "/>
    <s v="1248 cc "/>
    <s v="89 bhp @ 4000 rpm   "/>
    <n v="89"/>
    <n v="3.9950000000000001"/>
    <n v="1.79"/>
    <n v="1.64"/>
    <n v="5"/>
    <x v="1"/>
    <n v="48"/>
  </r>
  <r>
    <x v="2"/>
    <x v="327"/>
    <x v="748"/>
    <n v="640000"/>
    <x v="162"/>
    <x v="11"/>
    <x v="375"/>
    <x v="0"/>
    <x v="0"/>
    <x v="0"/>
    <s v="First            "/>
    <s v="1373 cc "/>
    <s v="91 bhp @ 6000 rpm   "/>
    <n v="91"/>
    <n v="4.49"/>
    <n v="1.73"/>
    <n v="1.4850000000000001"/>
    <n v="5"/>
    <x v="1"/>
    <n v="43"/>
  </r>
  <r>
    <x v="2"/>
    <x v="386"/>
    <x v="749"/>
    <n v="642000"/>
    <x v="163"/>
    <x v="6"/>
    <x v="376"/>
    <x v="3"/>
    <x v="0"/>
    <x v="14"/>
    <s v="First            "/>
    <s v="1373 cc "/>
    <s v="82 bhp @ 6000 rpm   "/>
    <n v="82"/>
    <n v="4.2649999999999997"/>
    <n v="1.6950000000000001"/>
    <n v="1.6850000000000001"/>
    <n v="7"/>
    <x v="1"/>
    <n v="60"/>
  </r>
  <r>
    <x v="4"/>
    <x v="387"/>
    <x v="750"/>
    <n v="645000"/>
    <x v="164"/>
    <x v="8"/>
    <x v="93"/>
    <x v="2"/>
    <x v="0"/>
    <x v="2"/>
    <s v="Second           "/>
    <s v="2494 cc "/>
    <s v="102 bhp @5600            "/>
    <n v="102"/>
    <n v="4.5549999999999997"/>
    <n v="1.77"/>
    <n v="1.7549999999999999"/>
    <n v="7"/>
    <x v="1"/>
    <n v="55"/>
  </r>
  <r>
    <x v="5"/>
    <x v="388"/>
    <x v="751"/>
    <n v="645000"/>
    <x v="164"/>
    <x v="9"/>
    <x v="23"/>
    <x v="0"/>
    <x v="0"/>
    <x v="0"/>
    <s v="First            "/>
    <s v="1497 cc "/>
    <s v="117 bhp @ 6600 rpm  "/>
    <n v="117"/>
    <n v="4.4400000000000004"/>
    <n v="1.6950000000000001"/>
    <n v="1.4950000000000001"/>
    <n v="5"/>
    <x v="1"/>
    <n v="40"/>
  </r>
  <r>
    <x v="1"/>
    <x v="353"/>
    <x v="752"/>
    <n v="645000"/>
    <x v="164"/>
    <x v="10"/>
    <x v="347"/>
    <x v="0"/>
    <x v="1"/>
    <x v="1"/>
    <s v="First            "/>
    <s v="1591 cc "/>
    <s v="121 bhp @ 6300 rpm  "/>
    <n v="121"/>
    <n v="4.37"/>
    <n v="1.7"/>
    <n v="1.4750000000000001"/>
    <n v="5"/>
    <x v="1"/>
    <n v="43"/>
  </r>
  <r>
    <x v="1"/>
    <x v="389"/>
    <x v="753"/>
    <n v="645000"/>
    <x v="164"/>
    <x v="11"/>
    <x v="114"/>
    <x v="0"/>
    <x v="0"/>
    <x v="0"/>
    <s v="First            "/>
    <s v="1591 cc "/>
    <s v="121 bhp @ 6300 rpm  "/>
    <n v="121"/>
    <n v="4.375"/>
    <n v="1.7"/>
    <n v="1.4750000000000001"/>
    <n v="5"/>
    <x v="1"/>
    <n v="43"/>
  </r>
  <r>
    <x v="1"/>
    <x v="390"/>
    <x v="754"/>
    <n v="645000"/>
    <x v="164"/>
    <x v="8"/>
    <x v="79"/>
    <x v="0"/>
    <x v="0"/>
    <x v="0"/>
    <s v="First            "/>
    <s v="1797 cc "/>
    <s v="147 bhp @ 6500 rpm  "/>
    <n v="147"/>
    <n v="4.53"/>
    <n v="1.7749999999999999"/>
    <n v="1.47"/>
    <n v="5"/>
    <x v="1"/>
    <n v="56"/>
  </r>
  <r>
    <x v="2"/>
    <x v="391"/>
    <x v="755"/>
    <n v="645000"/>
    <x v="164"/>
    <x v="15"/>
    <x v="377"/>
    <x v="3"/>
    <x v="0"/>
    <x v="2"/>
    <s v="First            "/>
    <s v="1196 cc "/>
    <s v="73 bhp @ 6000 rpm   "/>
    <n v="73"/>
    <n v="3.6749999999999998"/>
    <n v="1.4750000000000001"/>
    <n v="1.8"/>
    <n v="5"/>
    <x v="1"/>
    <n v="40"/>
  </r>
  <r>
    <x v="1"/>
    <x v="392"/>
    <x v="756"/>
    <n v="645000"/>
    <x v="164"/>
    <x v="13"/>
    <x v="56"/>
    <x v="0"/>
    <x v="0"/>
    <x v="2"/>
    <s v="First            "/>
    <s v="1197 cc "/>
    <s v="82 bhp @ 6000 rpm   "/>
    <n v="82"/>
    <n v="3.9849999999999999"/>
    <n v="1.734"/>
    <n v="1.5049999999999999"/>
    <n v="5"/>
    <x v="1"/>
    <n v="45"/>
  </r>
  <r>
    <x v="5"/>
    <x v="72"/>
    <x v="757"/>
    <n v="645000"/>
    <x v="164"/>
    <x v="10"/>
    <x v="23"/>
    <x v="2"/>
    <x v="0"/>
    <x v="0"/>
    <s v="First            "/>
    <s v="1498 cc "/>
    <s v="99 bhp @ 3600 rpm   "/>
    <n v="99"/>
    <n v="4.4400000000000004"/>
    <n v="1.6950000000000001"/>
    <n v="1.4950000000000001"/>
    <n v="5"/>
    <x v="1"/>
    <n v="40"/>
  </r>
  <r>
    <x v="1"/>
    <x v="147"/>
    <x v="758"/>
    <n v="649000"/>
    <x v="165"/>
    <x v="14"/>
    <x v="378"/>
    <x v="0"/>
    <x v="0"/>
    <x v="1"/>
    <s v="First            "/>
    <s v="1197 cc "/>
    <s v="81 bhp @ 6000 rpm   "/>
    <n v="81"/>
    <n v="3.7650000000000001"/>
    <n v="1.66"/>
    <n v="1.52"/>
    <n v="5"/>
    <x v="1"/>
    <n v="43"/>
  </r>
  <r>
    <x v="1"/>
    <x v="147"/>
    <x v="759"/>
    <n v="649000"/>
    <x v="165"/>
    <x v="14"/>
    <x v="378"/>
    <x v="0"/>
    <x v="0"/>
    <x v="1"/>
    <s v="First            "/>
    <s v="1197 cc "/>
    <s v="81 bhp @ 6000 rpm   "/>
    <n v="81"/>
    <n v="3.7650000000000001"/>
    <n v="1.66"/>
    <n v="1.52"/>
    <n v="5"/>
    <x v="1"/>
    <n v="43"/>
  </r>
  <r>
    <x v="4"/>
    <x v="393"/>
    <x v="760"/>
    <n v="650000"/>
    <x v="166"/>
    <x v="1"/>
    <x v="379"/>
    <x v="2"/>
    <x v="0"/>
    <x v="5"/>
    <s v="Second           "/>
    <s v="2494 cc "/>
    <s v="102 bhp @5600            "/>
    <n v="102"/>
    <n v="4.5549999999999997"/>
    <n v="1.77"/>
    <n v="1.7549999999999999"/>
    <n v="7"/>
    <x v="1"/>
    <n v="55"/>
  </r>
  <r>
    <x v="13"/>
    <x v="394"/>
    <x v="761"/>
    <n v="650000"/>
    <x v="166"/>
    <x v="9"/>
    <x v="39"/>
    <x v="0"/>
    <x v="1"/>
    <x v="0"/>
    <s v="First            "/>
    <s v="1197 cc "/>
    <s v="103 bhp @ 5000 rpm  "/>
    <n v="103"/>
    <n v="4.3840000000000003"/>
    <n v="1.6990000000000001"/>
    <n v="1.466"/>
    <n v="5"/>
    <x v="1"/>
    <n v="55"/>
  </r>
  <r>
    <x v="12"/>
    <x v="395"/>
    <x v="762"/>
    <n v="650000"/>
    <x v="166"/>
    <x v="11"/>
    <x v="380"/>
    <x v="2"/>
    <x v="0"/>
    <x v="0"/>
    <s v="First            "/>
    <s v="1461 cc "/>
    <s v="108 bhp @ 3900 rpm  "/>
    <n v="108"/>
    <n v="4.3310000000000004"/>
    <n v="1.8220000000000001"/>
    <n v="1.671"/>
    <n v="5"/>
    <x v="1"/>
    <n v="50"/>
  </r>
  <r>
    <x v="1"/>
    <x v="396"/>
    <x v="763"/>
    <n v="650000"/>
    <x v="166"/>
    <x v="8"/>
    <x v="381"/>
    <x v="2"/>
    <x v="1"/>
    <x v="0"/>
    <s v="First            "/>
    <s v="2199 cc "/>
    <s v="195 bhp @ 4000 rpm  "/>
    <n v="195"/>
    <n v="4.66"/>
    <n v="1.89"/>
    <n v="1.76"/>
    <n v="7"/>
    <x v="1"/>
    <n v="70"/>
  </r>
  <r>
    <x v="2"/>
    <x v="397"/>
    <x v="764"/>
    <n v="650000"/>
    <x v="166"/>
    <x v="9"/>
    <x v="93"/>
    <x v="2"/>
    <x v="1"/>
    <x v="1"/>
    <s v="First            "/>
    <s v="1248 cc "/>
    <s v="74 bhp @ 4000 rpm   "/>
    <n v="74"/>
    <n v="3.9950000000000001"/>
    <n v="1.6950000000000001"/>
    <n v="1.5549999999999999"/>
    <n v="5"/>
    <x v="1"/>
    <n v="42"/>
  </r>
  <r>
    <x v="8"/>
    <x v="398"/>
    <x v="765"/>
    <n v="650000"/>
    <x v="166"/>
    <x v="10"/>
    <x v="382"/>
    <x v="2"/>
    <x v="0"/>
    <x v="0"/>
    <s v="First            "/>
    <s v="2523 cc "/>
    <s v="75 bhp @ 3200 rpm   "/>
    <n v="75"/>
    <n v="4.4560000000000004"/>
    <n v="1.82"/>
    <n v="1.93"/>
    <n v="8"/>
    <x v="1"/>
    <n v="60"/>
  </r>
  <r>
    <x v="1"/>
    <x v="178"/>
    <x v="766"/>
    <n v="650000"/>
    <x v="166"/>
    <x v="14"/>
    <x v="383"/>
    <x v="0"/>
    <x v="0"/>
    <x v="2"/>
    <s v="First            "/>
    <s v="1197 cc "/>
    <s v="81 bhp @ 6000 rpm   "/>
    <n v="81"/>
    <n v="3.7650000000000001"/>
    <n v="1.66"/>
    <n v="1.52"/>
    <n v="5"/>
    <x v="1"/>
    <n v="43"/>
  </r>
  <r>
    <x v="1"/>
    <x v="399"/>
    <x v="767"/>
    <n v="650000"/>
    <x v="166"/>
    <x v="9"/>
    <x v="384"/>
    <x v="0"/>
    <x v="1"/>
    <x v="1"/>
    <s v="First            "/>
    <s v="1197 cc "/>
    <s v="81 bhp @ 6000 rpm   "/>
    <n v="81"/>
    <n v="3.7650000000000001"/>
    <n v="1.66"/>
    <n v="1.52"/>
    <n v="5"/>
    <x v="1"/>
    <n v="43"/>
  </r>
  <r>
    <x v="1"/>
    <x v="302"/>
    <x v="768"/>
    <n v="650000"/>
    <x v="166"/>
    <x v="13"/>
    <x v="385"/>
    <x v="0"/>
    <x v="1"/>
    <x v="1"/>
    <s v="First            "/>
    <s v="1197 cc "/>
    <s v="81 bhp @ 6000 rpm   "/>
    <n v="81"/>
    <n v="3.7650000000000001"/>
    <n v="1.66"/>
    <n v="1.52"/>
    <n v="5"/>
    <x v="1"/>
    <n v="43"/>
  </r>
  <r>
    <x v="1"/>
    <x v="400"/>
    <x v="769"/>
    <n v="650000"/>
    <x v="166"/>
    <x v="11"/>
    <x v="386"/>
    <x v="0"/>
    <x v="0"/>
    <x v="2"/>
    <s v="First            "/>
    <s v="1197 cc "/>
    <s v="82 bhp @ 6000 rpm   "/>
    <n v="82"/>
    <n v="3.9849999999999999"/>
    <n v="1.734"/>
    <n v="1.5049999999999999"/>
    <n v="5"/>
    <x v="1"/>
    <n v="45"/>
  </r>
  <r>
    <x v="1"/>
    <x v="359"/>
    <x v="770"/>
    <n v="650000"/>
    <x v="166"/>
    <x v="14"/>
    <x v="387"/>
    <x v="0"/>
    <x v="0"/>
    <x v="0"/>
    <s v="First            "/>
    <s v="1197 cc "/>
    <s v="82 bhp @ 6000 rpm   "/>
    <n v="82"/>
    <n v="3.9849999999999999"/>
    <n v="1.734"/>
    <n v="1.5049999999999999"/>
    <n v="5"/>
    <x v="1"/>
    <n v="45"/>
  </r>
  <r>
    <x v="2"/>
    <x v="253"/>
    <x v="771"/>
    <n v="650000"/>
    <x v="166"/>
    <x v="12"/>
    <x v="34"/>
    <x v="0"/>
    <x v="0"/>
    <x v="7"/>
    <s v="First            "/>
    <s v="1197 cc "/>
    <s v="83 bhp @ 6000 rpm   "/>
    <n v="83"/>
    <n v="3.9950000000000001"/>
    <n v="1.7450000000000001"/>
    <n v="1.5"/>
    <n v="5"/>
    <x v="1"/>
    <n v="37"/>
  </r>
  <r>
    <x v="2"/>
    <x v="226"/>
    <x v="772"/>
    <n v="650000"/>
    <x v="166"/>
    <x v="13"/>
    <x v="388"/>
    <x v="0"/>
    <x v="0"/>
    <x v="0"/>
    <s v="First            "/>
    <s v="1197 cc "/>
    <s v="83 bhp @ 6000 rpm   "/>
    <n v="83"/>
    <n v="3.85"/>
    <n v="1.6950000000000001"/>
    <n v="1.53"/>
    <n v="5"/>
    <x v="1"/>
    <n v="42"/>
  </r>
  <r>
    <x v="8"/>
    <x v="401"/>
    <x v="773"/>
    <n v="650000"/>
    <x v="166"/>
    <x v="10"/>
    <x v="389"/>
    <x v="2"/>
    <x v="1"/>
    <x v="0"/>
    <s v="First            "/>
    <s v="1493 cc "/>
    <s v="84 bhp @ 3750 rpm   "/>
    <n v="84"/>
    <n v="3.9950000000000001"/>
    <n v="1.835"/>
    <n v="1.839"/>
    <n v="7"/>
    <x v="1"/>
    <n v="60"/>
  </r>
  <r>
    <x v="5"/>
    <x v="402"/>
    <x v="774"/>
    <n v="650000"/>
    <x v="166"/>
    <x v="13"/>
    <x v="61"/>
    <x v="0"/>
    <x v="0"/>
    <x v="0"/>
    <s v="First            "/>
    <s v="1198 cc "/>
    <s v="87 bhp @ 6000 rpm   "/>
    <n v="87"/>
    <n v="3.99"/>
    <n v="1.68"/>
    <n v="1.5049999999999999"/>
    <n v="5"/>
    <x v="1"/>
    <n v="35"/>
  </r>
  <r>
    <x v="1"/>
    <x v="403"/>
    <x v="775"/>
    <n v="650000"/>
    <x v="166"/>
    <x v="11"/>
    <x v="390"/>
    <x v="2"/>
    <x v="0"/>
    <x v="0"/>
    <s v="First            "/>
    <s v="1396 cc "/>
    <s v="89 bhp @ 4000 rpm   "/>
    <n v="89"/>
    <n v="3.9849999999999999"/>
    <n v="1.734"/>
    <n v="1.5049999999999999"/>
    <n v="5"/>
    <x v="1"/>
    <n v="45"/>
  </r>
  <r>
    <x v="2"/>
    <x v="404"/>
    <x v="776"/>
    <n v="650000"/>
    <x v="166"/>
    <x v="9"/>
    <x v="90"/>
    <x v="2"/>
    <x v="0"/>
    <x v="0"/>
    <s v="First            "/>
    <s v="1248 cc "/>
    <s v="89 bhp @ 4000 rpm   "/>
    <n v="89"/>
    <n v="4.49"/>
    <n v="1.73"/>
    <n v="1.4850000000000001"/>
    <n v="5"/>
    <x v="1"/>
    <n v="43"/>
  </r>
  <r>
    <x v="2"/>
    <x v="348"/>
    <x v="777"/>
    <n v="650000"/>
    <x v="166"/>
    <x v="9"/>
    <x v="115"/>
    <x v="2"/>
    <x v="0"/>
    <x v="0"/>
    <s v="Second           "/>
    <s v="1248 cc "/>
    <s v="89 bhp @ 4000 rpm   "/>
    <n v="89"/>
    <n v="4.49"/>
    <n v="1.73"/>
    <n v="1.4850000000000001"/>
    <n v="5"/>
    <x v="1"/>
    <n v="43"/>
  </r>
  <r>
    <x v="5"/>
    <x v="405"/>
    <x v="778"/>
    <n v="650000"/>
    <x v="166"/>
    <x v="13"/>
    <x v="43"/>
    <x v="0"/>
    <x v="1"/>
    <x v="0"/>
    <s v="Second           "/>
    <s v="1199 cc "/>
    <s v="89 bhp @ 6000 rpm   "/>
    <n v="89"/>
    <n v="3.9950000000000001"/>
    <n v="1.6950000000000001"/>
    <n v="1.5009999999999999"/>
    <n v="5"/>
    <x v="1"/>
    <n v="35"/>
  </r>
  <r>
    <x v="2"/>
    <x v="100"/>
    <x v="779"/>
    <n v="650000"/>
    <x v="166"/>
    <x v="16"/>
    <x v="148"/>
    <x v="0"/>
    <x v="0"/>
    <x v="0"/>
    <s v="First            "/>
    <s v="1197 cc "/>
    <s v="89 bhp @ 6000 rpm   "/>
    <n v="89"/>
    <n v="3.8450000000000002"/>
    <n v="1.7350000000000001"/>
    <n v="1.53"/>
    <n v="5"/>
    <x v="1"/>
    <n v="37"/>
  </r>
  <r>
    <x v="2"/>
    <x v="406"/>
    <x v="780"/>
    <n v="650000"/>
    <x v="166"/>
    <x v="14"/>
    <x v="61"/>
    <x v="0"/>
    <x v="0"/>
    <x v="0"/>
    <s v="First            "/>
    <s v="1197 cc "/>
    <s v="89 bhp @ 6000 rpm   "/>
    <n v="89"/>
    <n v="3.9950000000000001"/>
    <n v="1.7350000000000001"/>
    <n v="1.5149999999999999"/>
    <n v="5"/>
    <x v="1"/>
    <n v="37"/>
  </r>
  <r>
    <x v="2"/>
    <x v="363"/>
    <x v="781"/>
    <n v="655000"/>
    <x v="167"/>
    <x v="11"/>
    <x v="391"/>
    <x v="0"/>
    <x v="0"/>
    <x v="7"/>
    <s v="First            "/>
    <s v="1197 cc "/>
    <s v="83 bhp @ 6000 rpm   "/>
    <n v="83"/>
    <n v="3.9950000000000001"/>
    <n v="1.7450000000000001"/>
    <n v="1.5"/>
    <n v="5"/>
    <x v="1"/>
    <n v="37"/>
  </r>
  <r>
    <x v="5"/>
    <x v="180"/>
    <x v="782"/>
    <n v="655000"/>
    <x v="167"/>
    <x v="9"/>
    <x v="392"/>
    <x v="0"/>
    <x v="0"/>
    <x v="10"/>
    <s v="First            "/>
    <s v="1199 cc "/>
    <s v="89 bhp @ 6000 rpm   "/>
    <n v="89"/>
    <n v="3.9550000000000001"/>
    <n v="1.694"/>
    <n v="1.544"/>
    <n v="5"/>
    <x v="1"/>
    <n v="40"/>
  </r>
  <r>
    <x v="1"/>
    <x v="359"/>
    <x v="783"/>
    <n v="660000"/>
    <x v="168"/>
    <x v="12"/>
    <x v="393"/>
    <x v="0"/>
    <x v="0"/>
    <x v="2"/>
    <s v="First            "/>
    <s v="1197 cc "/>
    <s v="82 bhp @ 6000 rpm   "/>
    <n v="82"/>
    <n v="3.9849999999999999"/>
    <n v="1.734"/>
    <n v="1.5049999999999999"/>
    <n v="5"/>
    <x v="1"/>
    <n v="45"/>
  </r>
  <r>
    <x v="2"/>
    <x v="407"/>
    <x v="784"/>
    <n v="660000"/>
    <x v="168"/>
    <x v="9"/>
    <x v="122"/>
    <x v="0"/>
    <x v="1"/>
    <x v="7"/>
    <s v="First            "/>
    <s v="1197 cc "/>
    <s v="83 bhp @ 6000 rpm   "/>
    <n v="83"/>
    <n v="3.9950000000000001"/>
    <n v="1.7450000000000001"/>
    <n v="1.5"/>
    <n v="5"/>
    <x v="1"/>
    <n v="37"/>
  </r>
  <r>
    <x v="2"/>
    <x v="97"/>
    <x v="785"/>
    <n v="661000"/>
    <x v="169"/>
    <x v="15"/>
    <x v="394"/>
    <x v="0"/>
    <x v="0"/>
    <x v="14"/>
    <s v="First            "/>
    <s v="1197 cc "/>
    <s v="89 bhp @ 6000 rpm   "/>
    <n v="89"/>
    <n v="3.8450000000000002"/>
    <n v="1.7350000000000001"/>
    <n v="1.53"/>
    <n v="5"/>
    <x v="1"/>
    <n v="37"/>
  </r>
  <r>
    <x v="2"/>
    <x v="408"/>
    <x v="786"/>
    <n v="665000"/>
    <x v="170"/>
    <x v="9"/>
    <x v="22"/>
    <x v="2"/>
    <x v="0"/>
    <x v="7"/>
    <s v="First            "/>
    <s v="1248 cc "/>
    <s v="74 bhp @ 4000 rpm   "/>
    <n v="74"/>
    <n v="3.9950000000000001"/>
    <n v="1.7450000000000001"/>
    <n v="1.5"/>
    <n v="5"/>
    <x v="1"/>
    <n v="37"/>
  </r>
  <r>
    <x v="2"/>
    <x v="409"/>
    <x v="787"/>
    <n v="669000"/>
    <x v="171"/>
    <x v="11"/>
    <x v="26"/>
    <x v="2"/>
    <x v="0"/>
    <x v="2"/>
    <s v="First            "/>
    <s v="1248 cc "/>
    <s v="89 bhp @ 4000 rpm   "/>
    <n v="89"/>
    <n v="3.9950000000000001"/>
    <n v="1.79"/>
    <n v="1.64"/>
    <n v="5"/>
    <x v="1"/>
    <n v="48"/>
  </r>
  <r>
    <x v="8"/>
    <x v="410"/>
    <x v="788"/>
    <n v="671000"/>
    <x v="172"/>
    <x v="8"/>
    <x v="119"/>
    <x v="2"/>
    <x v="0"/>
    <x v="0"/>
    <s v="First            "/>
    <s v="2179 cc "/>
    <s v="120 bhp @ 4000 rpm  "/>
    <n v="120"/>
    <n v="4.43"/>
    <n v="1.8169999999999999"/>
    <n v="1.9750000000000001"/>
    <n v="8"/>
    <x v="1"/>
    <n v="60"/>
  </r>
  <r>
    <x v="5"/>
    <x v="246"/>
    <x v="789"/>
    <n v="675000"/>
    <x v="173"/>
    <x v="11"/>
    <x v="395"/>
    <x v="0"/>
    <x v="0"/>
    <x v="4"/>
    <s v="First            "/>
    <s v="1497 cc "/>
    <s v="117 bhp @ 6600 rpm  "/>
    <n v="117"/>
    <n v="4.4400000000000004"/>
    <n v="1.6950000000000001"/>
    <n v="1.4950000000000001"/>
    <n v="5"/>
    <x v="1"/>
    <n v="40"/>
  </r>
  <r>
    <x v="8"/>
    <x v="177"/>
    <x v="790"/>
    <n v="675000"/>
    <x v="173"/>
    <x v="6"/>
    <x v="101"/>
    <x v="2"/>
    <x v="0"/>
    <x v="0"/>
    <s v="Second           "/>
    <s v="2179 cc "/>
    <s v="120 bhp @ 4000 rpm  "/>
    <n v="120"/>
    <n v="4.43"/>
    <n v="1.8169999999999999"/>
    <n v="1.9750000000000001"/>
    <n v="8"/>
    <x v="1"/>
    <n v="60"/>
  </r>
  <r>
    <x v="16"/>
    <x v="411"/>
    <x v="791"/>
    <n v="675000"/>
    <x v="173"/>
    <x v="8"/>
    <x v="396"/>
    <x v="2"/>
    <x v="1"/>
    <x v="0"/>
    <s v="Second           "/>
    <s v="2696 cc "/>
    <s v="184 bhp @ 4000 rpm  "/>
    <n v="184"/>
    <n v="4.7549999999999999"/>
    <n v="1.9"/>
    <n v="1.7849999999999999"/>
    <n v="7"/>
    <x v="1"/>
    <n v="78"/>
  </r>
  <r>
    <x v="14"/>
    <x v="412"/>
    <x v="792"/>
    <n v="675000"/>
    <x v="173"/>
    <x v="4"/>
    <x v="168"/>
    <x v="2"/>
    <x v="1"/>
    <x v="8"/>
    <s v="First            "/>
    <s v="2143 cc "/>
    <s v="207 bhp @4200            "/>
    <n v="207"/>
    <n v="4.5960000000000001"/>
    <n v="2.02"/>
    <n v="1.4470000000000001"/>
    <n v="5"/>
    <x v="1"/>
    <n v="66"/>
  </r>
  <r>
    <x v="2"/>
    <x v="413"/>
    <x v="793"/>
    <n v="675000"/>
    <x v="173"/>
    <x v="15"/>
    <x v="385"/>
    <x v="3"/>
    <x v="0"/>
    <x v="0"/>
    <s v="First            "/>
    <s v="998 cc  "/>
    <s v="58 bhp @ 5500 rpm   "/>
    <n v="58"/>
    <n v="3.6549999999999998"/>
    <n v="1.62"/>
    <n v="1.675"/>
    <n v="5"/>
    <x v="1"/>
    <n v="60"/>
  </r>
  <r>
    <x v="1"/>
    <x v="285"/>
    <x v="794"/>
    <n v="675000"/>
    <x v="173"/>
    <x v="9"/>
    <x v="397"/>
    <x v="0"/>
    <x v="0"/>
    <x v="0"/>
    <s v="First            "/>
    <s v="1197 cc "/>
    <s v="82 bhp @ 6000 rpm   "/>
    <n v="82"/>
    <n v="3.9849999999999999"/>
    <n v="1.734"/>
    <n v="1.5049999999999999"/>
    <n v="5"/>
    <x v="1"/>
    <n v="45"/>
  </r>
  <r>
    <x v="2"/>
    <x v="407"/>
    <x v="795"/>
    <n v="675000"/>
    <x v="173"/>
    <x v="9"/>
    <x v="398"/>
    <x v="0"/>
    <x v="1"/>
    <x v="7"/>
    <s v="First            "/>
    <s v="1197 cc "/>
    <s v="83 bhp @ 6000 rpm   "/>
    <n v="83"/>
    <n v="3.9950000000000001"/>
    <n v="1.7450000000000001"/>
    <n v="1.5"/>
    <n v="5"/>
    <x v="1"/>
    <n v="37"/>
  </r>
  <r>
    <x v="2"/>
    <x v="414"/>
    <x v="796"/>
    <n v="675000"/>
    <x v="173"/>
    <x v="9"/>
    <x v="399"/>
    <x v="2"/>
    <x v="0"/>
    <x v="10"/>
    <s v="First            "/>
    <s v="1248 cc "/>
    <s v="89 bhp @ 4000 rpm   "/>
    <n v="89"/>
    <n v="4.3"/>
    <n v="1.7649999999999999"/>
    <n v="1.59"/>
    <n v="5"/>
    <x v="1"/>
    <n v="48"/>
  </r>
  <r>
    <x v="5"/>
    <x v="301"/>
    <x v="797"/>
    <n v="675000"/>
    <x v="173"/>
    <x v="9"/>
    <x v="400"/>
    <x v="0"/>
    <x v="1"/>
    <x v="10"/>
    <s v="First            "/>
    <s v="1199 cc "/>
    <s v="89 bhp @ 6000 rpm   "/>
    <n v="89"/>
    <n v="3.9550000000000001"/>
    <n v="1.694"/>
    <n v="1.544"/>
    <n v="5"/>
    <x v="1"/>
    <n v="40"/>
  </r>
  <r>
    <x v="2"/>
    <x v="409"/>
    <x v="798"/>
    <n v="675000"/>
    <x v="173"/>
    <x v="11"/>
    <x v="15"/>
    <x v="2"/>
    <x v="0"/>
    <x v="2"/>
    <s v="First            "/>
    <s v="1248 cc "/>
    <s v="89 bhp @ 4000 rpm   "/>
    <n v="89"/>
    <n v="3.9950000000000001"/>
    <n v="1.79"/>
    <n v="1.64"/>
    <n v="5"/>
    <x v="1"/>
    <n v="48"/>
  </r>
  <r>
    <x v="2"/>
    <x v="409"/>
    <x v="799"/>
    <n v="675000"/>
    <x v="173"/>
    <x v="11"/>
    <x v="114"/>
    <x v="2"/>
    <x v="0"/>
    <x v="4"/>
    <s v="First            "/>
    <s v="1248 cc "/>
    <s v="89 bhp @ 4000 rpm   "/>
    <n v="89"/>
    <n v="3.9950000000000001"/>
    <n v="1.79"/>
    <n v="1.64"/>
    <n v="5"/>
    <x v="1"/>
    <n v="48"/>
  </r>
  <r>
    <x v="2"/>
    <x v="385"/>
    <x v="800"/>
    <n v="675000"/>
    <x v="173"/>
    <x v="12"/>
    <x v="23"/>
    <x v="2"/>
    <x v="0"/>
    <x v="0"/>
    <s v="First            "/>
    <s v="1248 cc "/>
    <s v="89 bhp @ 4000 rpm   "/>
    <n v="89"/>
    <n v="3.9950000000000001"/>
    <n v="1.79"/>
    <n v="1.64"/>
    <n v="5"/>
    <x v="1"/>
    <n v="48"/>
  </r>
  <r>
    <x v="5"/>
    <x v="379"/>
    <x v="801"/>
    <n v="675000"/>
    <x v="173"/>
    <x v="13"/>
    <x v="401"/>
    <x v="0"/>
    <x v="0"/>
    <x v="0"/>
    <s v="First            "/>
    <s v="1199 cc "/>
    <s v="89 bhp @ 6000 rpm   "/>
    <n v="89"/>
    <n v="3.9950000000000001"/>
    <n v="1.6950000000000001"/>
    <n v="1.5009999999999999"/>
    <n v="5"/>
    <x v="1"/>
    <n v="35"/>
  </r>
  <r>
    <x v="5"/>
    <x v="415"/>
    <x v="802"/>
    <n v="675000"/>
    <x v="173"/>
    <x v="14"/>
    <x v="71"/>
    <x v="0"/>
    <x v="0"/>
    <x v="0"/>
    <s v="First            "/>
    <s v="1199 cc "/>
    <s v="89 bhp @ 6000 rpm   "/>
    <n v="89"/>
    <n v="3.9950000000000001"/>
    <n v="1.6950000000000001"/>
    <n v="1.5009999999999999"/>
    <n v="5"/>
    <x v="1"/>
    <n v="35"/>
  </r>
  <r>
    <x v="2"/>
    <x v="416"/>
    <x v="803"/>
    <n v="675000"/>
    <x v="173"/>
    <x v="9"/>
    <x v="402"/>
    <x v="0"/>
    <x v="0"/>
    <x v="2"/>
    <s v="First            "/>
    <s v="1373 cc "/>
    <s v="91 bhp @ 6000 rpm   "/>
    <n v="91"/>
    <n v="4.49"/>
    <n v="1.73"/>
    <n v="1.4850000000000001"/>
    <n v="5"/>
    <x v="1"/>
    <n v="43"/>
  </r>
  <r>
    <x v="2"/>
    <x v="417"/>
    <x v="804"/>
    <n v="675000"/>
    <x v="173"/>
    <x v="11"/>
    <x v="403"/>
    <x v="0"/>
    <x v="1"/>
    <x v="7"/>
    <s v="Second           "/>
    <s v="1373 cc "/>
    <s v="94 bhp @ 6000 rpm   "/>
    <n v="94"/>
    <n v="4.2649999999999997"/>
    <n v="1.6950000000000001"/>
    <n v="1.6850000000000001"/>
    <n v="7"/>
    <x v="1"/>
    <n v="45"/>
  </r>
  <r>
    <x v="3"/>
    <x v="418"/>
    <x v="805"/>
    <n v="675000"/>
    <x v="173"/>
    <x v="9"/>
    <x v="404"/>
    <x v="2"/>
    <x v="0"/>
    <x v="1"/>
    <s v="First            "/>
    <s v="1498 cc "/>
    <s v="99 bhp @ 3750 rpm   "/>
    <n v="99"/>
    <n v="3.9980000000000002"/>
    <n v="1.7649999999999999"/>
    <n v="1.647"/>
    <n v="5"/>
    <x v="1"/>
    <n v="52"/>
  </r>
  <r>
    <x v="3"/>
    <x v="419"/>
    <x v="806"/>
    <n v="675000"/>
    <x v="173"/>
    <x v="13"/>
    <x v="56"/>
    <x v="2"/>
    <x v="0"/>
    <x v="0"/>
    <s v="First            "/>
    <s v="1498 cc "/>
    <s v="99 bhp @ 3750 rpm   "/>
    <n v="99"/>
    <n v="3.9950000000000001"/>
    <n v="1.704"/>
    <n v="1.5249999999999999"/>
    <n v="5"/>
    <x v="1"/>
    <n v="40"/>
  </r>
  <r>
    <x v="5"/>
    <x v="420"/>
    <x v="807"/>
    <n v="675000"/>
    <x v="173"/>
    <x v="10"/>
    <x v="22"/>
    <x v="2"/>
    <x v="0"/>
    <x v="0"/>
    <s v="First            "/>
    <s v="1498 cc "/>
    <s v="99 bhp @ 3600 rpm   "/>
    <n v="99"/>
    <n v="4.3860000000000001"/>
    <n v="1.6830000000000001"/>
    <n v="1.603"/>
    <n v="7"/>
    <x v="1"/>
    <n v="42"/>
  </r>
  <r>
    <x v="4"/>
    <x v="421"/>
    <x v="808"/>
    <n v="680000"/>
    <x v="174"/>
    <x v="6"/>
    <x v="21"/>
    <x v="2"/>
    <x v="0"/>
    <x v="0"/>
    <s v="Second           "/>
    <s v="1364 cc "/>
    <s v="87 bhp @ 3800 rpm   "/>
    <n v="87"/>
    <n v="4.62"/>
    <n v="1.7749999999999999"/>
    <n v="1.4750000000000001"/>
    <n v="5"/>
    <x v="1"/>
    <n v="50"/>
  </r>
  <r>
    <x v="13"/>
    <x v="422"/>
    <x v="809"/>
    <n v="685000"/>
    <x v="175"/>
    <x v="10"/>
    <x v="21"/>
    <x v="2"/>
    <x v="1"/>
    <x v="2"/>
    <s v="First            "/>
    <s v="1498 cc "/>
    <s v="103 bhp @ 4400 rpm  "/>
    <n v="103"/>
    <n v="4.3840000000000003"/>
    <n v="1.6990000000000001"/>
    <n v="1.466"/>
    <n v="5"/>
    <x v="1"/>
    <n v="55"/>
  </r>
  <r>
    <x v="5"/>
    <x v="246"/>
    <x v="810"/>
    <n v="685000"/>
    <x v="175"/>
    <x v="11"/>
    <x v="342"/>
    <x v="0"/>
    <x v="0"/>
    <x v="12"/>
    <s v="First            "/>
    <s v="1497 cc "/>
    <s v="117 bhp @ 6600 rpm  "/>
    <n v="117"/>
    <n v="4.4400000000000004"/>
    <n v="1.6950000000000001"/>
    <n v="1.4950000000000001"/>
    <n v="5"/>
    <x v="1"/>
    <n v="40"/>
  </r>
  <r>
    <x v="2"/>
    <x v="423"/>
    <x v="811"/>
    <n v="685000"/>
    <x v="175"/>
    <x v="12"/>
    <x v="115"/>
    <x v="2"/>
    <x v="1"/>
    <x v="0"/>
    <s v="First            "/>
    <s v="1248 cc "/>
    <s v="74 bhp @ 4000 rpm   "/>
    <n v="74"/>
    <n v="3.9950000000000001"/>
    <n v="1.7350000000000001"/>
    <n v="1.5149999999999999"/>
    <n v="5"/>
    <x v="1"/>
    <n v="37"/>
  </r>
  <r>
    <x v="1"/>
    <x v="354"/>
    <x v="812"/>
    <n v="685000"/>
    <x v="175"/>
    <x v="15"/>
    <x v="405"/>
    <x v="0"/>
    <x v="1"/>
    <x v="7"/>
    <s v="First            "/>
    <s v="1197 cc "/>
    <s v="82 bhp @ 6000 rpm   "/>
    <n v="82"/>
    <n v="3.8050000000000002"/>
    <n v="1.68"/>
    <n v="1.52"/>
    <n v="5"/>
    <x v="1"/>
    <n v="37"/>
  </r>
  <r>
    <x v="1"/>
    <x v="315"/>
    <x v="813"/>
    <n v="685000"/>
    <x v="175"/>
    <x v="12"/>
    <x v="406"/>
    <x v="0"/>
    <x v="0"/>
    <x v="10"/>
    <s v="First            "/>
    <s v="1197 cc "/>
    <s v="82 bhp @ 6000 rpm   "/>
    <n v="82"/>
    <n v="3.9950000000000001"/>
    <n v="1.76"/>
    <n v="1.5549999999999999"/>
    <n v="5"/>
    <x v="1"/>
    <n v="40"/>
  </r>
  <r>
    <x v="2"/>
    <x v="253"/>
    <x v="814"/>
    <n v="685000"/>
    <x v="175"/>
    <x v="9"/>
    <x v="407"/>
    <x v="0"/>
    <x v="0"/>
    <x v="4"/>
    <s v="First            "/>
    <s v="1197 cc "/>
    <s v="83 bhp @ 6000 rpm   "/>
    <n v="83"/>
    <n v="3.9950000000000001"/>
    <n v="1.7450000000000001"/>
    <n v="1.5"/>
    <n v="5"/>
    <x v="1"/>
    <n v="37"/>
  </r>
  <r>
    <x v="2"/>
    <x v="406"/>
    <x v="815"/>
    <n v="685000"/>
    <x v="175"/>
    <x v="13"/>
    <x v="110"/>
    <x v="0"/>
    <x v="0"/>
    <x v="7"/>
    <s v="First            "/>
    <s v="1197 cc "/>
    <s v="89 bhp @ 6000 rpm   "/>
    <n v="89"/>
    <n v="3.9950000000000001"/>
    <n v="1.7350000000000001"/>
    <n v="1.5149999999999999"/>
    <n v="5"/>
    <x v="1"/>
    <n v="37"/>
  </r>
  <r>
    <x v="13"/>
    <x v="424"/>
    <x v="816"/>
    <n v="690000"/>
    <x v="176"/>
    <x v="12"/>
    <x v="194"/>
    <x v="0"/>
    <x v="0"/>
    <x v="5"/>
    <s v="First            "/>
    <s v="1598 cc "/>
    <s v="103 bhp @ 5250 rpm  "/>
    <n v="103"/>
    <n v="4.3899999999999997"/>
    <n v="1.6990000000000001"/>
    <n v="1.4670000000000001"/>
    <n v="5"/>
    <x v="1"/>
    <n v="55"/>
  </r>
  <r>
    <x v="11"/>
    <x v="425"/>
    <x v="817"/>
    <n v="690000"/>
    <x v="176"/>
    <x v="11"/>
    <x v="56"/>
    <x v="2"/>
    <x v="1"/>
    <x v="2"/>
    <s v="Second           "/>
    <s v="1461 cc "/>
    <s v="108 bhp @ 3900 rpm  "/>
    <n v="108"/>
    <n v="4.3150000000000004"/>
    <n v="1.8220000000000001"/>
    <n v="1.6950000000000001"/>
    <n v="5"/>
    <x v="1"/>
    <n v="50"/>
  </r>
  <r>
    <x v="11"/>
    <x v="426"/>
    <x v="818"/>
    <n v="690000"/>
    <x v="176"/>
    <x v="11"/>
    <x v="6"/>
    <x v="2"/>
    <x v="0"/>
    <x v="2"/>
    <s v="Second           "/>
    <s v="1461 cc "/>
    <s v="108 bhp @ 3900 rpm  "/>
    <n v="108"/>
    <n v="4.3150000000000004"/>
    <n v="1.8220000000000001"/>
    <n v="1.6950000000000001"/>
    <n v="5"/>
    <x v="1"/>
    <n v="50"/>
  </r>
  <r>
    <x v="5"/>
    <x v="427"/>
    <x v="819"/>
    <n v="690000"/>
    <x v="176"/>
    <x v="10"/>
    <x v="4"/>
    <x v="0"/>
    <x v="1"/>
    <x v="1"/>
    <s v="First            "/>
    <s v="1497 cc "/>
    <s v="117 bhp @ 6600 rpm  "/>
    <n v="117"/>
    <n v="4.4400000000000004"/>
    <n v="1.6950000000000001"/>
    <n v="1.4950000000000001"/>
    <n v="5"/>
    <x v="1"/>
    <n v="40"/>
  </r>
  <r>
    <x v="5"/>
    <x v="349"/>
    <x v="820"/>
    <n v="690000"/>
    <x v="176"/>
    <x v="6"/>
    <x v="25"/>
    <x v="0"/>
    <x v="0"/>
    <x v="0"/>
    <s v="First            "/>
    <s v="1497 cc "/>
    <s v="117 bhp @ 6600 rpm  "/>
    <n v="117"/>
    <n v="4.4400000000000004"/>
    <n v="1.6950000000000001"/>
    <n v="1.4950000000000001"/>
    <n v="5"/>
    <x v="1"/>
    <n v="40"/>
  </r>
  <r>
    <x v="8"/>
    <x v="428"/>
    <x v="821"/>
    <n v="690000"/>
    <x v="176"/>
    <x v="10"/>
    <x v="408"/>
    <x v="2"/>
    <x v="0"/>
    <x v="1"/>
    <s v="Second           "/>
    <s v="1997 cc "/>
    <s v="138 bhp @ 3750 rpm  "/>
    <n v="138"/>
    <n v="4.585"/>
    <n v="1.89"/>
    <n v="1.7849999999999999"/>
    <n v="7"/>
    <x v="1"/>
    <n v="70"/>
  </r>
  <r>
    <x v="2"/>
    <x v="408"/>
    <x v="822"/>
    <n v="690000"/>
    <x v="176"/>
    <x v="9"/>
    <x v="27"/>
    <x v="2"/>
    <x v="0"/>
    <x v="9"/>
    <s v="First            "/>
    <s v="1248 cc "/>
    <s v="74 bhp @ 4000 rpm   "/>
    <n v="74"/>
    <n v="3.9950000000000001"/>
    <n v="1.7450000000000001"/>
    <n v="1.5"/>
    <n v="5"/>
    <x v="1"/>
    <n v="37"/>
  </r>
  <r>
    <x v="4"/>
    <x v="429"/>
    <x v="823"/>
    <n v="690000"/>
    <x v="176"/>
    <x v="14"/>
    <x v="17"/>
    <x v="0"/>
    <x v="0"/>
    <x v="7"/>
    <s v="First            "/>
    <s v="1197 cc "/>
    <s v="82 bhp @ 6000 rpm   "/>
    <n v="82"/>
    <n v="3.9950000000000001"/>
    <n v="1.7450000000000001"/>
    <n v="1.51"/>
    <n v="5"/>
    <x v="1"/>
    <n v="37"/>
  </r>
  <r>
    <x v="1"/>
    <x v="430"/>
    <x v="824"/>
    <n v="690000"/>
    <x v="176"/>
    <x v="9"/>
    <x v="409"/>
    <x v="0"/>
    <x v="0"/>
    <x v="4"/>
    <s v="First            "/>
    <s v="1197 cc "/>
    <s v="82 bhp @ 6000 rpm   "/>
    <n v="82"/>
    <n v="3.9849999999999999"/>
    <n v="1.734"/>
    <n v="1.5049999999999999"/>
    <n v="5"/>
    <x v="1"/>
    <n v="45"/>
  </r>
  <r>
    <x v="1"/>
    <x v="431"/>
    <x v="825"/>
    <n v="690000"/>
    <x v="176"/>
    <x v="9"/>
    <x v="6"/>
    <x v="2"/>
    <x v="0"/>
    <x v="0"/>
    <s v="First            "/>
    <s v="1396 cc "/>
    <s v="89 bhp @ 4000 rpm   "/>
    <n v="89"/>
    <n v="3.9849999999999999"/>
    <n v="1.734"/>
    <n v="1.5049999999999999"/>
    <n v="5"/>
    <x v="1"/>
    <n v="45"/>
  </r>
  <r>
    <x v="5"/>
    <x v="289"/>
    <x v="826"/>
    <n v="690000"/>
    <x v="176"/>
    <x v="11"/>
    <x v="194"/>
    <x v="2"/>
    <x v="0"/>
    <x v="10"/>
    <s v="First            "/>
    <s v="1498 cc "/>
    <s v="99 bhp @ 3600 rpm   "/>
    <n v="99"/>
    <n v="4.4400000000000004"/>
    <n v="1.6950000000000001"/>
    <n v="1.4950000000000001"/>
    <n v="5"/>
    <x v="1"/>
    <n v="40"/>
  </r>
  <r>
    <x v="2"/>
    <x v="406"/>
    <x v="827"/>
    <n v="691000"/>
    <x v="177"/>
    <x v="13"/>
    <x v="410"/>
    <x v="0"/>
    <x v="0"/>
    <x v="0"/>
    <s v="First            "/>
    <s v="1197 cc "/>
    <s v="89 bhp @ 6000 rpm   "/>
    <n v="89"/>
    <n v="3.9950000000000001"/>
    <n v="1.7350000000000001"/>
    <n v="1.5149999999999999"/>
    <n v="5"/>
    <x v="1"/>
    <n v="37"/>
  </r>
  <r>
    <x v="5"/>
    <x v="432"/>
    <x v="828"/>
    <n v="695000"/>
    <x v="178"/>
    <x v="9"/>
    <x v="411"/>
    <x v="0"/>
    <x v="0"/>
    <x v="0"/>
    <s v="First            "/>
    <s v="1497 cc "/>
    <s v="117 bhp @ 6600 rpm  "/>
    <n v="117"/>
    <n v="4.4400000000000004"/>
    <n v="1.6950000000000001"/>
    <n v="1.4950000000000001"/>
    <n v="5"/>
    <x v="1"/>
    <n v="40"/>
  </r>
  <r>
    <x v="1"/>
    <x v="433"/>
    <x v="829"/>
    <n v="695000"/>
    <x v="178"/>
    <x v="14"/>
    <x v="185"/>
    <x v="3"/>
    <x v="0"/>
    <x v="11"/>
    <s v="First            "/>
    <s v="1197 cc "/>
    <s v="68 bhp @ 6000 rpm   "/>
    <n v="68"/>
    <n v="3.8050000000000002"/>
    <n v="1.68"/>
    <n v="1.52"/>
    <n v="5"/>
    <x v="1"/>
    <n v="60"/>
  </r>
  <r>
    <x v="2"/>
    <x v="434"/>
    <x v="830"/>
    <n v="695000"/>
    <x v="178"/>
    <x v="12"/>
    <x v="17"/>
    <x v="2"/>
    <x v="1"/>
    <x v="2"/>
    <s v="First            "/>
    <s v="1248 cc "/>
    <s v="74 bhp @ 4000 rpm   "/>
    <n v="74"/>
    <n v="3.9950000000000001"/>
    <n v="1.7350000000000001"/>
    <n v="1.5149999999999999"/>
    <n v="5"/>
    <x v="1"/>
    <n v="37"/>
  </r>
  <r>
    <x v="2"/>
    <x v="434"/>
    <x v="831"/>
    <n v="695000"/>
    <x v="178"/>
    <x v="12"/>
    <x v="31"/>
    <x v="2"/>
    <x v="1"/>
    <x v="4"/>
    <s v="First            "/>
    <s v="1248 cc "/>
    <s v="74 bhp @ 4000 rpm   "/>
    <n v="74"/>
    <n v="3.9950000000000001"/>
    <n v="1.7350000000000001"/>
    <n v="1.5149999999999999"/>
    <n v="5"/>
    <x v="1"/>
    <n v="37"/>
  </r>
  <r>
    <x v="2"/>
    <x v="435"/>
    <x v="832"/>
    <n v="695000"/>
    <x v="178"/>
    <x v="11"/>
    <x v="412"/>
    <x v="2"/>
    <x v="0"/>
    <x v="4"/>
    <s v="First            "/>
    <s v="1248 cc "/>
    <s v="74 bhp @ 4000 rpm   "/>
    <n v="74"/>
    <n v="3.9950000000000001"/>
    <n v="1.7450000000000001"/>
    <n v="1.5"/>
    <n v="5"/>
    <x v="1"/>
    <n v="37"/>
  </r>
  <r>
    <x v="1"/>
    <x v="392"/>
    <x v="833"/>
    <n v="695000"/>
    <x v="178"/>
    <x v="13"/>
    <x v="413"/>
    <x v="0"/>
    <x v="0"/>
    <x v="7"/>
    <s v="First            "/>
    <s v="1197 cc "/>
    <s v="82 bhp @ 6000 rpm   "/>
    <n v="82"/>
    <n v="3.9849999999999999"/>
    <n v="1.734"/>
    <n v="1.5049999999999999"/>
    <n v="5"/>
    <x v="1"/>
    <n v="45"/>
  </r>
  <r>
    <x v="2"/>
    <x v="436"/>
    <x v="834"/>
    <n v="695000"/>
    <x v="178"/>
    <x v="12"/>
    <x v="414"/>
    <x v="0"/>
    <x v="1"/>
    <x v="7"/>
    <s v="First            "/>
    <s v="1197 cc "/>
    <s v="82 bhp @ 6000 rpm   "/>
    <n v="82"/>
    <n v="3.84"/>
    <n v="1.7350000000000001"/>
    <n v="1.53"/>
    <n v="5"/>
    <x v="1"/>
    <n v="37"/>
  </r>
  <r>
    <x v="2"/>
    <x v="373"/>
    <x v="835"/>
    <n v="695000"/>
    <x v="178"/>
    <x v="12"/>
    <x v="415"/>
    <x v="0"/>
    <x v="1"/>
    <x v="1"/>
    <s v="First            "/>
    <s v="1197 cc "/>
    <s v="82 bhp @ 6000 rpm   "/>
    <n v="82"/>
    <n v="3.9950000000000001"/>
    <n v="1.7350000000000001"/>
    <n v="1.5149999999999999"/>
    <n v="5"/>
    <x v="1"/>
    <n v="37"/>
  </r>
  <r>
    <x v="2"/>
    <x v="226"/>
    <x v="836"/>
    <n v="695000"/>
    <x v="178"/>
    <x v="13"/>
    <x v="416"/>
    <x v="0"/>
    <x v="0"/>
    <x v="7"/>
    <s v="First            "/>
    <s v="1197 cc "/>
    <s v="83 bhp @ 6000 rpm   "/>
    <n v="83"/>
    <n v="3.85"/>
    <n v="1.6950000000000001"/>
    <n v="1.53"/>
    <n v="5"/>
    <x v="1"/>
    <n v="42"/>
  </r>
  <r>
    <x v="2"/>
    <x v="348"/>
    <x v="837"/>
    <n v="695000"/>
    <x v="178"/>
    <x v="11"/>
    <x v="417"/>
    <x v="2"/>
    <x v="0"/>
    <x v="2"/>
    <s v="Second           "/>
    <s v="1248 cc "/>
    <s v="89 bhp @ 4000 rpm   "/>
    <n v="89"/>
    <n v="4.49"/>
    <n v="1.73"/>
    <n v="1.4850000000000001"/>
    <n v="5"/>
    <x v="1"/>
    <n v="43"/>
  </r>
  <r>
    <x v="2"/>
    <x v="437"/>
    <x v="838"/>
    <n v="695000"/>
    <x v="178"/>
    <x v="12"/>
    <x v="106"/>
    <x v="0"/>
    <x v="0"/>
    <x v="2"/>
    <s v="First            "/>
    <s v="1197 cc "/>
    <s v="89 bhp @ 6000 rpm   "/>
    <n v="89"/>
    <n v="3.9950000000000001"/>
    <n v="1.7350000000000001"/>
    <n v="1.5149999999999999"/>
    <n v="5"/>
    <x v="1"/>
    <n v="37"/>
  </r>
  <r>
    <x v="1"/>
    <x v="165"/>
    <x v="839"/>
    <n v="699000"/>
    <x v="179"/>
    <x v="9"/>
    <x v="44"/>
    <x v="0"/>
    <x v="0"/>
    <x v="0"/>
    <s v="First            "/>
    <s v="1591 cc "/>
    <s v="121 bhp @ 6300 rpm  "/>
    <n v="121"/>
    <n v="4.37"/>
    <n v="1.7"/>
    <n v="1.4750000000000001"/>
    <n v="5"/>
    <x v="1"/>
    <n v="43"/>
  </r>
  <r>
    <x v="2"/>
    <x v="438"/>
    <x v="840"/>
    <n v="699000"/>
    <x v="179"/>
    <x v="12"/>
    <x v="195"/>
    <x v="2"/>
    <x v="1"/>
    <x v="4"/>
    <s v="First            "/>
    <s v="1248 cc "/>
    <s v="74 bhp @ 4000 rpm   "/>
    <n v="74"/>
    <n v="3.84"/>
    <n v="1.7350000000000001"/>
    <n v="1.53"/>
    <n v="5"/>
    <x v="1"/>
    <n v="37"/>
  </r>
  <r>
    <x v="13"/>
    <x v="439"/>
    <x v="841"/>
    <n v="699000"/>
    <x v="179"/>
    <x v="13"/>
    <x v="418"/>
    <x v="0"/>
    <x v="0"/>
    <x v="4"/>
    <s v="First            "/>
    <s v="999 cc  "/>
    <s v="75 bhp @ 6200 rpm   "/>
    <n v="75"/>
    <n v="3.9710000000000001"/>
    <n v="1.6819999999999999"/>
    <n v="1.4690000000000001"/>
    <n v="5"/>
    <x v="1"/>
    <n v="45"/>
  </r>
  <r>
    <x v="2"/>
    <x v="440"/>
    <x v="842"/>
    <n v="699000"/>
    <x v="179"/>
    <x v="14"/>
    <x v="419"/>
    <x v="0"/>
    <x v="1"/>
    <x v="0"/>
    <s v="First            "/>
    <s v="1197 cc "/>
    <s v="82 bhp @ 6000 rpm   "/>
    <n v="82"/>
    <n v="3.6549999999999998"/>
    <n v="1.62"/>
    <n v="1.675"/>
    <n v="5"/>
    <x v="1"/>
    <n v="32"/>
  </r>
  <r>
    <x v="3"/>
    <x v="441"/>
    <x v="843"/>
    <n v="699000"/>
    <x v="179"/>
    <x v="9"/>
    <x v="33"/>
    <x v="2"/>
    <x v="0"/>
    <x v="2"/>
    <s v="First            "/>
    <s v="1498 cc "/>
    <s v="99 bhp @ 3750 rpm   "/>
    <n v="99"/>
    <n v="3.9990000000000001"/>
    <n v="1.7649999999999999"/>
    <n v="1.708"/>
    <n v="5"/>
    <x v="1"/>
    <n v="52"/>
  </r>
  <r>
    <x v="1"/>
    <x v="390"/>
    <x v="844"/>
    <n v="700000"/>
    <x v="180"/>
    <x v="6"/>
    <x v="23"/>
    <x v="0"/>
    <x v="0"/>
    <x v="0"/>
    <s v="First            "/>
    <s v="1797 cc "/>
    <s v="147 bhp @ 6500 rpm  "/>
    <n v="147"/>
    <n v="4.53"/>
    <n v="1.7749999999999999"/>
    <n v="1.47"/>
    <n v="5"/>
    <x v="1"/>
    <n v="56"/>
  </r>
  <r>
    <x v="4"/>
    <x v="429"/>
    <x v="845"/>
    <n v="700000"/>
    <x v="180"/>
    <x v="13"/>
    <x v="420"/>
    <x v="0"/>
    <x v="0"/>
    <x v="4"/>
    <s v="First            "/>
    <s v="1197 cc "/>
    <s v="82 bhp @ 6000 rpm   "/>
    <n v="82"/>
    <n v="3.9950000000000001"/>
    <n v="1.7450000000000001"/>
    <n v="1.51"/>
    <n v="5"/>
    <x v="1"/>
    <n v="37"/>
  </r>
  <r>
    <x v="2"/>
    <x v="442"/>
    <x v="846"/>
    <n v="700000"/>
    <x v="180"/>
    <x v="13"/>
    <x v="421"/>
    <x v="0"/>
    <x v="0"/>
    <x v="1"/>
    <s v="Second           "/>
    <s v="1197 cc "/>
    <s v="82 bhp @ 6000 rpm   "/>
    <n v="82"/>
    <n v="3.84"/>
    <n v="1.7350000000000001"/>
    <n v="1.53"/>
    <n v="5"/>
    <x v="1"/>
    <n v="37"/>
  </r>
  <r>
    <x v="1"/>
    <x v="443"/>
    <x v="847"/>
    <n v="700000"/>
    <x v="180"/>
    <x v="14"/>
    <x v="71"/>
    <x v="0"/>
    <x v="0"/>
    <x v="0"/>
    <s v="First            "/>
    <s v="1197 cc "/>
    <s v="82 bhp @ 6000 rpm   "/>
    <n v="82"/>
    <n v="3.9950000000000001"/>
    <n v="1.7749999999999999"/>
    <n v="1.5049999999999999"/>
    <n v="5"/>
    <x v="1"/>
    <n v="37"/>
  </r>
  <r>
    <x v="5"/>
    <x v="444"/>
    <x v="848"/>
    <n v="700000"/>
    <x v="180"/>
    <x v="16"/>
    <x v="422"/>
    <x v="0"/>
    <x v="0"/>
    <x v="0"/>
    <s v="First            "/>
    <s v="1199 cc "/>
    <s v="89 bhp @ 6000 rpm   "/>
    <n v="89"/>
    <n v="3.9950000000000001"/>
    <n v="1.6950000000000001"/>
    <n v="1.5009999999999999"/>
    <n v="5"/>
    <x v="1"/>
    <n v="35"/>
  </r>
  <r>
    <x v="2"/>
    <x v="343"/>
    <x v="849"/>
    <n v="710000"/>
    <x v="181"/>
    <x v="12"/>
    <x v="8"/>
    <x v="2"/>
    <x v="0"/>
    <x v="7"/>
    <s v="First            "/>
    <s v="1598 cc "/>
    <s v="118 bhp @ 3750 rpm  "/>
    <n v="118"/>
    <n v="4.3"/>
    <n v="1.7649999999999999"/>
    <n v="1.59"/>
    <n v="5"/>
    <x v="1"/>
    <n v="48"/>
  </r>
  <r>
    <x v="2"/>
    <x v="445"/>
    <x v="850"/>
    <n v="710000"/>
    <x v="181"/>
    <x v="9"/>
    <x v="62"/>
    <x v="2"/>
    <x v="0"/>
    <x v="0"/>
    <s v="First            "/>
    <s v="1248 cc "/>
    <s v="89 bhp @ 4000 rpm   "/>
    <n v="89"/>
    <n v="3.9950000000000001"/>
    <n v="1.79"/>
    <n v="1.64"/>
    <n v="5"/>
    <x v="1"/>
    <n v="48"/>
  </r>
  <r>
    <x v="2"/>
    <x v="409"/>
    <x v="851"/>
    <n v="711000"/>
    <x v="182"/>
    <x v="12"/>
    <x v="423"/>
    <x v="2"/>
    <x v="0"/>
    <x v="4"/>
    <s v="First            "/>
    <s v="1248 cc "/>
    <s v="89 bhp @ 4000 rpm   "/>
    <n v="89"/>
    <n v="3.9950000000000001"/>
    <n v="1.79"/>
    <n v="1.64"/>
    <n v="5"/>
    <x v="1"/>
    <n v="48"/>
  </r>
  <r>
    <x v="2"/>
    <x v="373"/>
    <x v="852"/>
    <n v="715000"/>
    <x v="183"/>
    <x v="13"/>
    <x v="424"/>
    <x v="0"/>
    <x v="1"/>
    <x v="10"/>
    <s v="First            "/>
    <s v="1197 cc "/>
    <s v="82 bhp @ 6000 rpm   "/>
    <n v="82"/>
    <n v="3.9950000000000001"/>
    <n v="1.7350000000000001"/>
    <n v="1.5149999999999999"/>
    <n v="5"/>
    <x v="1"/>
    <n v="37"/>
  </r>
  <r>
    <x v="1"/>
    <x v="446"/>
    <x v="853"/>
    <n v="715000"/>
    <x v="183"/>
    <x v="14"/>
    <x v="79"/>
    <x v="0"/>
    <x v="1"/>
    <x v="1"/>
    <s v="First            "/>
    <s v="1197 cc "/>
    <s v="82 bhp @ 6000 rpm   "/>
    <n v="82"/>
    <n v="3.8050000000000002"/>
    <n v="1.68"/>
    <n v="1.52"/>
    <n v="5"/>
    <x v="1"/>
    <n v="37"/>
  </r>
  <r>
    <x v="2"/>
    <x v="253"/>
    <x v="854"/>
    <n v="715000"/>
    <x v="183"/>
    <x v="15"/>
    <x v="425"/>
    <x v="0"/>
    <x v="0"/>
    <x v="2"/>
    <s v="First            "/>
    <s v="1197 cc "/>
    <s v="83 bhp @ 6000 rpm   "/>
    <n v="83"/>
    <n v="3.9950000000000001"/>
    <n v="1.7450000000000001"/>
    <n v="1.5"/>
    <n v="5"/>
    <x v="1"/>
    <n v="37"/>
  </r>
  <r>
    <x v="2"/>
    <x v="384"/>
    <x v="855"/>
    <n v="715000"/>
    <x v="183"/>
    <x v="9"/>
    <x v="154"/>
    <x v="2"/>
    <x v="0"/>
    <x v="4"/>
    <s v="First            "/>
    <s v="1248 cc "/>
    <s v="89 bhp @ 4000 rpm   "/>
    <n v="89"/>
    <n v="3.9950000000000001"/>
    <n v="1.79"/>
    <n v="1.64"/>
    <n v="5"/>
    <x v="1"/>
    <n v="48"/>
  </r>
  <r>
    <x v="13"/>
    <x v="447"/>
    <x v="856"/>
    <n v="720000"/>
    <x v="184"/>
    <x v="12"/>
    <x v="426"/>
    <x v="0"/>
    <x v="0"/>
    <x v="2"/>
    <s v="First            "/>
    <s v="999 cc  "/>
    <s v="75 bhp @ 6200 rpm   "/>
    <n v="75"/>
    <n v="3.9710000000000001"/>
    <n v="1.6819999999999999"/>
    <n v="1.4690000000000001"/>
    <n v="5"/>
    <x v="1"/>
    <n v="45"/>
  </r>
  <r>
    <x v="2"/>
    <x v="324"/>
    <x v="857"/>
    <n v="721000"/>
    <x v="185"/>
    <x v="12"/>
    <x v="117"/>
    <x v="0"/>
    <x v="0"/>
    <x v="0"/>
    <s v="First            "/>
    <s v="1373 cc "/>
    <s v="91 bhp @ 6000 rpm   "/>
    <n v="91"/>
    <n v="4.49"/>
    <n v="1.73"/>
    <n v="1.4850000000000001"/>
    <n v="5"/>
    <x v="1"/>
    <n v="43"/>
  </r>
  <r>
    <x v="0"/>
    <x v="448"/>
    <x v="858"/>
    <n v="725000"/>
    <x v="186"/>
    <x v="12"/>
    <x v="6"/>
    <x v="2"/>
    <x v="0"/>
    <x v="0"/>
    <s v="Second           "/>
    <s v="1497 cc "/>
    <s v="108 bhp @ 3750 rpm  "/>
    <n v="108"/>
    <n v="3.9940000000000002"/>
    <n v="1.8109999999999999"/>
    <n v="1.607"/>
    <n v="5"/>
    <x v="1"/>
    <n v="44"/>
  </r>
  <r>
    <x v="1"/>
    <x v="383"/>
    <x v="859"/>
    <n v="725000"/>
    <x v="186"/>
    <x v="11"/>
    <x v="61"/>
    <x v="2"/>
    <x v="0"/>
    <x v="0"/>
    <s v="First            "/>
    <s v="1582 cc "/>
    <s v="126 bhp @ 4000 rpm  "/>
    <n v="126"/>
    <n v="4.375"/>
    <n v="1.7"/>
    <n v="1.4750000000000001"/>
    <n v="5"/>
    <x v="1"/>
    <n v="43"/>
  </r>
  <r>
    <x v="4"/>
    <x v="127"/>
    <x v="860"/>
    <n v="725000"/>
    <x v="186"/>
    <x v="6"/>
    <x v="427"/>
    <x v="0"/>
    <x v="0"/>
    <x v="2"/>
    <s v="First            "/>
    <s v="1798 cc "/>
    <s v="138 bhp @ 6400 rpm  "/>
    <n v="138"/>
    <n v="4.54"/>
    <n v="1.76"/>
    <n v="1.48"/>
    <n v="5"/>
    <x v="1"/>
    <n v="55"/>
  </r>
  <r>
    <x v="1"/>
    <x v="433"/>
    <x v="861"/>
    <n v="725000"/>
    <x v="186"/>
    <x v="15"/>
    <x v="114"/>
    <x v="3"/>
    <x v="0"/>
    <x v="2"/>
    <s v="First            "/>
    <s v="1197 cc "/>
    <s v="68 bhp @ 6000 rpm   "/>
    <n v="68"/>
    <n v="3.8050000000000002"/>
    <n v="1.68"/>
    <n v="1.52"/>
    <n v="5"/>
    <x v="1"/>
    <n v="60"/>
  </r>
  <r>
    <x v="1"/>
    <x v="430"/>
    <x v="862"/>
    <n v="725000"/>
    <x v="186"/>
    <x v="9"/>
    <x v="428"/>
    <x v="0"/>
    <x v="0"/>
    <x v="4"/>
    <s v="Second           "/>
    <s v="1197 cc "/>
    <s v="82 bhp @ 6000 rpm   "/>
    <n v="82"/>
    <n v="3.9849999999999999"/>
    <n v="1.734"/>
    <n v="1.5049999999999999"/>
    <n v="5"/>
    <x v="1"/>
    <n v="45"/>
  </r>
  <r>
    <x v="2"/>
    <x v="436"/>
    <x v="863"/>
    <n v="725000"/>
    <x v="186"/>
    <x v="13"/>
    <x v="429"/>
    <x v="0"/>
    <x v="1"/>
    <x v="0"/>
    <s v="First            "/>
    <s v="1197 cc "/>
    <s v="82 bhp @ 6000 rpm   "/>
    <n v="82"/>
    <n v="3.84"/>
    <n v="1.7350000000000001"/>
    <n v="1.53"/>
    <n v="5"/>
    <x v="1"/>
    <n v="37"/>
  </r>
  <r>
    <x v="2"/>
    <x v="436"/>
    <x v="864"/>
    <n v="725000"/>
    <x v="186"/>
    <x v="13"/>
    <x v="429"/>
    <x v="0"/>
    <x v="1"/>
    <x v="0"/>
    <s v="First            "/>
    <s v="1197 cc "/>
    <s v="82 bhp @ 6000 rpm   "/>
    <n v="82"/>
    <n v="3.84"/>
    <n v="1.7350000000000001"/>
    <n v="1.53"/>
    <n v="5"/>
    <x v="1"/>
    <n v="37"/>
  </r>
  <r>
    <x v="2"/>
    <x v="449"/>
    <x v="865"/>
    <n v="725000"/>
    <x v="186"/>
    <x v="9"/>
    <x v="23"/>
    <x v="2"/>
    <x v="0"/>
    <x v="5"/>
    <s v="First            "/>
    <s v="1248 cc "/>
    <s v="89 bhp @ 4000 rpm   "/>
    <n v="89"/>
    <n v="3.9950000000000001"/>
    <n v="1.79"/>
    <n v="1.64"/>
    <n v="5"/>
    <x v="1"/>
    <n v="48"/>
  </r>
  <r>
    <x v="1"/>
    <x v="296"/>
    <x v="866"/>
    <n v="725000"/>
    <x v="186"/>
    <x v="11"/>
    <x v="112"/>
    <x v="2"/>
    <x v="0"/>
    <x v="0"/>
    <s v="First            "/>
    <s v="1396 cc "/>
    <s v="89 bhp @ 4000 rpm   "/>
    <n v="89"/>
    <n v="3.9950000000000001"/>
    <n v="1.76"/>
    <n v="1.5549999999999999"/>
    <n v="5"/>
    <x v="1"/>
    <n v="45"/>
  </r>
  <r>
    <x v="2"/>
    <x v="445"/>
    <x v="867"/>
    <n v="725000"/>
    <x v="186"/>
    <x v="12"/>
    <x v="61"/>
    <x v="2"/>
    <x v="0"/>
    <x v="0"/>
    <s v="First            "/>
    <s v="1248 cc "/>
    <s v="89 bhp @ 4000 rpm   "/>
    <n v="89"/>
    <n v="3.9950000000000001"/>
    <n v="1.79"/>
    <n v="1.64"/>
    <n v="5"/>
    <x v="1"/>
    <n v="48"/>
  </r>
  <r>
    <x v="2"/>
    <x v="364"/>
    <x v="868"/>
    <n v="725000"/>
    <x v="186"/>
    <x v="9"/>
    <x v="61"/>
    <x v="2"/>
    <x v="0"/>
    <x v="0"/>
    <s v="First            "/>
    <s v="1248 cc "/>
    <s v="89 bhp @ 4000 rpm   "/>
    <n v="89"/>
    <n v="4.2960000000000003"/>
    <n v="1.6950000000000001"/>
    <n v="1.6850000000000001"/>
    <n v="7"/>
    <x v="1"/>
    <n v="45"/>
  </r>
  <r>
    <x v="2"/>
    <x v="445"/>
    <x v="869"/>
    <n v="725000"/>
    <x v="186"/>
    <x v="9"/>
    <x v="430"/>
    <x v="2"/>
    <x v="0"/>
    <x v="0"/>
    <s v="First            "/>
    <s v="1248 cc "/>
    <s v="89 bhp @ 4000 rpm   "/>
    <n v="89"/>
    <n v="3.9950000000000001"/>
    <n v="1.79"/>
    <n v="1.64"/>
    <n v="5"/>
    <x v="1"/>
    <n v="48"/>
  </r>
  <r>
    <x v="2"/>
    <x v="375"/>
    <x v="870"/>
    <n v="725000"/>
    <x v="186"/>
    <x v="11"/>
    <x v="38"/>
    <x v="2"/>
    <x v="0"/>
    <x v="0"/>
    <s v="First            "/>
    <s v="1248 cc "/>
    <s v="89 bhp @ 4000 rpm   "/>
    <n v="89"/>
    <n v="4.49"/>
    <n v="1.73"/>
    <n v="1.4850000000000001"/>
    <n v="5"/>
    <x v="1"/>
    <n v="43"/>
  </r>
  <r>
    <x v="2"/>
    <x v="450"/>
    <x v="871"/>
    <n v="725000"/>
    <x v="186"/>
    <x v="9"/>
    <x v="33"/>
    <x v="2"/>
    <x v="0"/>
    <x v="0"/>
    <s v="First            "/>
    <s v="1248 cc "/>
    <s v="89 bhp @ 4000 rpm   "/>
    <n v="89"/>
    <n v="3.9950000000000001"/>
    <n v="1.79"/>
    <n v="1.64"/>
    <n v="5"/>
    <x v="1"/>
    <n v="48"/>
  </r>
  <r>
    <x v="2"/>
    <x v="451"/>
    <x v="872"/>
    <n v="725000"/>
    <x v="186"/>
    <x v="9"/>
    <x v="17"/>
    <x v="0"/>
    <x v="1"/>
    <x v="0"/>
    <s v="First            "/>
    <s v="1373 cc "/>
    <s v="91 bhp @ 6000 rpm   "/>
    <n v="91"/>
    <n v="4.49"/>
    <n v="1.73"/>
    <n v="1.4850000000000001"/>
    <n v="5"/>
    <x v="1"/>
    <n v="43"/>
  </r>
  <r>
    <x v="2"/>
    <x v="452"/>
    <x v="873"/>
    <n v="725000"/>
    <x v="186"/>
    <x v="11"/>
    <x v="75"/>
    <x v="0"/>
    <x v="0"/>
    <x v="2"/>
    <s v="First            "/>
    <s v="1373 cc "/>
    <s v="94 bhp @ 6000 rpm   "/>
    <n v="94"/>
    <n v="4.2960000000000003"/>
    <n v="1.6950000000000001"/>
    <n v="1.6850000000000001"/>
    <n v="7"/>
    <x v="1"/>
    <n v="45"/>
  </r>
  <r>
    <x v="5"/>
    <x v="246"/>
    <x v="874"/>
    <n v="730000"/>
    <x v="187"/>
    <x v="11"/>
    <x v="431"/>
    <x v="0"/>
    <x v="0"/>
    <x v="2"/>
    <s v="Second           "/>
    <s v="1497 cc "/>
    <s v="117 bhp @ 6600 rpm  "/>
    <n v="117"/>
    <n v="4.4400000000000004"/>
    <n v="1.6950000000000001"/>
    <n v="1.4950000000000001"/>
    <n v="5"/>
    <x v="1"/>
    <n v="40"/>
  </r>
  <r>
    <x v="2"/>
    <x v="384"/>
    <x v="875"/>
    <n v="730000"/>
    <x v="187"/>
    <x v="9"/>
    <x v="3"/>
    <x v="2"/>
    <x v="0"/>
    <x v="16"/>
    <s v="First            "/>
    <s v="1248 cc "/>
    <s v="89 bhp @ 4000 rpm   "/>
    <n v="89"/>
    <n v="3.9950000000000001"/>
    <n v="1.79"/>
    <n v="1.64"/>
    <n v="5"/>
    <x v="1"/>
    <n v="48"/>
  </r>
  <r>
    <x v="8"/>
    <x v="453"/>
    <x v="876"/>
    <n v="735000"/>
    <x v="188"/>
    <x v="10"/>
    <x v="432"/>
    <x v="2"/>
    <x v="0"/>
    <x v="0"/>
    <s v="First            "/>
    <s v="2179 cc "/>
    <s v="138 bhp @ 3750 rpm  "/>
    <n v="138"/>
    <n v="4.585"/>
    <n v="1.89"/>
    <n v="1.7849999999999999"/>
    <n v="7"/>
    <x v="1"/>
    <n v="70"/>
  </r>
  <r>
    <x v="2"/>
    <x v="454"/>
    <x v="877"/>
    <n v="735000"/>
    <x v="188"/>
    <x v="12"/>
    <x v="61"/>
    <x v="0"/>
    <x v="1"/>
    <x v="7"/>
    <s v="First            "/>
    <s v="1197 cc "/>
    <s v="82 bhp @ 6000 rpm   "/>
    <n v="82"/>
    <n v="3.9950000000000001"/>
    <n v="1.7350000000000001"/>
    <n v="1.5149999999999999"/>
    <n v="5"/>
    <x v="1"/>
    <n v="37"/>
  </r>
  <r>
    <x v="4"/>
    <x v="455"/>
    <x v="878"/>
    <n v="735000"/>
    <x v="188"/>
    <x v="13"/>
    <x v="17"/>
    <x v="0"/>
    <x v="0"/>
    <x v="1"/>
    <s v="First            "/>
    <s v="1197 cc "/>
    <s v="82 bhp @ 6000 rpm   "/>
    <n v="82"/>
    <n v="3.9950000000000001"/>
    <n v="1.7450000000000001"/>
    <n v="1.51"/>
    <n v="5"/>
    <x v="1"/>
    <n v="37"/>
  </r>
  <r>
    <x v="1"/>
    <x v="456"/>
    <x v="879"/>
    <n v="740000"/>
    <x v="189"/>
    <x v="11"/>
    <x v="433"/>
    <x v="0"/>
    <x v="0"/>
    <x v="1"/>
    <s v="First            "/>
    <s v="1591 cc "/>
    <s v="122 bhp @ 6400 rpm  "/>
    <n v="122"/>
    <n v="4.2699999999999996"/>
    <n v="1.78"/>
    <n v="1.63"/>
    <n v="5"/>
    <x v="1"/>
    <n v="60"/>
  </r>
  <r>
    <x v="0"/>
    <x v="457"/>
    <x v="880"/>
    <n v="740000"/>
    <x v="189"/>
    <x v="10"/>
    <x v="434"/>
    <x v="2"/>
    <x v="0"/>
    <x v="8"/>
    <s v="First            "/>
    <s v="2179 cc "/>
    <s v="138 bhp @ 4000 rpm  "/>
    <n v="138"/>
    <n v="4.6550000000000002"/>
    <n v="1.9650000000000001"/>
    <n v="1.9219999999999999"/>
    <n v="7"/>
    <x v="1"/>
    <n v="55"/>
  </r>
  <r>
    <x v="8"/>
    <x v="250"/>
    <x v="881"/>
    <n v="740000"/>
    <x v="189"/>
    <x v="8"/>
    <x v="435"/>
    <x v="2"/>
    <x v="0"/>
    <x v="8"/>
    <s v="First            "/>
    <s v="2179 cc "/>
    <s v="140 bhp @ 3750 rpm  "/>
    <n v="140"/>
    <n v="4.585"/>
    <n v="1.89"/>
    <n v="1.7849999999999999"/>
    <n v="7"/>
    <x v="1"/>
    <n v="70"/>
  </r>
  <r>
    <x v="1"/>
    <x v="458"/>
    <x v="882"/>
    <n v="740000"/>
    <x v="189"/>
    <x v="14"/>
    <x v="170"/>
    <x v="3"/>
    <x v="0"/>
    <x v="1"/>
    <s v="First            "/>
    <s v="1197 cc "/>
    <s v="68 bhp @ 6000 rpm   "/>
    <n v="68"/>
    <n v="3.9950000000000001"/>
    <n v="1.68"/>
    <n v="1.52"/>
    <n v="5"/>
    <x v="1"/>
    <n v="65"/>
  </r>
  <r>
    <x v="2"/>
    <x v="364"/>
    <x v="883"/>
    <n v="740000"/>
    <x v="189"/>
    <x v="9"/>
    <x v="10"/>
    <x v="2"/>
    <x v="0"/>
    <x v="0"/>
    <s v="First            "/>
    <s v="1248 cc "/>
    <s v="89 bhp @ 4000 rpm   "/>
    <n v="89"/>
    <n v="4.2960000000000003"/>
    <n v="1.6950000000000001"/>
    <n v="1.6850000000000001"/>
    <n v="7"/>
    <x v="1"/>
    <n v="45"/>
  </r>
  <r>
    <x v="2"/>
    <x v="459"/>
    <x v="884"/>
    <n v="741000"/>
    <x v="190"/>
    <x v="9"/>
    <x v="106"/>
    <x v="0"/>
    <x v="1"/>
    <x v="7"/>
    <s v="First            "/>
    <s v="1373 cc "/>
    <s v="91 bhp @ 6000 rpm   "/>
    <n v="91"/>
    <n v="4.49"/>
    <n v="1.73"/>
    <n v="1.4850000000000001"/>
    <n v="5"/>
    <x v="1"/>
    <n v="43"/>
  </r>
  <r>
    <x v="9"/>
    <x v="135"/>
    <x v="885"/>
    <n v="745000"/>
    <x v="191"/>
    <x v="11"/>
    <x v="436"/>
    <x v="2"/>
    <x v="0"/>
    <x v="1"/>
    <s v="First            "/>
    <s v="1598 cc "/>
    <s v="105 bhp @ 4400 rpm  "/>
    <n v="105"/>
    <n v="4.3860000000000001"/>
    <n v="1.6990000000000001"/>
    <n v="1.466"/>
    <n v="5"/>
    <x v="1"/>
    <n v="55"/>
  </r>
  <r>
    <x v="5"/>
    <x v="246"/>
    <x v="886"/>
    <n v="745000"/>
    <x v="191"/>
    <x v="11"/>
    <x v="194"/>
    <x v="0"/>
    <x v="0"/>
    <x v="1"/>
    <s v="First            "/>
    <s v="1497 cc "/>
    <s v="117 bhp @ 6600 rpm  "/>
    <n v="117"/>
    <n v="4.4400000000000004"/>
    <n v="1.6950000000000001"/>
    <n v="1.4950000000000001"/>
    <n v="5"/>
    <x v="1"/>
    <n v="40"/>
  </r>
  <r>
    <x v="5"/>
    <x v="460"/>
    <x v="887"/>
    <n v="745000"/>
    <x v="191"/>
    <x v="12"/>
    <x v="43"/>
    <x v="0"/>
    <x v="1"/>
    <x v="1"/>
    <s v="First            "/>
    <s v="1497 cc "/>
    <s v="117 bhp @ 6600 rpm  "/>
    <n v="117"/>
    <n v="4.4530000000000003"/>
    <n v="1.7350000000000001"/>
    <n v="1.6659999999999999"/>
    <n v="7"/>
    <x v="1"/>
    <n v="42"/>
  </r>
  <r>
    <x v="2"/>
    <x v="445"/>
    <x v="888"/>
    <n v="745000"/>
    <x v="191"/>
    <x v="12"/>
    <x v="318"/>
    <x v="2"/>
    <x v="0"/>
    <x v="0"/>
    <s v="First            "/>
    <s v="1248 cc "/>
    <s v="89 bhp @ 4000 rpm   "/>
    <n v="89"/>
    <n v="3.9950000000000001"/>
    <n v="1.79"/>
    <n v="1.64"/>
    <n v="5"/>
    <x v="1"/>
    <n v="48"/>
  </r>
  <r>
    <x v="2"/>
    <x v="97"/>
    <x v="889"/>
    <n v="745000"/>
    <x v="191"/>
    <x v="15"/>
    <x v="437"/>
    <x v="0"/>
    <x v="0"/>
    <x v="0"/>
    <s v="First            "/>
    <s v="1197 cc "/>
    <s v="89 bhp @ 6000 rpm   "/>
    <n v="89"/>
    <n v="3.8450000000000002"/>
    <n v="1.7350000000000001"/>
    <n v="1.53"/>
    <n v="5"/>
    <x v="1"/>
    <n v="37"/>
  </r>
  <r>
    <x v="3"/>
    <x v="441"/>
    <x v="890"/>
    <n v="745000"/>
    <x v="191"/>
    <x v="9"/>
    <x v="58"/>
    <x v="2"/>
    <x v="0"/>
    <x v="0"/>
    <s v="First            "/>
    <s v="1498 cc "/>
    <s v="99 bhp @ 3750 rpm   "/>
    <n v="99"/>
    <n v="3.9990000000000001"/>
    <n v="1.7649999999999999"/>
    <n v="1.708"/>
    <n v="5"/>
    <x v="1"/>
    <n v="52"/>
  </r>
  <r>
    <x v="2"/>
    <x v="343"/>
    <x v="891"/>
    <n v="749000"/>
    <x v="192"/>
    <x v="9"/>
    <x v="66"/>
    <x v="2"/>
    <x v="0"/>
    <x v="2"/>
    <s v="First            "/>
    <s v="1598 cc "/>
    <s v="118 bhp @ 3750 rpm  "/>
    <n v="118"/>
    <n v="4.3"/>
    <n v="1.7649999999999999"/>
    <n v="1.59"/>
    <n v="5"/>
    <x v="1"/>
    <n v="48"/>
  </r>
  <r>
    <x v="4"/>
    <x v="461"/>
    <x v="892"/>
    <n v="750000"/>
    <x v="193"/>
    <x v="6"/>
    <x v="438"/>
    <x v="2"/>
    <x v="0"/>
    <x v="1"/>
    <s v="First            "/>
    <s v="2494 cc "/>
    <s v="100 bhp @ 3600 rpm  "/>
    <n v="100"/>
    <n v="4.585"/>
    <n v="1.76"/>
    <n v="1.76"/>
    <n v="7"/>
    <x v="1"/>
    <n v="55"/>
  </r>
  <r>
    <x v="2"/>
    <x v="462"/>
    <x v="893"/>
    <n v="750000"/>
    <x v="193"/>
    <x v="13"/>
    <x v="439"/>
    <x v="0"/>
    <x v="0"/>
    <x v="7"/>
    <s v="First            "/>
    <s v="1462 cc "/>
    <s v="103 bhp @ 6000 rpm  "/>
    <n v="103"/>
    <n v="4.49"/>
    <n v="1.73"/>
    <n v="1.4850000000000001"/>
    <n v="5"/>
    <x v="1"/>
    <n v="43"/>
  </r>
  <r>
    <x v="0"/>
    <x v="463"/>
    <x v="894"/>
    <n v="750000"/>
    <x v="193"/>
    <x v="13"/>
    <x v="109"/>
    <x v="0"/>
    <x v="0"/>
    <x v="1"/>
    <s v="First            "/>
    <s v="1198 cc "/>
    <s v="108 bhp @ 5000 rpm  "/>
    <n v="108"/>
    <n v="3.9940000000000002"/>
    <n v="1.8109999999999999"/>
    <n v="1.607"/>
    <n v="5"/>
    <x v="1"/>
    <n v="44"/>
  </r>
  <r>
    <x v="1"/>
    <x v="464"/>
    <x v="895"/>
    <n v="750000"/>
    <x v="193"/>
    <x v="13"/>
    <x v="440"/>
    <x v="0"/>
    <x v="1"/>
    <x v="0"/>
    <s v="First            "/>
    <s v="998 cc  "/>
    <s v="118 bhp @ 6000 rpm  "/>
    <n v="118"/>
    <n v="3.9950000000000001"/>
    <n v="1.77"/>
    <n v="1.605"/>
    <n v="5"/>
    <x v="1"/>
    <n v="45"/>
  </r>
  <r>
    <x v="1"/>
    <x v="389"/>
    <x v="896"/>
    <n v="750000"/>
    <x v="193"/>
    <x v="12"/>
    <x v="441"/>
    <x v="0"/>
    <x v="0"/>
    <x v="8"/>
    <s v="First            "/>
    <s v="1591 cc "/>
    <s v="121 bhp @ 6300 rpm  "/>
    <n v="121"/>
    <n v="4.375"/>
    <n v="1.7"/>
    <n v="1.4750000000000001"/>
    <n v="5"/>
    <x v="1"/>
    <n v="43"/>
  </r>
  <r>
    <x v="4"/>
    <x v="465"/>
    <x v="897"/>
    <n v="750000"/>
    <x v="193"/>
    <x v="4"/>
    <x v="227"/>
    <x v="2"/>
    <x v="0"/>
    <x v="0"/>
    <s v="Second           "/>
    <s v="2982 cc "/>
    <s v="171 bhp@3600            "/>
    <n v="17"/>
    <n v="4.6950000000000003"/>
    <n v="1.84"/>
    <n v="1.85"/>
    <n v="7"/>
    <x v="1"/>
    <n v="80"/>
  </r>
  <r>
    <x v="17"/>
    <x v="466"/>
    <x v="898"/>
    <n v="750000"/>
    <x v="193"/>
    <x v="0"/>
    <x v="203"/>
    <x v="2"/>
    <x v="1"/>
    <x v="7"/>
    <s v="Second           "/>
    <s v="1995 cc "/>
    <s v="177 bhp @4000            "/>
    <n v="177"/>
    <n v="4.8410000000000002"/>
    <n v="1.8460000000000001"/>
    <n v="1.468"/>
    <n v="5"/>
    <x v="1"/>
    <n v="70"/>
  </r>
  <r>
    <x v="14"/>
    <x v="467"/>
    <x v="899"/>
    <n v="750000"/>
    <x v="193"/>
    <x v="5"/>
    <x v="32"/>
    <x v="0"/>
    <x v="1"/>
    <x v="1"/>
    <s v="First            "/>
    <s v="3498 cc "/>
    <s v="272  bhp @6000            "/>
    <n v="272"/>
    <n v="5.0759999999999996"/>
    <n v="1.871"/>
    <n v="1.4730000000000001"/>
    <n v="5"/>
    <x v="1"/>
    <n v="90"/>
  </r>
  <r>
    <x v="2"/>
    <x v="85"/>
    <x v="900"/>
    <n v="750000"/>
    <x v="193"/>
    <x v="12"/>
    <x v="6"/>
    <x v="2"/>
    <x v="0"/>
    <x v="7"/>
    <s v="First            "/>
    <s v="1248 cc "/>
    <s v="74 bhp @ 4000 rpm   "/>
    <n v="74"/>
    <n v="3.84"/>
    <n v="1.7350000000000001"/>
    <n v="1.53"/>
    <n v="5"/>
    <x v="1"/>
    <n v="37"/>
  </r>
  <r>
    <x v="1"/>
    <x v="468"/>
    <x v="901"/>
    <n v="750000"/>
    <x v="193"/>
    <x v="12"/>
    <x v="442"/>
    <x v="0"/>
    <x v="1"/>
    <x v="4"/>
    <s v="First            "/>
    <s v="1197 cc "/>
    <s v="82 bhp @ 6000 rpm   "/>
    <n v="82"/>
    <n v="3.9849999999999999"/>
    <n v="1.734"/>
    <n v="1.5049999999999999"/>
    <n v="5"/>
    <x v="1"/>
    <n v="40"/>
  </r>
  <r>
    <x v="2"/>
    <x v="318"/>
    <x v="902"/>
    <n v="750000"/>
    <x v="193"/>
    <x v="15"/>
    <x v="133"/>
    <x v="0"/>
    <x v="0"/>
    <x v="0"/>
    <s v="First            "/>
    <s v="1197 cc "/>
    <s v="83 bhp @ 6000 rpm   "/>
    <n v="83"/>
    <n v="3.9950000000000001"/>
    <n v="1.7450000000000001"/>
    <n v="1.5"/>
    <n v="5"/>
    <x v="1"/>
    <n v="37"/>
  </r>
  <r>
    <x v="2"/>
    <x v="352"/>
    <x v="903"/>
    <n v="750000"/>
    <x v="193"/>
    <x v="9"/>
    <x v="443"/>
    <x v="0"/>
    <x v="1"/>
    <x v="0"/>
    <s v="First            "/>
    <s v="1197 cc "/>
    <s v="83 bhp @ 6000 rpm   "/>
    <n v="83"/>
    <n v="3.9950000000000001"/>
    <n v="1.6950000000000001"/>
    <n v="1.5549999999999999"/>
    <n v="5"/>
    <x v="1"/>
    <n v="42"/>
  </r>
  <r>
    <x v="1"/>
    <x v="300"/>
    <x v="904"/>
    <n v="750000"/>
    <x v="193"/>
    <x v="9"/>
    <x v="8"/>
    <x v="2"/>
    <x v="0"/>
    <x v="6"/>
    <s v="First            "/>
    <s v="1396 cc "/>
    <s v="89 bhp @ 4000 rpm   "/>
    <n v="89"/>
    <n v="3.9950000000000001"/>
    <n v="1.76"/>
    <n v="1.5549999999999999"/>
    <n v="5"/>
    <x v="1"/>
    <n v="45"/>
  </r>
  <r>
    <x v="5"/>
    <x v="199"/>
    <x v="905"/>
    <n v="750000"/>
    <x v="193"/>
    <x v="12"/>
    <x v="33"/>
    <x v="2"/>
    <x v="0"/>
    <x v="0"/>
    <s v="First            "/>
    <s v="1498 cc "/>
    <s v="99 bhp @ 3600 rpm   "/>
    <n v="99"/>
    <n v="4.4400000000000004"/>
    <n v="1.6950000000000001"/>
    <n v="1.4950000000000001"/>
    <n v="5"/>
    <x v="1"/>
    <n v="40"/>
  </r>
  <r>
    <x v="1"/>
    <x v="469"/>
    <x v="906"/>
    <n v="755000"/>
    <x v="194"/>
    <x v="16"/>
    <x v="444"/>
    <x v="0"/>
    <x v="0"/>
    <x v="0"/>
    <s v="First            "/>
    <s v="1197 cc "/>
    <s v="82 bhp @ 6000 rpm   "/>
    <n v="82"/>
    <n v="3.8050000000000002"/>
    <n v="1.68"/>
    <n v="1.52"/>
    <n v="5"/>
    <x v="1"/>
    <n v="37"/>
  </r>
  <r>
    <x v="2"/>
    <x v="324"/>
    <x v="907"/>
    <n v="755000"/>
    <x v="194"/>
    <x v="9"/>
    <x v="38"/>
    <x v="0"/>
    <x v="0"/>
    <x v="0"/>
    <s v="First            "/>
    <s v="1373 cc "/>
    <s v="91 bhp @ 6000 rpm   "/>
    <n v="91"/>
    <n v="4.49"/>
    <n v="1.73"/>
    <n v="1.4850000000000001"/>
    <n v="5"/>
    <x v="1"/>
    <n v="43"/>
  </r>
  <r>
    <x v="5"/>
    <x v="470"/>
    <x v="908"/>
    <n v="755000"/>
    <x v="194"/>
    <x v="9"/>
    <x v="445"/>
    <x v="2"/>
    <x v="0"/>
    <x v="0"/>
    <s v="First            "/>
    <s v="1498 cc "/>
    <s v="99 bhp @ 3600 rpm   "/>
    <n v="99"/>
    <n v="3.9990000000000001"/>
    <n v="1.734"/>
    <n v="1.601"/>
    <n v="5"/>
    <x v="1"/>
    <n v="40"/>
  </r>
  <r>
    <x v="0"/>
    <x v="463"/>
    <x v="909"/>
    <n v="760000"/>
    <x v="195"/>
    <x v="12"/>
    <x v="446"/>
    <x v="0"/>
    <x v="0"/>
    <x v="2"/>
    <s v="First            "/>
    <s v="1198 cc "/>
    <s v="108 bhp @ 5000 rpm  "/>
    <n v="108"/>
    <n v="3.9940000000000002"/>
    <n v="1.8109999999999999"/>
    <n v="1.607"/>
    <n v="5"/>
    <x v="1"/>
    <n v="44"/>
  </r>
  <r>
    <x v="5"/>
    <x v="471"/>
    <x v="910"/>
    <n v="761000"/>
    <x v="196"/>
    <x v="9"/>
    <x v="194"/>
    <x v="0"/>
    <x v="1"/>
    <x v="2"/>
    <s v="Second           "/>
    <s v="1497 cc "/>
    <s v="117 bhp @ 6600 rpm  "/>
    <n v="117"/>
    <n v="4.4400000000000004"/>
    <n v="1.6950000000000001"/>
    <n v="1.4950000000000001"/>
    <n v="5"/>
    <x v="1"/>
    <n v="40"/>
  </r>
  <r>
    <x v="13"/>
    <x v="472"/>
    <x v="911"/>
    <n v="765000"/>
    <x v="197"/>
    <x v="10"/>
    <x v="447"/>
    <x v="0"/>
    <x v="1"/>
    <x v="10"/>
    <s v="First            "/>
    <s v="1197 cc "/>
    <s v="103 bhp @ 5000 rpm  "/>
    <n v="103"/>
    <n v="4.3840000000000003"/>
    <n v="1.6990000000000001"/>
    <n v="1.466"/>
    <n v="5"/>
    <x v="1"/>
    <n v="55"/>
  </r>
  <r>
    <x v="1"/>
    <x v="164"/>
    <x v="912"/>
    <n v="765000"/>
    <x v="197"/>
    <x v="15"/>
    <x v="448"/>
    <x v="0"/>
    <x v="0"/>
    <x v="1"/>
    <s v="First            "/>
    <s v="1197 cc "/>
    <s v="81 bhp @ 6000 rpm   "/>
    <n v="81"/>
    <n v="3.7650000000000001"/>
    <n v="1.66"/>
    <n v="1.52"/>
    <n v="5"/>
    <x v="1"/>
    <n v="43"/>
  </r>
  <r>
    <x v="2"/>
    <x v="473"/>
    <x v="913"/>
    <n v="765000"/>
    <x v="197"/>
    <x v="9"/>
    <x v="73"/>
    <x v="2"/>
    <x v="0"/>
    <x v="2"/>
    <s v="First            "/>
    <s v="1248 cc "/>
    <s v="89 bhp @ 4000 rpm   "/>
    <n v="89"/>
    <n v="4.2960000000000003"/>
    <n v="1.6950000000000001"/>
    <n v="1.6850000000000001"/>
    <n v="7"/>
    <x v="1"/>
    <n v="45"/>
  </r>
  <r>
    <x v="1"/>
    <x v="474"/>
    <x v="914"/>
    <n v="770000"/>
    <x v="198"/>
    <x v="11"/>
    <x v="42"/>
    <x v="0"/>
    <x v="1"/>
    <x v="0"/>
    <s v="First            "/>
    <s v="1591 cc "/>
    <s v="121 bhp @ 6300 rpm  "/>
    <n v="121"/>
    <n v="4.375"/>
    <n v="1.7"/>
    <n v="1.4750000000000001"/>
    <n v="5"/>
    <x v="1"/>
    <n v="43"/>
  </r>
  <r>
    <x v="2"/>
    <x v="434"/>
    <x v="915"/>
    <n v="770000"/>
    <x v="198"/>
    <x v="13"/>
    <x v="449"/>
    <x v="2"/>
    <x v="1"/>
    <x v="1"/>
    <s v="First            "/>
    <s v="1248 cc "/>
    <s v="74 bhp @ 4000 rpm   "/>
    <n v="74"/>
    <n v="3.9950000000000001"/>
    <n v="1.7350000000000001"/>
    <n v="1.5149999999999999"/>
    <n v="5"/>
    <x v="1"/>
    <n v="37"/>
  </r>
  <r>
    <x v="2"/>
    <x v="197"/>
    <x v="916"/>
    <n v="770000"/>
    <x v="198"/>
    <x v="10"/>
    <x v="203"/>
    <x v="2"/>
    <x v="0"/>
    <x v="5"/>
    <s v="First            "/>
    <s v="1248 cc "/>
    <s v="89 bhp @ 4000 rpm   "/>
    <n v="89"/>
    <n v="4.2649999999999997"/>
    <n v="1.6950000000000001"/>
    <n v="1.6850000000000001"/>
    <n v="7"/>
    <x v="1"/>
    <n v="45"/>
  </r>
  <r>
    <x v="13"/>
    <x v="475"/>
    <x v="917"/>
    <n v="775000"/>
    <x v="199"/>
    <x v="9"/>
    <x v="450"/>
    <x v="0"/>
    <x v="1"/>
    <x v="0"/>
    <s v="First            "/>
    <s v="1197 cc "/>
    <s v="103 bhp @ 5000 rpm  "/>
    <n v="103"/>
    <n v="4.3899999999999997"/>
    <n v="1.6990000000000001"/>
    <n v="1.4670000000000001"/>
    <n v="5"/>
    <x v="1"/>
    <n v="55"/>
  </r>
  <r>
    <x v="11"/>
    <x v="476"/>
    <x v="918"/>
    <n v="775000"/>
    <x v="199"/>
    <x v="9"/>
    <x v="44"/>
    <x v="2"/>
    <x v="1"/>
    <x v="0"/>
    <s v="First            "/>
    <s v="1461 cc "/>
    <s v="108 bhp @ 3900 rpm  "/>
    <n v="108"/>
    <n v="4.3150000000000004"/>
    <n v="1.8220000000000001"/>
    <n v="1.6950000000000001"/>
    <n v="5"/>
    <x v="1"/>
    <n v="50"/>
  </r>
  <r>
    <x v="3"/>
    <x v="230"/>
    <x v="919"/>
    <n v="775000"/>
    <x v="199"/>
    <x v="13"/>
    <x v="451"/>
    <x v="0"/>
    <x v="0"/>
    <x v="0"/>
    <s v="First            "/>
    <s v="1499 cc "/>
    <s v="109 bhp @ 6300 rpm  "/>
    <n v="109"/>
    <n v="3.9990000000000001"/>
    <n v="1.7649999999999999"/>
    <n v="1.708"/>
    <n v="5"/>
    <x v="1"/>
    <n v="52"/>
  </r>
  <r>
    <x v="5"/>
    <x v="427"/>
    <x v="920"/>
    <n v="775000"/>
    <x v="199"/>
    <x v="11"/>
    <x v="61"/>
    <x v="0"/>
    <x v="1"/>
    <x v="10"/>
    <s v="First            "/>
    <s v="1497 cc "/>
    <s v="117 bhp @ 6600 rpm  "/>
    <n v="117"/>
    <n v="4.4400000000000004"/>
    <n v="1.6950000000000001"/>
    <n v="1.4950000000000001"/>
    <n v="5"/>
    <x v="1"/>
    <n v="40"/>
  </r>
  <r>
    <x v="5"/>
    <x v="246"/>
    <x v="921"/>
    <n v="775000"/>
    <x v="199"/>
    <x v="12"/>
    <x v="170"/>
    <x v="0"/>
    <x v="0"/>
    <x v="6"/>
    <s v="Second           "/>
    <s v="1497 cc "/>
    <s v="117 bhp @ 6600 rpm  "/>
    <n v="117"/>
    <n v="4.4400000000000004"/>
    <n v="1.6950000000000001"/>
    <n v="1.4950000000000001"/>
    <n v="5"/>
    <x v="1"/>
    <n v="40"/>
  </r>
  <r>
    <x v="8"/>
    <x v="477"/>
    <x v="922"/>
    <n v="775000"/>
    <x v="199"/>
    <x v="6"/>
    <x v="452"/>
    <x v="2"/>
    <x v="0"/>
    <x v="0"/>
    <s v="First            "/>
    <s v="2179 cc "/>
    <s v="120 bhp @ 4000 rpm  "/>
    <n v="120"/>
    <n v="4.4560000000000004"/>
    <n v="1.82"/>
    <n v="1.9950000000000001"/>
    <n v="8"/>
    <x v="1"/>
    <n v="60"/>
  </r>
  <r>
    <x v="1"/>
    <x v="478"/>
    <x v="923"/>
    <n v="775000"/>
    <x v="199"/>
    <x v="10"/>
    <x v="58"/>
    <x v="2"/>
    <x v="0"/>
    <x v="4"/>
    <s v="Second           "/>
    <s v="1582 cc "/>
    <s v="126 bhp @ 4000 rpm  "/>
    <n v="126"/>
    <n v="4.2699999999999996"/>
    <n v="1.78"/>
    <n v="1.63"/>
    <n v="5"/>
    <x v="1"/>
    <n v="60"/>
  </r>
  <r>
    <x v="2"/>
    <x v="339"/>
    <x v="924"/>
    <n v="775000"/>
    <x v="199"/>
    <x v="13"/>
    <x v="453"/>
    <x v="2"/>
    <x v="0"/>
    <x v="0"/>
    <s v="First            "/>
    <s v="1248 cc "/>
    <s v="74 bhp @ 4000 rpm   "/>
    <n v="74"/>
    <n v="3.84"/>
    <n v="1.7350000000000001"/>
    <n v="1.53"/>
    <n v="5"/>
    <x v="1"/>
    <n v="37"/>
  </r>
  <r>
    <x v="2"/>
    <x v="479"/>
    <x v="925"/>
    <n v="775000"/>
    <x v="199"/>
    <x v="12"/>
    <x v="170"/>
    <x v="0"/>
    <x v="1"/>
    <x v="4"/>
    <s v="First            "/>
    <s v="1197 cc "/>
    <s v="82 bhp @ 6000 rpm   "/>
    <n v="82"/>
    <n v="3.9950000000000001"/>
    <n v="1.7450000000000001"/>
    <n v="1.51"/>
    <n v="5"/>
    <x v="1"/>
    <n v="37"/>
  </r>
  <r>
    <x v="2"/>
    <x v="479"/>
    <x v="926"/>
    <n v="775000"/>
    <x v="199"/>
    <x v="12"/>
    <x v="122"/>
    <x v="0"/>
    <x v="1"/>
    <x v="4"/>
    <s v="First            "/>
    <s v="1197 cc "/>
    <s v="82 bhp @ 6000 rpm   "/>
    <n v="82"/>
    <n v="3.9950000000000001"/>
    <n v="1.7450000000000001"/>
    <n v="1.51"/>
    <n v="5"/>
    <x v="1"/>
    <n v="37"/>
  </r>
  <r>
    <x v="1"/>
    <x v="443"/>
    <x v="927"/>
    <n v="775000"/>
    <x v="199"/>
    <x v="14"/>
    <x v="170"/>
    <x v="0"/>
    <x v="0"/>
    <x v="0"/>
    <s v="First            "/>
    <s v="1197 cc "/>
    <s v="82 bhp @ 6000 rpm   "/>
    <n v="82"/>
    <n v="3.9950000000000001"/>
    <n v="1.7749999999999999"/>
    <n v="1.5049999999999999"/>
    <n v="5"/>
    <x v="1"/>
    <n v="37"/>
  </r>
  <r>
    <x v="2"/>
    <x v="480"/>
    <x v="928"/>
    <n v="775000"/>
    <x v="199"/>
    <x v="15"/>
    <x v="35"/>
    <x v="0"/>
    <x v="1"/>
    <x v="2"/>
    <s v="First            "/>
    <s v="1197 cc "/>
    <s v="89 bhp @ 6000 rpm   "/>
    <n v="89"/>
    <n v="3.8450000000000002"/>
    <n v="1.7350000000000001"/>
    <n v="1.53"/>
    <n v="5"/>
    <x v="1"/>
    <n v="37"/>
  </r>
  <r>
    <x v="2"/>
    <x v="481"/>
    <x v="929"/>
    <n v="775000"/>
    <x v="199"/>
    <x v="9"/>
    <x v="154"/>
    <x v="0"/>
    <x v="0"/>
    <x v="1"/>
    <s v="First            "/>
    <s v="1373 cc "/>
    <s v="94 bhp @ 6000 rpm   "/>
    <n v="94"/>
    <n v="4.2960000000000003"/>
    <n v="1.6950000000000001"/>
    <n v="1.6850000000000001"/>
    <n v="7"/>
    <x v="1"/>
    <n v="45"/>
  </r>
  <r>
    <x v="1"/>
    <x v="430"/>
    <x v="930"/>
    <n v="779000"/>
    <x v="200"/>
    <x v="11"/>
    <x v="454"/>
    <x v="0"/>
    <x v="0"/>
    <x v="7"/>
    <s v="First            "/>
    <s v="1197 cc "/>
    <s v="82 bhp @ 6000 rpm   "/>
    <n v="82"/>
    <n v="3.9849999999999999"/>
    <n v="1.734"/>
    <n v="1.5049999999999999"/>
    <n v="5"/>
    <x v="1"/>
    <n v="45"/>
  </r>
  <r>
    <x v="2"/>
    <x v="450"/>
    <x v="931"/>
    <n v="780000"/>
    <x v="201"/>
    <x v="9"/>
    <x v="455"/>
    <x v="2"/>
    <x v="0"/>
    <x v="14"/>
    <s v="First            "/>
    <s v="1248 cc "/>
    <s v="89 bhp @ 4000 rpm   "/>
    <n v="89"/>
    <n v="3.9950000000000001"/>
    <n v="1.79"/>
    <n v="1.64"/>
    <n v="5"/>
    <x v="1"/>
    <n v="48"/>
  </r>
  <r>
    <x v="8"/>
    <x v="482"/>
    <x v="932"/>
    <n v="785000"/>
    <x v="202"/>
    <x v="9"/>
    <x v="265"/>
    <x v="2"/>
    <x v="0"/>
    <x v="0"/>
    <s v="First            "/>
    <s v="1493 cc "/>
    <s v="100 bhp @ 3750 rpm  "/>
    <n v="100"/>
    <n v="3.9950000000000001"/>
    <n v="1.835"/>
    <n v="1.839"/>
    <n v="7"/>
    <x v="1"/>
    <n v="60"/>
  </r>
  <r>
    <x v="2"/>
    <x v="385"/>
    <x v="933"/>
    <n v="785000"/>
    <x v="202"/>
    <x v="12"/>
    <x v="3"/>
    <x v="2"/>
    <x v="0"/>
    <x v="2"/>
    <s v="First            "/>
    <s v="1248 cc "/>
    <s v="89 bhp @ 4000 rpm   "/>
    <n v="89"/>
    <n v="3.9950000000000001"/>
    <n v="1.79"/>
    <n v="1.64"/>
    <n v="5"/>
    <x v="1"/>
    <n v="48"/>
  </r>
  <r>
    <x v="5"/>
    <x v="483"/>
    <x v="934"/>
    <n v="785000"/>
    <x v="202"/>
    <x v="12"/>
    <x v="20"/>
    <x v="0"/>
    <x v="1"/>
    <x v="4"/>
    <s v="First            "/>
    <s v="1199 cc "/>
    <s v="89 bhp @ 6000 rpm   "/>
    <n v="89"/>
    <n v="3.9550000000000001"/>
    <n v="1.694"/>
    <n v="1.544"/>
    <n v="5"/>
    <x v="1"/>
    <n v="40"/>
  </r>
  <r>
    <x v="2"/>
    <x v="459"/>
    <x v="935"/>
    <n v="785000"/>
    <x v="202"/>
    <x v="9"/>
    <x v="42"/>
    <x v="0"/>
    <x v="1"/>
    <x v="7"/>
    <s v="First            "/>
    <s v="1373 cc "/>
    <s v="91 bhp @ 6000 rpm   "/>
    <n v="91"/>
    <n v="4.49"/>
    <n v="1.73"/>
    <n v="1.4850000000000001"/>
    <n v="5"/>
    <x v="1"/>
    <n v="43"/>
  </r>
  <r>
    <x v="11"/>
    <x v="355"/>
    <x v="936"/>
    <n v="789000"/>
    <x v="203"/>
    <x v="9"/>
    <x v="456"/>
    <x v="0"/>
    <x v="0"/>
    <x v="4"/>
    <s v="First            "/>
    <s v="1498 cc "/>
    <s v="105 bhp @ 5600 rpm  "/>
    <n v="105"/>
    <n v="4.3150000000000004"/>
    <n v="1.8220000000000001"/>
    <n v="1.6950000000000001"/>
    <n v="5"/>
    <x v="1"/>
    <n v="50"/>
  </r>
  <r>
    <x v="5"/>
    <x v="306"/>
    <x v="937"/>
    <n v="790000"/>
    <x v="204"/>
    <x v="11"/>
    <x v="457"/>
    <x v="0"/>
    <x v="0"/>
    <x v="0"/>
    <s v="First            "/>
    <s v="1497 cc "/>
    <s v="117 bhp @ 6600 rpm  "/>
    <n v="117"/>
    <n v="4.4400000000000004"/>
    <n v="1.6950000000000001"/>
    <n v="1.4950000000000001"/>
    <n v="5"/>
    <x v="1"/>
    <n v="40"/>
  </r>
  <r>
    <x v="4"/>
    <x v="484"/>
    <x v="938"/>
    <n v="790000"/>
    <x v="204"/>
    <x v="13"/>
    <x v="71"/>
    <x v="0"/>
    <x v="1"/>
    <x v="4"/>
    <s v="First            "/>
    <s v="1197 cc "/>
    <s v="82 bhp @ 6000 rpm   "/>
    <n v="82"/>
    <n v="3.9950000000000001"/>
    <n v="1.7450000000000001"/>
    <n v="1.51"/>
    <n v="5"/>
    <x v="1"/>
    <n v="37"/>
  </r>
  <r>
    <x v="2"/>
    <x v="449"/>
    <x v="939"/>
    <n v="790000"/>
    <x v="204"/>
    <x v="9"/>
    <x v="15"/>
    <x v="2"/>
    <x v="0"/>
    <x v="0"/>
    <s v="First            "/>
    <s v="1248 cc "/>
    <s v="89 bhp @ 4000 rpm   "/>
    <n v="89"/>
    <n v="3.9950000000000001"/>
    <n v="1.79"/>
    <n v="1.64"/>
    <n v="5"/>
    <x v="1"/>
    <n v="48"/>
  </r>
  <r>
    <x v="5"/>
    <x v="485"/>
    <x v="940"/>
    <n v="790000"/>
    <x v="204"/>
    <x v="12"/>
    <x v="37"/>
    <x v="2"/>
    <x v="0"/>
    <x v="1"/>
    <s v="First            "/>
    <s v="1498 cc "/>
    <s v="99 bhp @ 3600 rpm   "/>
    <n v="99"/>
    <n v="3.9990000000000001"/>
    <n v="1.734"/>
    <n v="1.601"/>
    <n v="5"/>
    <x v="1"/>
    <n v="40"/>
  </r>
  <r>
    <x v="9"/>
    <x v="486"/>
    <x v="941"/>
    <n v="795000"/>
    <x v="205"/>
    <x v="6"/>
    <x v="75"/>
    <x v="0"/>
    <x v="1"/>
    <x v="0"/>
    <s v="Second           "/>
    <s v="1798 cc "/>
    <s v="158 bhp @ 4500 rpm  "/>
    <n v="158"/>
    <n v="4.8380000000000001"/>
    <n v="1.8169999999999999"/>
    <n v="1.482"/>
    <n v="5"/>
    <x v="1"/>
    <n v="60"/>
  </r>
  <r>
    <x v="8"/>
    <x v="398"/>
    <x v="942"/>
    <n v="795000"/>
    <x v="205"/>
    <x v="10"/>
    <x v="90"/>
    <x v="2"/>
    <x v="0"/>
    <x v="0"/>
    <s v="Second           "/>
    <s v="2523 cc "/>
    <s v="75 bhp @ 3200 rpm   "/>
    <n v="75"/>
    <n v="4.4560000000000004"/>
    <n v="1.82"/>
    <n v="1.93"/>
    <n v="8"/>
    <x v="1"/>
    <n v="60"/>
  </r>
  <r>
    <x v="0"/>
    <x v="487"/>
    <x v="943"/>
    <n v="795000"/>
    <x v="205"/>
    <x v="15"/>
    <x v="393"/>
    <x v="0"/>
    <x v="1"/>
    <x v="10"/>
    <s v="First            "/>
    <s v="1199 cc "/>
    <s v="84 bhp @ 6000 rpm   "/>
    <n v="84"/>
    <n v="3.9929999999999999"/>
    <n v="1.677"/>
    <n v="1.532"/>
    <n v="5"/>
    <x v="1"/>
    <n v="35"/>
  </r>
  <r>
    <x v="1"/>
    <x v="488"/>
    <x v="944"/>
    <n v="795000"/>
    <x v="205"/>
    <x v="16"/>
    <x v="458"/>
    <x v="0"/>
    <x v="1"/>
    <x v="0"/>
    <s v="First            "/>
    <s v="1197 cc "/>
    <s v="87 bhp @ 6000 rpm   "/>
    <n v="87"/>
    <n v="3.9950000000000001"/>
    <n v="1.7749999999999999"/>
    <n v="1.5049999999999999"/>
    <n v="5"/>
    <x v="1"/>
    <n v="37"/>
  </r>
  <r>
    <x v="2"/>
    <x v="489"/>
    <x v="945"/>
    <n v="795000"/>
    <x v="205"/>
    <x v="9"/>
    <x v="459"/>
    <x v="2"/>
    <x v="0"/>
    <x v="10"/>
    <s v="First            "/>
    <s v="1248 cc "/>
    <s v="89 bhp @ 4000 rpm   "/>
    <n v="89"/>
    <n v="4.3"/>
    <n v="1.7849999999999999"/>
    <n v="1.595"/>
    <n v="5"/>
    <x v="1"/>
    <n v="48"/>
  </r>
  <r>
    <x v="5"/>
    <x v="490"/>
    <x v="946"/>
    <n v="795000"/>
    <x v="205"/>
    <x v="13"/>
    <x v="460"/>
    <x v="0"/>
    <x v="1"/>
    <x v="2"/>
    <s v="First            "/>
    <s v="1199 cc "/>
    <s v="89 bhp @ 6000 rpm   "/>
    <n v="89"/>
    <n v="3.9950000000000001"/>
    <n v="1.6950000000000001"/>
    <n v="1.5009999999999999"/>
    <n v="5"/>
    <x v="1"/>
    <n v="35"/>
  </r>
  <r>
    <x v="5"/>
    <x v="334"/>
    <x v="947"/>
    <n v="795000"/>
    <x v="205"/>
    <x v="12"/>
    <x v="461"/>
    <x v="0"/>
    <x v="0"/>
    <x v="0"/>
    <s v="First            "/>
    <s v="1199 cc "/>
    <s v="89 bhp @ 6000 rpm   "/>
    <n v="89"/>
    <n v="3.9990000000000001"/>
    <n v="1.734"/>
    <n v="1.601"/>
    <n v="5"/>
    <x v="1"/>
    <n v="40"/>
  </r>
  <r>
    <x v="2"/>
    <x v="491"/>
    <x v="948"/>
    <n v="795000"/>
    <x v="205"/>
    <x v="9"/>
    <x v="393"/>
    <x v="0"/>
    <x v="0"/>
    <x v="2"/>
    <s v="First            "/>
    <s v="1373 cc "/>
    <s v="94 bhp @ 6000 rpm   "/>
    <n v="94"/>
    <n v="4.2960000000000003"/>
    <n v="1.6950000000000001"/>
    <n v="1.6850000000000001"/>
    <n v="7"/>
    <x v="1"/>
    <n v="45"/>
  </r>
  <r>
    <x v="1"/>
    <x v="383"/>
    <x v="949"/>
    <n v="799000"/>
    <x v="206"/>
    <x v="12"/>
    <x v="462"/>
    <x v="2"/>
    <x v="0"/>
    <x v="2"/>
    <s v="First            "/>
    <s v="1582 cc "/>
    <s v="126 bhp @ 4000 rpm  "/>
    <n v="126"/>
    <n v="4.375"/>
    <n v="1.7"/>
    <n v="1.4750000000000001"/>
    <n v="5"/>
    <x v="1"/>
    <n v="43"/>
  </r>
  <r>
    <x v="4"/>
    <x v="429"/>
    <x v="950"/>
    <n v="799000"/>
    <x v="206"/>
    <x v="13"/>
    <x v="463"/>
    <x v="0"/>
    <x v="0"/>
    <x v="4"/>
    <s v="First            "/>
    <s v="1197 cc "/>
    <s v="82 bhp @ 6000 rpm   "/>
    <n v="82"/>
    <n v="3.9950000000000001"/>
    <n v="1.7450000000000001"/>
    <n v="1.51"/>
    <n v="5"/>
    <x v="1"/>
    <n v="37"/>
  </r>
  <r>
    <x v="2"/>
    <x v="492"/>
    <x v="951"/>
    <n v="800000"/>
    <x v="207"/>
    <x v="9"/>
    <x v="464"/>
    <x v="2"/>
    <x v="0"/>
    <x v="7"/>
    <s v="First            "/>
    <s v="1598 cc "/>
    <s v="118 bhp @ 3750 rpm  "/>
    <n v="118"/>
    <n v="4.3"/>
    <n v="1.7649999999999999"/>
    <n v="1.59"/>
    <n v="5"/>
    <x v="1"/>
    <n v="48"/>
  </r>
  <r>
    <x v="1"/>
    <x v="493"/>
    <x v="952"/>
    <n v="800000"/>
    <x v="207"/>
    <x v="10"/>
    <x v="14"/>
    <x v="2"/>
    <x v="0"/>
    <x v="1"/>
    <s v="First            "/>
    <s v="1582 cc "/>
    <s v="126 bhp @ 4000 rpm  "/>
    <n v="126"/>
    <n v="4.2699999999999996"/>
    <n v="1.78"/>
    <n v="1.63"/>
    <n v="5"/>
    <x v="1"/>
    <n v="60"/>
  </r>
  <r>
    <x v="8"/>
    <x v="494"/>
    <x v="953"/>
    <n v="800000"/>
    <x v="207"/>
    <x v="10"/>
    <x v="71"/>
    <x v="2"/>
    <x v="0"/>
    <x v="2"/>
    <s v="First            "/>
    <s v="2179 cc "/>
    <s v="138 bhp @ 3750 rpm  "/>
    <n v="138"/>
    <n v="4.585"/>
    <n v="1.89"/>
    <n v="1.7849999999999999"/>
    <n v="7"/>
    <x v="1"/>
    <n v="70"/>
  </r>
  <r>
    <x v="8"/>
    <x v="495"/>
    <x v="954"/>
    <n v="800000"/>
    <x v="207"/>
    <x v="9"/>
    <x v="203"/>
    <x v="2"/>
    <x v="0"/>
    <x v="1"/>
    <s v="First            "/>
    <s v="1997 cc "/>
    <s v="138 bhp @ 3750 rpm  "/>
    <n v="138"/>
    <n v="4.585"/>
    <n v="1.89"/>
    <n v="1.7849999999999999"/>
    <n v="7"/>
    <x v="1"/>
    <n v="70"/>
  </r>
  <r>
    <x v="2"/>
    <x v="345"/>
    <x v="955"/>
    <n v="800000"/>
    <x v="207"/>
    <x v="12"/>
    <x v="31"/>
    <x v="2"/>
    <x v="0"/>
    <x v="5"/>
    <s v="First            "/>
    <s v="1248 cc "/>
    <s v="74 bhp @ 4000 rpm   "/>
    <n v="74"/>
    <n v="3.9950000000000001"/>
    <n v="1.7350000000000001"/>
    <n v="1.5149999999999999"/>
    <n v="5"/>
    <x v="1"/>
    <n v="37"/>
  </r>
  <r>
    <x v="1"/>
    <x v="496"/>
    <x v="956"/>
    <n v="800000"/>
    <x v="207"/>
    <x v="12"/>
    <x v="73"/>
    <x v="2"/>
    <x v="0"/>
    <x v="2"/>
    <s v="First            "/>
    <s v="1396 cc "/>
    <s v="89 bhp @ 4000 rpm   "/>
    <n v="89"/>
    <n v="4.2699999999999996"/>
    <n v="1.78"/>
    <n v="1.63"/>
    <n v="5"/>
    <x v="1"/>
    <n v="60"/>
  </r>
  <r>
    <x v="2"/>
    <x v="234"/>
    <x v="957"/>
    <n v="800000"/>
    <x v="207"/>
    <x v="16"/>
    <x v="349"/>
    <x v="0"/>
    <x v="0"/>
    <x v="0"/>
    <s v="First            "/>
    <s v="1197 cc "/>
    <s v="89 bhp @ 6000 rpm   "/>
    <n v="89"/>
    <n v="3.8450000000000002"/>
    <n v="1.7350000000000001"/>
    <n v="1.53"/>
    <n v="5"/>
    <x v="1"/>
    <n v="37"/>
  </r>
  <r>
    <x v="2"/>
    <x v="497"/>
    <x v="958"/>
    <n v="800000"/>
    <x v="207"/>
    <x v="9"/>
    <x v="465"/>
    <x v="0"/>
    <x v="0"/>
    <x v="0"/>
    <s v="First            "/>
    <s v="1373 cc "/>
    <s v="91 bhp @ 6000 rpm   "/>
    <n v="91"/>
    <n v="4.49"/>
    <n v="1.73"/>
    <n v="1.4850000000000001"/>
    <n v="5"/>
    <x v="1"/>
    <n v="43"/>
  </r>
  <r>
    <x v="2"/>
    <x v="386"/>
    <x v="959"/>
    <n v="800000"/>
    <x v="207"/>
    <x v="9"/>
    <x v="466"/>
    <x v="3"/>
    <x v="0"/>
    <x v="1"/>
    <s v="First            "/>
    <s v="1373 cc "/>
    <s v="94 bhp @ 6000 rpm   "/>
    <n v="94"/>
    <n v="4.2960000000000003"/>
    <n v="1.6950000000000001"/>
    <n v="1.6850000000000001"/>
    <n v="7"/>
    <x v="1"/>
    <n v="45"/>
  </r>
  <r>
    <x v="11"/>
    <x v="498"/>
    <x v="960"/>
    <n v="800000"/>
    <x v="207"/>
    <x v="15"/>
    <x v="324"/>
    <x v="0"/>
    <x v="1"/>
    <x v="0"/>
    <s v="First            "/>
    <s v="999 cc  "/>
    <s v="99 bhp @ 5000 rpm   "/>
    <n v="99"/>
    <n v="3.9910000000000001"/>
    <n v="1.75"/>
    <n v="1.605"/>
    <n v="5"/>
    <x v="1"/>
    <n v="40"/>
  </r>
  <r>
    <x v="2"/>
    <x v="450"/>
    <x v="961"/>
    <n v="801000"/>
    <x v="208"/>
    <x v="12"/>
    <x v="83"/>
    <x v="2"/>
    <x v="0"/>
    <x v="1"/>
    <s v="First            "/>
    <s v="1248 cc "/>
    <s v="89 bhp @ 4000 rpm   "/>
    <n v="89"/>
    <n v="3.9950000000000001"/>
    <n v="1.79"/>
    <n v="1.64"/>
    <n v="5"/>
    <x v="1"/>
    <n v="48"/>
  </r>
  <r>
    <x v="1"/>
    <x v="249"/>
    <x v="962"/>
    <n v="810000"/>
    <x v="209"/>
    <x v="12"/>
    <x v="62"/>
    <x v="2"/>
    <x v="0"/>
    <x v="4"/>
    <s v="First            "/>
    <s v="1582 cc "/>
    <s v="126 bhp @ 4000 rpm  "/>
    <n v="126"/>
    <n v="4.4400000000000004"/>
    <n v="1.7290000000000001"/>
    <n v="1.4750000000000001"/>
    <n v="5"/>
    <x v="1"/>
    <n v="45"/>
  </r>
  <r>
    <x v="8"/>
    <x v="499"/>
    <x v="963"/>
    <n v="810000"/>
    <x v="209"/>
    <x v="1"/>
    <x v="467"/>
    <x v="2"/>
    <x v="0"/>
    <x v="0"/>
    <s v="First            "/>
    <s v="2179 cc "/>
    <s v="140 bhp @ 3750 rpm  "/>
    <n v="140"/>
    <n v="4.585"/>
    <n v="1.89"/>
    <n v="1.7849999999999999"/>
    <n v="7"/>
    <x v="1"/>
    <n v="70"/>
  </r>
  <r>
    <x v="2"/>
    <x v="500"/>
    <x v="964"/>
    <n v="811000"/>
    <x v="210"/>
    <x v="12"/>
    <x v="468"/>
    <x v="2"/>
    <x v="0"/>
    <x v="0"/>
    <s v="First            "/>
    <s v="1248 cc "/>
    <s v="89 bhp @ 4000 rpm   "/>
    <n v="89"/>
    <n v="4.3949999999999996"/>
    <n v="1.7350000000000001"/>
    <n v="1.69"/>
    <n v="7"/>
    <x v="1"/>
    <n v="45"/>
  </r>
  <r>
    <x v="1"/>
    <x v="501"/>
    <x v="965"/>
    <n v="811999"/>
    <x v="211"/>
    <x v="9"/>
    <x v="106"/>
    <x v="2"/>
    <x v="0"/>
    <x v="0"/>
    <s v="First            "/>
    <s v="1582 cc "/>
    <s v="126 bhp @ 4000 rpm  "/>
    <n v="126"/>
    <n v="4.4400000000000004"/>
    <n v="1.7290000000000001"/>
    <n v="1.4750000000000001"/>
    <n v="5"/>
    <x v="1"/>
    <n v="45"/>
  </r>
  <r>
    <x v="9"/>
    <x v="502"/>
    <x v="966"/>
    <n v="819999"/>
    <x v="212"/>
    <x v="10"/>
    <x v="469"/>
    <x v="0"/>
    <x v="1"/>
    <x v="8"/>
    <s v="First            "/>
    <s v="1798 cc "/>
    <s v="177 bhp @ 4500 rpm  "/>
    <n v="177"/>
    <n v="4.6589999999999998"/>
    <n v="1.8140000000000001"/>
    <n v="1.476"/>
    <n v="5"/>
    <x v="1"/>
    <n v="50"/>
  </r>
  <r>
    <x v="5"/>
    <x v="334"/>
    <x v="967"/>
    <n v="819999"/>
    <x v="212"/>
    <x v="12"/>
    <x v="61"/>
    <x v="0"/>
    <x v="0"/>
    <x v="6"/>
    <s v="First            "/>
    <s v="1199 cc "/>
    <s v="89 bhp @ 6000 rpm   "/>
    <n v="89"/>
    <n v="3.9990000000000001"/>
    <n v="1.734"/>
    <n v="1.601"/>
    <n v="5"/>
    <x v="1"/>
    <n v="40"/>
  </r>
  <r>
    <x v="1"/>
    <x v="294"/>
    <x v="968"/>
    <n v="819999"/>
    <x v="212"/>
    <x v="14"/>
    <x v="83"/>
    <x v="2"/>
    <x v="0"/>
    <x v="0"/>
    <s v="First            "/>
    <s v="1396 cc "/>
    <s v="89 bhp @ 4000 rpm   "/>
    <n v="89"/>
    <n v="3.9849999999999999"/>
    <n v="1.734"/>
    <n v="1.5049999999999999"/>
    <n v="5"/>
    <x v="1"/>
    <n v="45"/>
  </r>
  <r>
    <x v="5"/>
    <x v="334"/>
    <x v="969"/>
    <n v="819999"/>
    <x v="212"/>
    <x v="12"/>
    <x v="470"/>
    <x v="0"/>
    <x v="0"/>
    <x v="0"/>
    <s v="First            "/>
    <s v="1199 cc "/>
    <s v="89 bhp @ 6000 rpm   "/>
    <n v="89"/>
    <n v="3.9990000000000001"/>
    <n v="1.734"/>
    <n v="1.601"/>
    <n v="5"/>
    <x v="1"/>
    <n v="40"/>
  </r>
  <r>
    <x v="2"/>
    <x v="503"/>
    <x v="970"/>
    <n v="823000"/>
    <x v="213"/>
    <x v="12"/>
    <x v="14"/>
    <x v="0"/>
    <x v="1"/>
    <x v="11"/>
    <s v="First            "/>
    <s v="1462 cc "/>
    <s v="103 bhp @ 6000 rpm  "/>
    <n v="103"/>
    <n v="4.49"/>
    <n v="1.73"/>
    <n v="1.4850000000000001"/>
    <n v="5"/>
    <x v="1"/>
    <n v="43"/>
  </r>
  <r>
    <x v="13"/>
    <x v="475"/>
    <x v="971"/>
    <n v="825000"/>
    <x v="214"/>
    <x v="12"/>
    <x v="11"/>
    <x v="0"/>
    <x v="1"/>
    <x v="10"/>
    <s v="First            "/>
    <s v="1197 cc "/>
    <s v="103 bhp @ 5000 rpm  "/>
    <n v="103"/>
    <n v="4.3899999999999997"/>
    <n v="1.6990000000000001"/>
    <n v="1.4670000000000001"/>
    <n v="5"/>
    <x v="1"/>
    <n v="55"/>
  </r>
  <r>
    <x v="2"/>
    <x v="462"/>
    <x v="972"/>
    <n v="825000"/>
    <x v="214"/>
    <x v="13"/>
    <x v="265"/>
    <x v="0"/>
    <x v="0"/>
    <x v="0"/>
    <s v="First            "/>
    <s v="1462 cc "/>
    <s v="103 bhp @ 6000 rpm  "/>
    <n v="103"/>
    <n v="4.49"/>
    <n v="1.73"/>
    <n v="1.4850000000000001"/>
    <n v="5"/>
    <x v="1"/>
    <n v="43"/>
  </r>
  <r>
    <x v="5"/>
    <x v="427"/>
    <x v="973"/>
    <n v="825000"/>
    <x v="214"/>
    <x v="11"/>
    <x v="114"/>
    <x v="0"/>
    <x v="1"/>
    <x v="0"/>
    <s v="First            "/>
    <s v="1497 cc "/>
    <s v="117 bhp @ 6600 rpm  "/>
    <n v="117"/>
    <n v="4.4400000000000004"/>
    <n v="1.6950000000000001"/>
    <n v="1.4950000000000001"/>
    <n v="5"/>
    <x v="1"/>
    <n v="40"/>
  </r>
  <r>
    <x v="4"/>
    <x v="465"/>
    <x v="974"/>
    <n v="825000"/>
    <x v="214"/>
    <x v="0"/>
    <x v="66"/>
    <x v="2"/>
    <x v="0"/>
    <x v="8"/>
    <s v="Second           "/>
    <s v="2982 cc "/>
    <s v="171 bhp @3600            "/>
    <n v="171"/>
    <n v="4.6950000000000003"/>
    <n v="1.84"/>
    <n v="1.85"/>
    <n v="7"/>
    <x v="1"/>
    <n v="80"/>
  </r>
  <r>
    <x v="1"/>
    <x v="504"/>
    <x v="975"/>
    <n v="825000"/>
    <x v="214"/>
    <x v="10"/>
    <x v="33"/>
    <x v="2"/>
    <x v="1"/>
    <x v="1"/>
    <s v="Second           "/>
    <s v="2199 cc "/>
    <s v="194 bhp @ 3800 rpm  "/>
    <n v="194"/>
    <n v="4.6900000000000004"/>
    <n v="1.88"/>
    <n v="1.69"/>
    <n v="7"/>
    <x v="1"/>
    <n v="64"/>
  </r>
  <r>
    <x v="18"/>
    <x v="505"/>
    <x v="976"/>
    <n v="825000"/>
    <x v="214"/>
    <x v="2"/>
    <x v="471"/>
    <x v="2"/>
    <x v="1"/>
    <x v="0"/>
    <s v="First            "/>
    <s v="2967 cc "/>
    <s v="240 bhp@4000            "/>
    <n v="24"/>
    <n v="4.6280000000000001"/>
    <n v="1.879"/>
    <n v="1.651"/>
    <n v="5"/>
    <x v="1"/>
    <n v="75"/>
  </r>
  <r>
    <x v="1"/>
    <x v="354"/>
    <x v="977"/>
    <n v="825000"/>
    <x v="214"/>
    <x v="15"/>
    <x v="472"/>
    <x v="0"/>
    <x v="1"/>
    <x v="7"/>
    <s v="First            "/>
    <s v="1197 cc "/>
    <s v="82 bhp @ 6000 rpm   "/>
    <n v="82"/>
    <n v="3.8050000000000002"/>
    <n v="1.68"/>
    <n v="1.52"/>
    <n v="5"/>
    <x v="1"/>
    <n v="37"/>
  </r>
  <r>
    <x v="2"/>
    <x v="373"/>
    <x v="978"/>
    <n v="825000"/>
    <x v="214"/>
    <x v="13"/>
    <x v="473"/>
    <x v="0"/>
    <x v="1"/>
    <x v="7"/>
    <s v="First            "/>
    <s v="1197 cc "/>
    <s v="82 bhp @ 6000 rpm   "/>
    <n v="82"/>
    <n v="3.9950000000000001"/>
    <n v="1.7350000000000001"/>
    <n v="1.5149999999999999"/>
    <n v="5"/>
    <x v="1"/>
    <n v="37"/>
  </r>
  <r>
    <x v="2"/>
    <x v="318"/>
    <x v="979"/>
    <n v="825000"/>
    <x v="214"/>
    <x v="15"/>
    <x v="197"/>
    <x v="0"/>
    <x v="0"/>
    <x v="7"/>
    <s v="First            "/>
    <s v="1197 cc "/>
    <s v="83 bhp @ 6000 rpm   "/>
    <n v="83"/>
    <n v="3.9950000000000001"/>
    <n v="1.7450000000000001"/>
    <n v="1.5"/>
    <n v="5"/>
    <x v="1"/>
    <n v="37"/>
  </r>
  <r>
    <x v="2"/>
    <x v="318"/>
    <x v="980"/>
    <n v="825000"/>
    <x v="214"/>
    <x v="15"/>
    <x v="474"/>
    <x v="0"/>
    <x v="0"/>
    <x v="16"/>
    <s v="First            "/>
    <s v="1197 cc "/>
    <s v="83 bhp @ 6000 rpm   "/>
    <n v="83"/>
    <n v="3.9950000000000001"/>
    <n v="1.7450000000000001"/>
    <n v="1.5"/>
    <n v="5"/>
    <x v="1"/>
    <n v="37"/>
  </r>
  <r>
    <x v="2"/>
    <x v="385"/>
    <x v="981"/>
    <n v="825000"/>
    <x v="214"/>
    <x v="13"/>
    <x v="475"/>
    <x v="2"/>
    <x v="0"/>
    <x v="1"/>
    <s v="First            "/>
    <s v="1248 cc "/>
    <s v="89 bhp @ 4000 rpm   "/>
    <n v="89"/>
    <n v="3.9950000000000001"/>
    <n v="1.79"/>
    <n v="1.64"/>
    <n v="5"/>
    <x v="1"/>
    <n v="48"/>
  </r>
  <r>
    <x v="1"/>
    <x v="506"/>
    <x v="982"/>
    <n v="825000"/>
    <x v="214"/>
    <x v="9"/>
    <x v="11"/>
    <x v="2"/>
    <x v="0"/>
    <x v="0"/>
    <s v="First            "/>
    <s v="1396 cc "/>
    <s v="89 bhp @ 4000 rpm   "/>
    <n v="89"/>
    <n v="4.2699999999999996"/>
    <n v="1.78"/>
    <n v="1.63"/>
    <n v="5"/>
    <x v="1"/>
    <n v="60"/>
  </r>
  <r>
    <x v="2"/>
    <x v="445"/>
    <x v="983"/>
    <n v="825000"/>
    <x v="214"/>
    <x v="12"/>
    <x v="476"/>
    <x v="2"/>
    <x v="0"/>
    <x v="0"/>
    <s v="First            "/>
    <s v="1248 cc "/>
    <s v="89 bhp @ 4000 rpm   "/>
    <n v="89"/>
    <n v="3.9950000000000001"/>
    <n v="1.79"/>
    <n v="1.64"/>
    <n v="5"/>
    <x v="1"/>
    <n v="48"/>
  </r>
  <r>
    <x v="2"/>
    <x v="445"/>
    <x v="984"/>
    <n v="825000"/>
    <x v="214"/>
    <x v="13"/>
    <x v="477"/>
    <x v="2"/>
    <x v="0"/>
    <x v="0"/>
    <s v="First            "/>
    <s v="1248 cc "/>
    <s v="89 bhp @ 4000 rpm   "/>
    <n v="89"/>
    <n v="3.9950000000000001"/>
    <n v="1.79"/>
    <n v="1.64"/>
    <n v="5"/>
    <x v="1"/>
    <n v="48"/>
  </r>
  <r>
    <x v="1"/>
    <x v="507"/>
    <x v="985"/>
    <n v="825000"/>
    <x v="214"/>
    <x v="15"/>
    <x v="195"/>
    <x v="2"/>
    <x v="0"/>
    <x v="0"/>
    <s v="First            "/>
    <s v="1493 cc "/>
    <s v="99 bhp @ 4000 rpm   "/>
    <n v="99"/>
    <n v="3.9950000000000001"/>
    <n v="1.7749999999999999"/>
    <n v="1.5049999999999999"/>
    <n v="5"/>
    <x v="1"/>
    <n v="37"/>
  </r>
  <r>
    <x v="5"/>
    <x v="246"/>
    <x v="986"/>
    <n v="835000"/>
    <x v="215"/>
    <x v="12"/>
    <x v="478"/>
    <x v="0"/>
    <x v="0"/>
    <x v="10"/>
    <s v="First            "/>
    <s v="1497 cc "/>
    <s v="117 bhp @ 6600 rpm  "/>
    <n v="117"/>
    <n v="4.4400000000000004"/>
    <n v="1.6950000000000001"/>
    <n v="1.4950000000000001"/>
    <n v="5"/>
    <x v="1"/>
    <n v="40"/>
  </r>
  <r>
    <x v="5"/>
    <x v="508"/>
    <x v="987"/>
    <n v="840000"/>
    <x v="216"/>
    <x v="13"/>
    <x v="91"/>
    <x v="0"/>
    <x v="0"/>
    <x v="0"/>
    <s v="First            "/>
    <s v="1497 cc "/>
    <s v="117 bhp @ 6600 rpm  "/>
    <n v="117"/>
    <n v="4.4400000000000004"/>
    <n v="1.6950000000000001"/>
    <n v="1.4950000000000001"/>
    <n v="5"/>
    <x v="1"/>
    <n v="40"/>
  </r>
  <r>
    <x v="2"/>
    <x v="509"/>
    <x v="988"/>
    <n v="840000"/>
    <x v="216"/>
    <x v="14"/>
    <x v="421"/>
    <x v="0"/>
    <x v="0"/>
    <x v="0"/>
    <s v="First            "/>
    <s v="1197 cc "/>
    <s v="82 bhp @ 6000 rpm   "/>
    <n v="82"/>
    <n v="3.84"/>
    <n v="1.7350000000000001"/>
    <n v="1.53"/>
    <n v="5"/>
    <x v="1"/>
    <n v="37"/>
  </r>
  <r>
    <x v="2"/>
    <x v="407"/>
    <x v="989"/>
    <n v="840000"/>
    <x v="216"/>
    <x v="14"/>
    <x v="362"/>
    <x v="0"/>
    <x v="1"/>
    <x v="6"/>
    <s v="First            "/>
    <s v="1197 cc "/>
    <s v="83 bhp @ 6000 rpm   "/>
    <n v="83"/>
    <n v="3.9950000000000001"/>
    <n v="1.7450000000000001"/>
    <n v="1.5"/>
    <n v="5"/>
    <x v="1"/>
    <n v="37"/>
  </r>
  <r>
    <x v="1"/>
    <x v="510"/>
    <x v="990"/>
    <n v="844999"/>
    <x v="217"/>
    <x v="12"/>
    <x v="154"/>
    <x v="2"/>
    <x v="0"/>
    <x v="0"/>
    <s v="Second           "/>
    <s v="1582 cc "/>
    <s v="126 bhp @ 4000 rpm  "/>
    <n v="126"/>
    <n v="4.375"/>
    <n v="1.7"/>
    <n v="1.4750000000000001"/>
    <n v="5"/>
    <x v="1"/>
    <n v="43"/>
  </r>
  <r>
    <x v="2"/>
    <x v="511"/>
    <x v="991"/>
    <n v="849000"/>
    <x v="218"/>
    <x v="15"/>
    <x v="479"/>
    <x v="0"/>
    <x v="0"/>
    <x v="0"/>
    <s v="First            "/>
    <s v="1462 cc "/>
    <s v="103 bhp @ 6000 rpm  "/>
    <n v="103"/>
    <n v="3.9950000000000001"/>
    <n v="1.79"/>
    <n v="1.64"/>
    <n v="5"/>
    <x v="1"/>
    <n v="48"/>
  </r>
  <r>
    <x v="8"/>
    <x v="380"/>
    <x v="992"/>
    <n v="850000"/>
    <x v="219"/>
    <x v="13"/>
    <x v="480"/>
    <x v="2"/>
    <x v="0"/>
    <x v="0"/>
    <s v="First            "/>
    <s v="1493 cc "/>
    <s v="100 bhp @ 3750 rpm  "/>
    <n v="100"/>
    <n v="3.9950000000000001"/>
    <n v="1.835"/>
    <n v="1.839"/>
    <n v="7"/>
    <x v="1"/>
    <n v="60"/>
  </r>
  <r>
    <x v="2"/>
    <x v="512"/>
    <x v="993"/>
    <n v="850000"/>
    <x v="219"/>
    <x v="13"/>
    <x v="34"/>
    <x v="0"/>
    <x v="1"/>
    <x v="2"/>
    <s v="First            "/>
    <s v="1462 cc "/>
    <s v="103 bhp @ 6000 rpm  "/>
    <n v="103"/>
    <n v="4.49"/>
    <n v="1.73"/>
    <n v="1.4850000000000001"/>
    <n v="5"/>
    <x v="1"/>
    <n v="43"/>
  </r>
  <r>
    <x v="5"/>
    <x v="513"/>
    <x v="994"/>
    <n v="850000"/>
    <x v="219"/>
    <x v="9"/>
    <x v="481"/>
    <x v="0"/>
    <x v="0"/>
    <x v="2"/>
    <s v="First            "/>
    <s v="1497 cc "/>
    <s v="117 bhp @ 6600 rpm  "/>
    <n v="117"/>
    <n v="4.4400000000000004"/>
    <n v="1.6950000000000001"/>
    <n v="1.4950000000000001"/>
    <n v="5"/>
    <x v="1"/>
    <n v="40"/>
  </r>
  <r>
    <x v="5"/>
    <x v="246"/>
    <x v="995"/>
    <n v="850000"/>
    <x v="219"/>
    <x v="12"/>
    <x v="482"/>
    <x v="0"/>
    <x v="0"/>
    <x v="1"/>
    <s v="First            "/>
    <s v="1497 cc "/>
    <s v="117 bhp @ 6600 rpm  "/>
    <n v="117"/>
    <n v="4.4400000000000004"/>
    <n v="1.6950000000000001"/>
    <n v="1.4950000000000001"/>
    <n v="5"/>
    <x v="1"/>
    <n v="40"/>
  </r>
  <r>
    <x v="1"/>
    <x v="514"/>
    <x v="996"/>
    <n v="850000"/>
    <x v="219"/>
    <x v="11"/>
    <x v="8"/>
    <x v="2"/>
    <x v="0"/>
    <x v="4"/>
    <s v="First            "/>
    <s v="1582 cc "/>
    <s v="126 bhp @ 4000 rpm  "/>
    <n v="126"/>
    <n v="4.2699999999999996"/>
    <n v="1.78"/>
    <n v="1.63"/>
    <n v="5"/>
    <x v="1"/>
    <n v="60"/>
  </r>
  <r>
    <x v="8"/>
    <x v="494"/>
    <x v="997"/>
    <n v="850000"/>
    <x v="219"/>
    <x v="11"/>
    <x v="66"/>
    <x v="2"/>
    <x v="0"/>
    <x v="0"/>
    <s v="First            "/>
    <s v="2179 cc "/>
    <s v="138 bhp @ 3750 rpm  "/>
    <n v="138"/>
    <n v="4.585"/>
    <n v="1.89"/>
    <n v="1.7849999999999999"/>
    <n v="7"/>
    <x v="1"/>
    <n v="70"/>
  </r>
  <r>
    <x v="8"/>
    <x v="515"/>
    <x v="998"/>
    <n v="850000"/>
    <x v="219"/>
    <x v="11"/>
    <x v="483"/>
    <x v="2"/>
    <x v="0"/>
    <x v="0"/>
    <s v="First            "/>
    <s v="2179 cc "/>
    <s v="138 bhp @ 3750 rpm  "/>
    <n v="138"/>
    <n v="4.585"/>
    <n v="1.89"/>
    <n v="1.7849999999999999"/>
    <n v="7"/>
    <x v="1"/>
    <n v="70"/>
  </r>
  <r>
    <x v="3"/>
    <x v="516"/>
    <x v="999"/>
    <n v="850000"/>
    <x v="219"/>
    <x v="6"/>
    <x v="21"/>
    <x v="2"/>
    <x v="1"/>
    <x v="8"/>
    <s v="First            "/>
    <s v="2953 cc "/>
    <s v="154 bhp @ 3200 rpm  "/>
    <n v="154"/>
    <n v="5.0599999999999996"/>
    <n v="1.788"/>
    <n v="1.8260000000000001"/>
    <n v="7"/>
    <x v="1"/>
    <n v="71"/>
  </r>
  <r>
    <x v="0"/>
    <x v="517"/>
    <x v="1000"/>
    <n v="850000"/>
    <x v="219"/>
    <x v="12"/>
    <x v="6"/>
    <x v="2"/>
    <x v="0"/>
    <x v="0"/>
    <s v="First            "/>
    <s v="2179 cc "/>
    <s v="154 bhp @ 4000 rpm  "/>
    <n v="154"/>
    <n v="4.7880000000000003"/>
    <n v="1.903"/>
    <n v="1.7909999999999999"/>
    <n v="7"/>
    <x v="1"/>
    <n v="60"/>
  </r>
  <r>
    <x v="14"/>
    <x v="518"/>
    <x v="1001"/>
    <n v="850000"/>
    <x v="219"/>
    <x v="4"/>
    <x v="21"/>
    <x v="2"/>
    <x v="1"/>
    <x v="0"/>
    <s v="Second           "/>
    <s v="2143 cc "/>
    <s v="203 bhp @ 4200 rpm  "/>
    <n v="203"/>
    <n v="4.8680000000000003"/>
    <n v="1.8540000000000001"/>
    <n v="1.4710000000000001"/>
    <n v="5"/>
    <x v="1"/>
    <n v="90"/>
  </r>
  <r>
    <x v="2"/>
    <x v="450"/>
    <x v="1002"/>
    <n v="850000"/>
    <x v="219"/>
    <x v="12"/>
    <x v="21"/>
    <x v="2"/>
    <x v="0"/>
    <x v="6"/>
    <s v="First            "/>
    <s v="1248 cc "/>
    <s v="89 bhp @ 4000 rpm   "/>
    <n v="89"/>
    <n v="3.9950000000000001"/>
    <n v="1.79"/>
    <n v="1.64"/>
    <n v="5"/>
    <x v="1"/>
    <n v="48"/>
  </r>
  <r>
    <x v="2"/>
    <x v="450"/>
    <x v="1003"/>
    <n v="850000"/>
    <x v="219"/>
    <x v="12"/>
    <x v="484"/>
    <x v="2"/>
    <x v="0"/>
    <x v="4"/>
    <s v="First            "/>
    <s v="1248 cc "/>
    <s v="89 bhp @ 4000 rpm   "/>
    <n v="89"/>
    <n v="3.9950000000000001"/>
    <n v="1.79"/>
    <n v="1.64"/>
    <n v="5"/>
    <x v="1"/>
    <n v="48"/>
  </r>
  <r>
    <x v="2"/>
    <x v="473"/>
    <x v="1004"/>
    <n v="850000"/>
    <x v="219"/>
    <x v="13"/>
    <x v="8"/>
    <x v="2"/>
    <x v="0"/>
    <x v="1"/>
    <s v="First            "/>
    <s v="1248 cc "/>
    <s v="89 bhp @ 4000 rpm   "/>
    <n v="89"/>
    <n v="4.2960000000000003"/>
    <n v="1.6950000000000001"/>
    <n v="1.6850000000000001"/>
    <n v="7"/>
    <x v="1"/>
    <n v="45"/>
  </r>
  <r>
    <x v="3"/>
    <x v="519"/>
    <x v="1005"/>
    <n v="850000"/>
    <x v="219"/>
    <x v="13"/>
    <x v="191"/>
    <x v="2"/>
    <x v="0"/>
    <x v="0"/>
    <s v="First            "/>
    <s v="1498 cc "/>
    <s v="99 bhp @ 3750 rpm   "/>
    <n v="99"/>
    <n v="3.9980000000000002"/>
    <n v="1.7649999999999999"/>
    <n v="1.647"/>
    <n v="5"/>
    <x v="1"/>
    <n v="52"/>
  </r>
  <r>
    <x v="1"/>
    <x v="383"/>
    <x v="1006"/>
    <n v="855000"/>
    <x v="220"/>
    <x v="9"/>
    <x v="38"/>
    <x v="2"/>
    <x v="0"/>
    <x v="2"/>
    <s v="Second           "/>
    <s v="1582 cc "/>
    <s v="126 bhp @ 4000 rpm  "/>
    <n v="126"/>
    <n v="4.375"/>
    <n v="1.7"/>
    <n v="1.4750000000000001"/>
    <n v="5"/>
    <x v="1"/>
    <n v="43"/>
  </r>
  <r>
    <x v="0"/>
    <x v="520"/>
    <x v="1007"/>
    <n v="860000"/>
    <x v="221"/>
    <x v="12"/>
    <x v="485"/>
    <x v="2"/>
    <x v="0"/>
    <x v="2"/>
    <s v="First            "/>
    <s v="1497 cc "/>
    <s v="108 bhp @ 3750 rpm  "/>
    <n v="108"/>
    <n v="3.9940000000000002"/>
    <n v="1.8109999999999999"/>
    <n v="1.607"/>
    <n v="5"/>
    <x v="1"/>
    <n v="44"/>
  </r>
  <r>
    <x v="1"/>
    <x v="521"/>
    <x v="1008"/>
    <n v="860000"/>
    <x v="221"/>
    <x v="11"/>
    <x v="486"/>
    <x v="0"/>
    <x v="0"/>
    <x v="0"/>
    <s v="First            "/>
    <s v="1591 cc "/>
    <s v="122 bhp @ 6400 rpm  "/>
    <n v="122"/>
    <n v="4.2699999999999996"/>
    <n v="1.78"/>
    <n v="1.63"/>
    <n v="5"/>
    <x v="1"/>
    <n v="60"/>
  </r>
  <r>
    <x v="4"/>
    <x v="429"/>
    <x v="1009"/>
    <n v="860000"/>
    <x v="221"/>
    <x v="15"/>
    <x v="487"/>
    <x v="0"/>
    <x v="0"/>
    <x v="7"/>
    <s v="First            "/>
    <s v="1197 cc "/>
    <s v="82 bhp @ 6000 rpm   "/>
    <n v="82"/>
    <n v="3.9950000000000001"/>
    <n v="1.7450000000000001"/>
    <n v="1.51"/>
    <n v="5"/>
    <x v="1"/>
    <n v="37"/>
  </r>
  <r>
    <x v="2"/>
    <x v="445"/>
    <x v="1010"/>
    <n v="860000"/>
    <x v="221"/>
    <x v="12"/>
    <x v="488"/>
    <x v="2"/>
    <x v="0"/>
    <x v="4"/>
    <s v="First            "/>
    <s v="1248 cc "/>
    <s v="89 bhp @ 4000 rpm   "/>
    <n v="89"/>
    <n v="3.9950000000000001"/>
    <n v="1.79"/>
    <n v="1.64"/>
    <n v="5"/>
    <x v="1"/>
    <n v="48"/>
  </r>
  <r>
    <x v="4"/>
    <x v="522"/>
    <x v="1011"/>
    <n v="865000"/>
    <x v="222"/>
    <x v="10"/>
    <x v="489"/>
    <x v="2"/>
    <x v="0"/>
    <x v="1"/>
    <s v="First            "/>
    <s v="2494 cc "/>
    <s v="101 bhp @ 3600 rpm  "/>
    <n v="101"/>
    <n v="4.585"/>
    <n v="1.7649999999999999"/>
    <n v="1.76"/>
    <n v="7"/>
    <x v="1"/>
    <n v="55"/>
  </r>
  <r>
    <x v="5"/>
    <x v="471"/>
    <x v="1012"/>
    <n v="865000"/>
    <x v="222"/>
    <x v="9"/>
    <x v="490"/>
    <x v="0"/>
    <x v="1"/>
    <x v="2"/>
    <s v="First            "/>
    <s v="1497 cc "/>
    <s v="117 bhp @ 6600 rpm  "/>
    <n v="117"/>
    <n v="4.4400000000000004"/>
    <n v="1.6950000000000001"/>
    <n v="1.4950000000000001"/>
    <n v="5"/>
    <x v="1"/>
    <n v="40"/>
  </r>
  <r>
    <x v="8"/>
    <x v="266"/>
    <x v="1013"/>
    <n v="865000"/>
    <x v="222"/>
    <x v="9"/>
    <x v="1"/>
    <x v="2"/>
    <x v="0"/>
    <x v="0"/>
    <s v="First            "/>
    <s v="2179 cc "/>
    <s v="140 bhp @ 3750 rpm  "/>
    <n v="140"/>
    <n v="4.585"/>
    <n v="1.89"/>
    <n v="1.7849999999999999"/>
    <n v="7"/>
    <x v="1"/>
    <n v="70"/>
  </r>
  <r>
    <x v="2"/>
    <x v="445"/>
    <x v="1014"/>
    <n v="865000"/>
    <x v="222"/>
    <x v="12"/>
    <x v="491"/>
    <x v="2"/>
    <x v="0"/>
    <x v="2"/>
    <s v="Second           "/>
    <s v="1248 cc "/>
    <s v="89 bhp @ 4000 rpm   "/>
    <n v="89"/>
    <n v="3.9950000000000001"/>
    <n v="1.79"/>
    <n v="1.64"/>
    <n v="5"/>
    <x v="1"/>
    <n v="48"/>
  </r>
  <r>
    <x v="2"/>
    <x v="473"/>
    <x v="1015"/>
    <n v="865000"/>
    <x v="222"/>
    <x v="11"/>
    <x v="44"/>
    <x v="2"/>
    <x v="0"/>
    <x v="0"/>
    <s v="First            "/>
    <s v="1248 cc "/>
    <s v="89 bhp @ 4000 rpm   "/>
    <n v="89"/>
    <n v="4.2960000000000003"/>
    <n v="1.6950000000000001"/>
    <n v="1.6850000000000001"/>
    <n v="7"/>
    <x v="1"/>
    <n v="45"/>
  </r>
  <r>
    <x v="5"/>
    <x v="523"/>
    <x v="1016"/>
    <n v="869000"/>
    <x v="223"/>
    <x v="15"/>
    <x v="492"/>
    <x v="0"/>
    <x v="1"/>
    <x v="10"/>
    <s v="First            "/>
    <s v="1199 cc "/>
    <s v="89 bhp @ 6000 rpm   "/>
    <n v="89"/>
    <n v="3.9950000000000001"/>
    <n v="1.6950000000000001"/>
    <n v="1.5009999999999999"/>
    <n v="5"/>
    <x v="1"/>
    <n v="35"/>
  </r>
  <r>
    <x v="1"/>
    <x v="524"/>
    <x v="1017"/>
    <n v="869999"/>
    <x v="224"/>
    <x v="9"/>
    <x v="26"/>
    <x v="2"/>
    <x v="0"/>
    <x v="0"/>
    <s v="First            "/>
    <s v="1582 cc "/>
    <s v="126 bhp @ 4000 rpm  "/>
    <n v="126"/>
    <n v="4.2699999999999996"/>
    <n v="1.78"/>
    <n v="1.63"/>
    <n v="5"/>
    <x v="1"/>
    <n v="60"/>
  </r>
  <r>
    <x v="1"/>
    <x v="525"/>
    <x v="1018"/>
    <n v="871000"/>
    <x v="225"/>
    <x v="10"/>
    <x v="23"/>
    <x v="2"/>
    <x v="0"/>
    <x v="0"/>
    <s v="First            "/>
    <s v="1582 cc "/>
    <s v="126 bhp @ 4000 rpm  "/>
    <n v="126"/>
    <n v="4.2699999999999996"/>
    <n v="1.78"/>
    <n v="1.63"/>
    <n v="5"/>
    <x v="1"/>
    <n v="60"/>
  </r>
  <r>
    <x v="8"/>
    <x v="366"/>
    <x v="1019"/>
    <n v="875000"/>
    <x v="226"/>
    <x v="12"/>
    <x v="35"/>
    <x v="2"/>
    <x v="0"/>
    <x v="0"/>
    <s v="First            "/>
    <s v="2498 cc "/>
    <s v="105 bhp @ 3800 rpm  "/>
    <n v="105"/>
    <n v="3.92"/>
    <n v="1.726"/>
    <n v="1.93"/>
    <n v="6"/>
    <x v="1"/>
    <n v="60"/>
  </r>
  <r>
    <x v="4"/>
    <x v="526"/>
    <x v="1020"/>
    <n v="875000"/>
    <x v="226"/>
    <x v="12"/>
    <x v="493"/>
    <x v="0"/>
    <x v="1"/>
    <x v="4"/>
    <s v="First            "/>
    <s v="1496 cc "/>
    <s v="106 bhp @ 6000 rpm  "/>
    <n v="106"/>
    <n v="4.4249999999999998"/>
    <n v="1.73"/>
    <n v="1.4950000000000001"/>
    <n v="5"/>
    <x v="1"/>
    <n v="42"/>
  </r>
  <r>
    <x v="5"/>
    <x v="508"/>
    <x v="1021"/>
    <n v="875000"/>
    <x v="226"/>
    <x v="13"/>
    <x v="318"/>
    <x v="0"/>
    <x v="0"/>
    <x v="12"/>
    <s v="First            "/>
    <s v="1497 cc "/>
    <s v="117 bhp @ 6600 rpm  "/>
    <n v="117"/>
    <n v="4.4400000000000004"/>
    <n v="1.6950000000000001"/>
    <n v="1.4950000000000001"/>
    <n v="5"/>
    <x v="1"/>
    <n v="40"/>
  </r>
  <r>
    <x v="5"/>
    <x v="246"/>
    <x v="1022"/>
    <n v="875000"/>
    <x v="226"/>
    <x v="13"/>
    <x v="494"/>
    <x v="0"/>
    <x v="0"/>
    <x v="2"/>
    <s v="First            "/>
    <s v="1497 cc "/>
    <s v="117 bhp @ 6600 rpm  "/>
    <n v="117"/>
    <n v="4.4400000000000004"/>
    <n v="1.6950000000000001"/>
    <n v="1.4950000000000001"/>
    <n v="5"/>
    <x v="1"/>
    <n v="40"/>
  </r>
  <r>
    <x v="5"/>
    <x v="246"/>
    <x v="1023"/>
    <n v="875000"/>
    <x v="226"/>
    <x v="12"/>
    <x v="191"/>
    <x v="0"/>
    <x v="0"/>
    <x v="1"/>
    <s v="First            "/>
    <s v="1497 cc "/>
    <s v="117 bhp @ 6600 rpm  "/>
    <n v="117"/>
    <n v="4.4400000000000004"/>
    <n v="1.6950000000000001"/>
    <n v="1.4950000000000001"/>
    <n v="5"/>
    <x v="1"/>
    <n v="40"/>
  </r>
  <r>
    <x v="5"/>
    <x v="527"/>
    <x v="1024"/>
    <n v="875000"/>
    <x v="226"/>
    <x v="12"/>
    <x v="15"/>
    <x v="0"/>
    <x v="0"/>
    <x v="1"/>
    <s v="First            "/>
    <s v="1497 cc "/>
    <s v="117 bhp @ 6600 rpm  "/>
    <n v="117"/>
    <n v="4.4400000000000004"/>
    <n v="1.6950000000000001"/>
    <n v="1.4950000000000001"/>
    <n v="5"/>
    <x v="1"/>
    <n v="40"/>
  </r>
  <r>
    <x v="8"/>
    <x v="477"/>
    <x v="1025"/>
    <n v="875000"/>
    <x v="226"/>
    <x v="6"/>
    <x v="386"/>
    <x v="2"/>
    <x v="0"/>
    <x v="4"/>
    <s v="Second           "/>
    <s v="2179 cc "/>
    <s v="120 bhp @ 4000 rpm  "/>
    <n v="120"/>
    <n v="4.4560000000000004"/>
    <n v="1.82"/>
    <n v="1.9950000000000001"/>
    <n v="8"/>
    <x v="1"/>
    <n v="60"/>
  </r>
  <r>
    <x v="8"/>
    <x v="477"/>
    <x v="1026"/>
    <n v="875000"/>
    <x v="226"/>
    <x v="10"/>
    <x v="44"/>
    <x v="2"/>
    <x v="0"/>
    <x v="0"/>
    <s v="First            "/>
    <s v="2179 cc "/>
    <s v="120 bhp @ 4000 rpm  "/>
    <n v="120"/>
    <n v="4.4560000000000004"/>
    <n v="1.82"/>
    <n v="1.9950000000000001"/>
    <n v="8"/>
    <x v="1"/>
    <n v="60"/>
  </r>
  <r>
    <x v="8"/>
    <x v="477"/>
    <x v="1027"/>
    <n v="875000"/>
    <x v="226"/>
    <x v="10"/>
    <x v="48"/>
    <x v="2"/>
    <x v="0"/>
    <x v="0"/>
    <s v="First            "/>
    <s v="2179 cc "/>
    <s v="120 bhp @ 4000 rpm  "/>
    <n v="120"/>
    <n v="4.4560000000000004"/>
    <n v="1.82"/>
    <n v="1.9950000000000001"/>
    <n v="8"/>
    <x v="1"/>
    <n v="60"/>
  </r>
  <r>
    <x v="1"/>
    <x v="528"/>
    <x v="1028"/>
    <n v="875000"/>
    <x v="226"/>
    <x v="9"/>
    <x v="15"/>
    <x v="0"/>
    <x v="0"/>
    <x v="1"/>
    <s v="First            "/>
    <s v="1591 cc "/>
    <s v="122 bhp @ 6400 rpm  "/>
    <n v="122"/>
    <n v="4.2699999999999996"/>
    <n v="1.78"/>
    <n v="1.63"/>
    <n v="5"/>
    <x v="1"/>
    <n v="60"/>
  </r>
  <r>
    <x v="1"/>
    <x v="525"/>
    <x v="1029"/>
    <n v="875000"/>
    <x v="226"/>
    <x v="11"/>
    <x v="495"/>
    <x v="2"/>
    <x v="0"/>
    <x v="0"/>
    <s v="First            "/>
    <s v="1582 cc "/>
    <s v="126 bhp @ 4000 rpm  "/>
    <n v="126"/>
    <n v="4.2699999999999996"/>
    <n v="1.78"/>
    <n v="1.63"/>
    <n v="5"/>
    <x v="1"/>
    <n v="60"/>
  </r>
  <r>
    <x v="1"/>
    <x v="504"/>
    <x v="1030"/>
    <n v="875000"/>
    <x v="226"/>
    <x v="6"/>
    <x v="96"/>
    <x v="2"/>
    <x v="1"/>
    <x v="0"/>
    <s v="First            "/>
    <s v="2199 cc "/>
    <s v="194 bhp @ 3800 rpm  "/>
    <n v="194"/>
    <n v="4.6900000000000004"/>
    <n v="1.88"/>
    <n v="1.69"/>
    <n v="7"/>
    <x v="1"/>
    <n v="64"/>
  </r>
  <r>
    <x v="2"/>
    <x v="449"/>
    <x v="1031"/>
    <n v="875000"/>
    <x v="226"/>
    <x v="12"/>
    <x v="58"/>
    <x v="2"/>
    <x v="0"/>
    <x v="0"/>
    <s v="First            "/>
    <s v="1248 cc "/>
    <s v="89 bhp @ 4000 rpm   "/>
    <n v="89"/>
    <n v="3.9950000000000001"/>
    <n v="1.79"/>
    <n v="1.64"/>
    <n v="5"/>
    <x v="1"/>
    <n v="48"/>
  </r>
  <r>
    <x v="9"/>
    <x v="529"/>
    <x v="1032"/>
    <n v="880000"/>
    <x v="227"/>
    <x v="12"/>
    <x v="119"/>
    <x v="0"/>
    <x v="0"/>
    <x v="0"/>
    <s v="First            "/>
    <s v="1598 cc "/>
    <s v="104 bhp @ 5250 rpm  "/>
    <n v="104"/>
    <n v="4.3860000000000001"/>
    <n v="1.6990000000000001"/>
    <n v="1.466"/>
    <n v="5"/>
    <x v="1"/>
    <n v="55"/>
  </r>
  <r>
    <x v="9"/>
    <x v="530"/>
    <x v="1033"/>
    <n v="885000"/>
    <x v="228"/>
    <x v="12"/>
    <x v="194"/>
    <x v="0"/>
    <x v="0"/>
    <x v="4"/>
    <s v="First            "/>
    <s v="1598 cc "/>
    <s v="104 bhp @ 5200 rpm  "/>
    <n v="104"/>
    <n v="4.4130000000000003"/>
    <n v="1.6990000000000001"/>
    <n v="1.466"/>
    <n v="5"/>
    <x v="1"/>
    <n v="55"/>
  </r>
  <r>
    <x v="1"/>
    <x v="521"/>
    <x v="1034"/>
    <n v="885000"/>
    <x v="228"/>
    <x v="11"/>
    <x v="486"/>
    <x v="0"/>
    <x v="0"/>
    <x v="0"/>
    <s v="First            "/>
    <s v="1591 cc "/>
    <s v="122 bhp @ 6400 rpm  "/>
    <n v="122"/>
    <n v="4.2699999999999996"/>
    <n v="1.78"/>
    <n v="1.63"/>
    <n v="5"/>
    <x v="1"/>
    <n v="60"/>
  </r>
  <r>
    <x v="11"/>
    <x v="531"/>
    <x v="1035"/>
    <n v="890000"/>
    <x v="229"/>
    <x v="14"/>
    <x v="496"/>
    <x v="0"/>
    <x v="0"/>
    <x v="0"/>
    <s v="First            "/>
    <s v="1498 cc "/>
    <s v="105 bhp @ 5600 rpm  "/>
    <n v="105"/>
    <n v="4.3600000000000003"/>
    <n v="1.8220000000000001"/>
    <n v="1.6950000000000001"/>
    <n v="5"/>
    <x v="1"/>
    <n v="50"/>
  </r>
  <r>
    <x v="0"/>
    <x v="532"/>
    <x v="1036"/>
    <n v="890000"/>
    <x v="229"/>
    <x v="12"/>
    <x v="56"/>
    <x v="0"/>
    <x v="1"/>
    <x v="9"/>
    <s v="First            "/>
    <s v="1198 cc "/>
    <s v="108 bhp @ 5000 rpm  "/>
    <n v="108"/>
    <n v="3.9940000000000002"/>
    <n v="1.8109999999999999"/>
    <n v="1.607"/>
    <n v="5"/>
    <x v="1"/>
    <n v="44"/>
  </r>
  <r>
    <x v="1"/>
    <x v="528"/>
    <x v="1037"/>
    <n v="890000"/>
    <x v="229"/>
    <x v="9"/>
    <x v="126"/>
    <x v="0"/>
    <x v="0"/>
    <x v="2"/>
    <s v="First            "/>
    <s v="1591 cc "/>
    <s v="122 bhp @ 6400 rpm  "/>
    <n v="122"/>
    <n v="4.2699999999999996"/>
    <n v="1.78"/>
    <n v="1.63"/>
    <n v="5"/>
    <x v="1"/>
    <n v="60"/>
  </r>
  <r>
    <x v="1"/>
    <x v="533"/>
    <x v="1038"/>
    <n v="890000"/>
    <x v="229"/>
    <x v="11"/>
    <x v="10"/>
    <x v="2"/>
    <x v="1"/>
    <x v="1"/>
    <s v="First            "/>
    <s v="1582 cc "/>
    <s v="126 bhp @ 4000 rpm  "/>
    <n v="126"/>
    <n v="4.2699999999999996"/>
    <n v="1.78"/>
    <n v="1.63"/>
    <n v="5"/>
    <x v="1"/>
    <n v="60"/>
  </r>
  <r>
    <x v="1"/>
    <x v="493"/>
    <x v="1039"/>
    <n v="890000"/>
    <x v="229"/>
    <x v="10"/>
    <x v="497"/>
    <x v="2"/>
    <x v="0"/>
    <x v="0"/>
    <s v="First            "/>
    <s v="1582 cc "/>
    <s v="126 bhp @ 4000 rpm  "/>
    <n v="126"/>
    <n v="4.2699999999999996"/>
    <n v="1.78"/>
    <n v="1.63"/>
    <n v="5"/>
    <x v="1"/>
    <n v="60"/>
  </r>
  <r>
    <x v="4"/>
    <x v="534"/>
    <x v="1040"/>
    <n v="890000"/>
    <x v="229"/>
    <x v="6"/>
    <x v="30"/>
    <x v="0"/>
    <x v="1"/>
    <x v="2"/>
    <s v="First            "/>
    <s v="1798 cc "/>
    <s v="138 bhp @ 6400 rpm  "/>
    <n v="138"/>
    <n v="4.54"/>
    <n v="1.76"/>
    <n v="1.48"/>
    <n v="5"/>
    <x v="1"/>
    <n v="55"/>
  </r>
  <r>
    <x v="0"/>
    <x v="535"/>
    <x v="1041"/>
    <n v="890000"/>
    <x v="229"/>
    <x v="16"/>
    <x v="498"/>
    <x v="0"/>
    <x v="0"/>
    <x v="0"/>
    <s v="First            "/>
    <s v="1199 cc "/>
    <s v="84 bhp @ 6000 rpm   "/>
    <n v="84"/>
    <n v="3.827"/>
    <n v="1.742"/>
    <n v="1.615"/>
    <n v="5"/>
    <x v="1"/>
    <n v="37"/>
  </r>
  <r>
    <x v="2"/>
    <x v="450"/>
    <x v="1042"/>
    <n v="890000"/>
    <x v="229"/>
    <x v="9"/>
    <x v="26"/>
    <x v="2"/>
    <x v="0"/>
    <x v="6"/>
    <s v="Second           "/>
    <s v="1248 cc "/>
    <s v="89 bhp @ 4000 rpm   "/>
    <n v="89"/>
    <n v="3.9950000000000001"/>
    <n v="1.79"/>
    <n v="1.64"/>
    <n v="5"/>
    <x v="1"/>
    <n v="48"/>
  </r>
  <r>
    <x v="1"/>
    <x v="521"/>
    <x v="1043"/>
    <n v="891000"/>
    <x v="230"/>
    <x v="11"/>
    <x v="119"/>
    <x v="0"/>
    <x v="0"/>
    <x v="0"/>
    <s v="First            "/>
    <s v="1591 cc "/>
    <s v="122 bhp @ 6400 rpm  "/>
    <n v="122"/>
    <n v="4.2699999999999996"/>
    <n v="1.78"/>
    <n v="1.63"/>
    <n v="5"/>
    <x v="1"/>
    <n v="60"/>
  </r>
  <r>
    <x v="4"/>
    <x v="536"/>
    <x v="1044"/>
    <n v="894999"/>
    <x v="231"/>
    <x v="10"/>
    <x v="499"/>
    <x v="0"/>
    <x v="1"/>
    <x v="0"/>
    <s v="First            "/>
    <s v="1798 cc "/>
    <s v="138 bhp @ 6400 rpm  "/>
    <n v="138"/>
    <n v="4.62"/>
    <n v="1.7749999999999999"/>
    <n v="1.4750000000000001"/>
    <n v="5"/>
    <x v="1"/>
    <n v="55"/>
  </r>
  <r>
    <x v="2"/>
    <x v="479"/>
    <x v="1045"/>
    <n v="894999"/>
    <x v="231"/>
    <x v="12"/>
    <x v="500"/>
    <x v="0"/>
    <x v="1"/>
    <x v="2"/>
    <s v="First            "/>
    <s v="1197 cc "/>
    <s v="82 bhp @ 6000 rpm   "/>
    <n v="82"/>
    <n v="3.9950000000000001"/>
    <n v="1.7450000000000001"/>
    <n v="1.51"/>
    <n v="5"/>
    <x v="1"/>
    <n v="37"/>
  </r>
  <r>
    <x v="1"/>
    <x v="488"/>
    <x v="1046"/>
    <n v="894999"/>
    <x v="231"/>
    <x v="15"/>
    <x v="71"/>
    <x v="0"/>
    <x v="1"/>
    <x v="0"/>
    <s v="First            "/>
    <s v="1197 cc "/>
    <s v="87 bhp @ 6000 rpm   "/>
    <n v="87"/>
    <n v="3.9950000000000001"/>
    <n v="1.7749999999999999"/>
    <n v="1.5049999999999999"/>
    <n v="5"/>
    <x v="1"/>
    <n v="37"/>
  </r>
  <r>
    <x v="2"/>
    <x v="537"/>
    <x v="1047"/>
    <n v="894999"/>
    <x v="231"/>
    <x v="13"/>
    <x v="117"/>
    <x v="2"/>
    <x v="1"/>
    <x v="0"/>
    <s v="First            "/>
    <s v="1248 cc "/>
    <s v="89 bhp @ 4000 rpm   "/>
    <n v="89"/>
    <n v="3.9950000000000001"/>
    <n v="1.79"/>
    <n v="1.64"/>
    <n v="5"/>
    <x v="1"/>
    <n v="48"/>
  </r>
  <r>
    <x v="4"/>
    <x v="538"/>
    <x v="1048"/>
    <n v="899000"/>
    <x v="232"/>
    <x v="10"/>
    <x v="452"/>
    <x v="2"/>
    <x v="0"/>
    <x v="1"/>
    <s v="Third            "/>
    <s v="2494 cc "/>
    <s v="101 bhp @ 3600 rpm  "/>
    <n v="101"/>
    <n v="4.585"/>
    <n v="1.7649999999999999"/>
    <n v="1.76"/>
    <n v="8"/>
    <x v="1"/>
    <n v="55"/>
  </r>
  <r>
    <x v="2"/>
    <x v="497"/>
    <x v="1049"/>
    <n v="899000"/>
    <x v="232"/>
    <x v="12"/>
    <x v="501"/>
    <x v="0"/>
    <x v="0"/>
    <x v="2"/>
    <s v="First            "/>
    <s v="1373 cc "/>
    <s v="91 bhp @ 6000 rpm   "/>
    <n v="91"/>
    <n v="4.49"/>
    <n v="1.73"/>
    <n v="1.4850000000000001"/>
    <n v="5"/>
    <x v="1"/>
    <n v="43"/>
  </r>
  <r>
    <x v="9"/>
    <x v="539"/>
    <x v="1050"/>
    <n v="900000"/>
    <x v="233"/>
    <x v="12"/>
    <x v="17"/>
    <x v="0"/>
    <x v="1"/>
    <x v="2"/>
    <s v="Second           "/>
    <s v="1598 cc "/>
    <s v="104 bhp @ 5200 rpm  "/>
    <n v="104"/>
    <n v="4.4130000000000003"/>
    <n v="1.6990000000000001"/>
    <n v="1.466"/>
    <n v="5"/>
    <x v="1"/>
    <n v="55"/>
  </r>
  <r>
    <x v="1"/>
    <x v="540"/>
    <x v="1051"/>
    <n v="900000"/>
    <x v="233"/>
    <x v="14"/>
    <x v="20"/>
    <x v="0"/>
    <x v="0"/>
    <x v="10"/>
    <s v="First            "/>
    <s v="998 cc  "/>
    <s v="118 bhp @ 6000 rpm  "/>
    <n v="118"/>
    <n v="3.9950000000000001"/>
    <n v="1.77"/>
    <n v="1.605"/>
    <n v="5"/>
    <x v="1"/>
    <n v="45"/>
  </r>
  <r>
    <x v="16"/>
    <x v="541"/>
    <x v="1052"/>
    <n v="900000"/>
    <x v="233"/>
    <x v="11"/>
    <x v="26"/>
    <x v="2"/>
    <x v="0"/>
    <x v="8"/>
    <s v="Second           "/>
    <s v="2696 cc "/>
    <s v="162 bhp @ 4000 rpm  "/>
    <n v="162"/>
    <n v="4.7549999999999999"/>
    <n v="1.9"/>
    <n v="1.7849999999999999"/>
    <n v="7"/>
    <x v="1"/>
    <n v="78"/>
  </r>
  <r>
    <x v="5"/>
    <x v="334"/>
    <x v="1053"/>
    <n v="900000"/>
    <x v="233"/>
    <x v="13"/>
    <x v="79"/>
    <x v="0"/>
    <x v="0"/>
    <x v="0"/>
    <s v="First            "/>
    <s v="1199 cc "/>
    <s v="89 bhp @ 6000 rpm   "/>
    <n v="89"/>
    <n v="3.9990000000000001"/>
    <n v="1.734"/>
    <n v="1.601"/>
    <n v="5"/>
    <x v="1"/>
    <n v="40"/>
  </r>
  <r>
    <x v="2"/>
    <x v="542"/>
    <x v="1054"/>
    <n v="910000"/>
    <x v="234"/>
    <x v="13"/>
    <x v="91"/>
    <x v="0"/>
    <x v="0"/>
    <x v="7"/>
    <s v="First            "/>
    <s v="1462 cc "/>
    <s v="103 bhp @ 6000 rpm  "/>
    <n v="103"/>
    <n v="4.49"/>
    <n v="1.73"/>
    <n v="1.4850000000000001"/>
    <n v="5"/>
    <x v="1"/>
    <n v="43"/>
  </r>
  <r>
    <x v="2"/>
    <x v="543"/>
    <x v="1055"/>
    <n v="910000"/>
    <x v="234"/>
    <x v="13"/>
    <x v="93"/>
    <x v="2"/>
    <x v="0"/>
    <x v="0"/>
    <s v="First            "/>
    <s v="1498 cc "/>
    <s v="94 bhp @ 4000 rpm   "/>
    <n v="94"/>
    <n v="4.49"/>
    <n v="1.73"/>
    <n v="1.4850000000000001"/>
    <n v="5"/>
    <x v="1"/>
    <n v="43"/>
  </r>
  <r>
    <x v="2"/>
    <x v="511"/>
    <x v="1056"/>
    <n v="925000"/>
    <x v="235"/>
    <x v="15"/>
    <x v="22"/>
    <x v="0"/>
    <x v="0"/>
    <x v="0"/>
    <s v="First            "/>
    <s v="1462 cc "/>
    <s v="103 bhp @ 6000 rpm  "/>
    <n v="103"/>
    <n v="3.9950000000000001"/>
    <n v="1.79"/>
    <n v="1.64"/>
    <n v="5"/>
    <x v="1"/>
    <n v="48"/>
  </r>
  <r>
    <x v="0"/>
    <x v="544"/>
    <x v="1057"/>
    <n v="925000"/>
    <x v="235"/>
    <x v="9"/>
    <x v="191"/>
    <x v="2"/>
    <x v="0"/>
    <x v="4"/>
    <s v="First            "/>
    <s v="1497 cc "/>
    <s v="108 bhp @ 3750 rpm  "/>
    <n v="108"/>
    <n v="3.9940000000000002"/>
    <n v="1.8109999999999999"/>
    <n v="1.607"/>
    <n v="5"/>
    <x v="1"/>
    <n v="44"/>
  </r>
  <r>
    <x v="8"/>
    <x v="545"/>
    <x v="1058"/>
    <n v="925000"/>
    <x v="235"/>
    <x v="13"/>
    <x v="502"/>
    <x v="2"/>
    <x v="0"/>
    <x v="1"/>
    <s v="First            "/>
    <s v="1497 cc "/>
    <s v="115 bhp @ 3750 rpm  "/>
    <n v="115"/>
    <n v="3.9950000000000001"/>
    <n v="1.821"/>
    <n v="1.627"/>
    <n v="5"/>
    <x v="1"/>
    <n v="42"/>
  </r>
  <r>
    <x v="8"/>
    <x v="477"/>
    <x v="1059"/>
    <n v="925000"/>
    <x v="235"/>
    <x v="11"/>
    <x v="503"/>
    <x v="2"/>
    <x v="0"/>
    <x v="0"/>
    <s v="First            "/>
    <s v="2179 cc "/>
    <s v="120 bhp @ 4000 rpm  "/>
    <n v="120"/>
    <n v="4.4560000000000004"/>
    <n v="1.82"/>
    <n v="1.9950000000000001"/>
    <n v="8"/>
    <x v="1"/>
    <n v="60"/>
  </r>
  <r>
    <x v="1"/>
    <x v="521"/>
    <x v="1060"/>
    <n v="925000"/>
    <x v="235"/>
    <x v="9"/>
    <x v="504"/>
    <x v="0"/>
    <x v="0"/>
    <x v="2"/>
    <s v="First            "/>
    <s v="1591 cc "/>
    <s v="122 bhp @ 6400 rpm  "/>
    <n v="122"/>
    <n v="4.2699999999999996"/>
    <n v="1.78"/>
    <n v="1.63"/>
    <n v="5"/>
    <x v="1"/>
    <n v="60"/>
  </r>
  <r>
    <x v="1"/>
    <x v="533"/>
    <x v="1061"/>
    <n v="925000"/>
    <x v="235"/>
    <x v="11"/>
    <x v="31"/>
    <x v="2"/>
    <x v="1"/>
    <x v="8"/>
    <s v="First            "/>
    <s v="1582 cc "/>
    <s v="126 bhp @ 4000 rpm  "/>
    <n v="126"/>
    <n v="4.2699999999999996"/>
    <n v="1.78"/>
    <n v="1.63"/>
    <n v="5"/>
    <x v="1"/>
    <n v="60"/>
  </r>
  <r>
    <x v="1"/>
    <x v="383"/>
    <x v="1062"/>
    <n v="925000"/>
    <x v="235"/>
    <x v="12"/>
    <x v="505"/>
    <x v="2"/>
    <x v="0"/>
    <x v="0"/>
    <s v="First            "/>
    <s v="1582 cc "/>
    <s v="126 bhp @ 4000 rpm  "/>
    <n v="126"/>
    <n v="4.375"/>
    <n v="1.7"/>
    <n v="1.4750000000000001"/>
    <n v="5"/>
    <x v="1"/>
    <n v="43"/>
  </r>
  <r>
    <x v="3"/>
    <x v="328"/>
    <x v="1063"/>
    <n v="925000"/>
    <x v="235"/>
    <x v="12"/>
    <x v="506"/>
    <x v="2"/>
    <x v="0"/>
    <x v="0"/>
    <s v="First            "/>
    <s v="1498 cc "/>
    <s v="99 bhp @ 3750 rpm   "/>
    <n v="99"/>
    <n v="3.9980000000000002"/>
    <n v="1.7649999999999999"/>
    <n v="1.647"/>
    <n v="5"/>
    <x v="1"/>
    <n v="52"/>
  </r>
  <r>
    <x v="5"/>
    <x v="275"/>
    <x v="1064"/>
    <n v="935000"/>
    <x v="236"/>
    <x v="13"/>
    <x v="40"/>
    <x v="2"/>
    <x v="0"/>
    <x v="0"/>
    <s v="First            "/>
    <s v="1498 cc "/>
    <s v="99 bhp @ 3600 rpm   "/>
    <n v="99"/>
    <n v="3.99"/>
    <n v="1.68"/>
    <n v="1.5049999999999999"/>
    <n v="5"/>
    <x v="1"/>
    <n v="35"/>
  </r>
  <r>
    <x v="13"/>
    <x v="546"/>
    <x v="1065"/>
    <n v="940000"/>
    <x v="237"/>
    <x v="15"/>
    <x v="56"/>
    <x v="0"/>
    <x v="0"/>
    <x v="6"/>
    <s v="First            "/>
    <s v="1598 cc "/>
    <s v="103 bhp @ 5250 rpm  "/>
    <n v="103"/>
    <n v="4.3899999999999997"/>
    <n v="1.6990000000000001"/>
    <n v="1.4670000000000001"/>
    <n v="5"/>
    <x v="1"/>
    <n v="55"/>
  </r>
  <r>
    <x v="8"/>
    <x v="482"/>
    <x v="1066"/>
    <n v="944999"/>
    <x v="238"/>
    <x v="13"/>
    <x v="10"/>
    <x v="2"/>
    <x v="0"/>
    <x v="0"/>
    <s v="First            "/>
    <s v="1493 cc "/>
    <s v="100 bhp @ 3750 rpm  "/>
    <n v="100"/>
    <n v="3.9950000000000001"/>
    <n v="1.7949999999999999"/>
    <n v="1.8169999999999999"/>
    <n v="7"/>
    <x v="1"/>
    <n v="60"/>
  </r>
  <r>
    <x v="4"/>
    <x v="547"/>
    <x v="1067"/>
    <n v="944999"/>
    <x v="238"/>
    <x v="11"/>
    <x v="507"/>
    <x v="2"/>
    <x v="0"/>
    <x v="0"/>
    <s v="First            "/>
    <s v="2494 cc "/>
    <s v="101 bhp @ 3600 rpm  "/>
    <n v="101"/>
    <n v="4.585"/>
    <n v="1.7649999999999999"/>
    <n v="1.76"/>
    <n v="8"/>
    <x v="1"/>
    <n v="55"/>
  </r>
  <r>
    <x v="13"/>
    <x v="279"/>
    <x v="1068"/>
    <n v="944999"/>
    <x v="238"/>
    <x v="9"/>
    <x v="508"/>
    <x v="0"/>
    <x v="1"/>
    <x v="2"/>
    <s v="First            "/>
    <s v="1197 cc "/>
    <s v="103 bhp @ 5000 rpm  "/>
    <n v="103"/>
    <n v="3.9710000000000001"/>
    <n v="1.6819999999999999"/>
    <n v="1.4690000000000001"/>
    <n v="5"/>
    <x v="1"/>
    <n v="45"/>
  </r>
  <r>
    <x v="5"/>
    <x v="246"/>
    <x v="1069"/>
    <n v="949000"/>
    <x v="239"/>
    <x v="12"/>
    <x v="509"/>
    <x v="0"/>
    <x v="0"/>
    <x v="2"/>
    <s v="First            "/>
    <s v="1497 cc "/>
    <s v="117 bhp @ 6600 rpm  "/>
    <n v="117"/>
    <n v="4.4400000000000004"/>
    <n v="1.6950000000000001"/>
    <n v="1.4950000000000001"/>
    <n v="5"/>
    <x v="1"/>
    <n v="40"/>
  </r>
  <r>
    <x v="2"/>
    <x v="450"/>
    <x v="1070"/>
    <n v="949000"/>
    <x v="239"/>
    <x v="12"/>
    <x v="510"/>
    <x v="2"/>
    <x v="0"/>
    <x v="7"/>
    <s v="First            "/>
    <s v="1248 cc "/>
    <s v="89 bhp @ 4000 rpm   "/>
    <n v="89"/>
    <n v="3.9950000000000001"/>
    <n v="1.79"/>
    <n v="1.64"/>
    <n v="5"/>
    <x v="1"/>
    <n v="48"/>
  </r>
  <r>
    <x v="9"/>
    <x v="135"/>
    <x v="1071"/>
    <n v="950000"/>
    <x v="240"/>
    <x v="13"/>
    <x v="511"/>
    <x v="2"/>
    <x v="0"/>
    <x v="1"/>
    <s v="First            "/>
    <s v="1598 cc "/>
    <s v="105 bhp @ 4400 rpm  "/>
    <n v="105"/>
    <n v="4.3860000000000001"/>
    <n v="1.6990000000000001"/>
    <n v="1.466"/>
    <n v="5"/>
    <x v="1"/>
    <n v="55"/>
  </r>
  <r>
    <x v="13"/>
    <x v="548"/>
    <x v="1072"/>
    <n v="950000"/>
    <x v="240"/>
    <x v="15"/>
    <x v="35"/>
    <x v="0"/>
    <x v="0"/>
    <x v="0"/>
    <s v="First            "/>
    <s v="999 cc  "/>
    <s v="109 bhp @ 5000 rpm  "/>
    <n v="109"/>
    <n v="3.9710000000000001"/>
    <n v="1.6819999999999999"/>
    <n v="1.4690000000000001"/>
    <n v="5"/>
    <x v="1"/>
    <n v="45"/>
  </r>
  <r>
    <x v="8"/>
    <x v="545"/>
    <x v="1073"/>
    <n v="950000"/>
    <x v="240"/>
    <x v="14"/>
    <x v="512"/>
    <x v="2"/>
    <x v="0"/>
    <x v="0"/>
    <s v="First            "/>
    <s v="1497 cc "/>
    <s v="115 bhp @ 3750 rpm  "/>
    <n v="115"/>
    <n v="3.9950000000000001"/>
    <n v="1.821"/>
    <n v="1.627"/>
    <n v="5"/>
    <x v="1"/>
    <n v="42"/>
  </r>
  <r>
    <x v="5"/>
    <x v="549"/>
    <x v="1074"/>
    <n v="950000"/>
    <x v="240"/>
    <x v="13"/>
    <x v="197"/>
    <x v="0"/>
    <x v="0"/>
    <x v="0"/>
    <s v="First            "/>
    <s v="1497 cc "/>
    <s v="118 bhp @ 6600 rpm  "/>
    <n v="118"/>
    <n v="4.4400000000000004"/>
    <n v="1.6950000000000001"/>
    <n v="1.4950000000000001"/>
    <n v="5"/>
    <x v="1"/>
    <n v="40"/>
  </r>
  <r>
    <x v="8"/>
    <x v="550"/>
    <x v="1075"/>
    <n v="950000"/>
    <x v="240"/>
    <x v="9"/>
    <x v="17"/>
    <x v="2"/>
    <x v="0"/>
    <x v="0"/>
    <s v="Second           "/>
    <s v="1997 cc "/>
    <s v="120 bhp @ 4000 rpm  "/>
    <n v="120"/>
    <n v="4.4560000000000004"/>
    <n v="1.82"/>
    <n v="1.9950000000000001"/>
    <n v="8"/>
    <x v="1"/>
    <n v="60"/>
  </r>
  <r>
    <x v="1"/>
    <x v="533"/>
    <x v="1076"/>
    <n v="950000"/>
    <x v="240"/>
    <x v="11"/>
    <x v="62"/>
    <x v="2"/>
    <x v="1"/>
    <x v="1"/>
    <s v="First            "/>
    <s v="1582 cc "/>
    <s v="126 bhp @ 4000 rpm  "/>
    <n v="126"/>
    <n v="4.2699999999999996"/>
    <n v="1.78"/>
    <n v="1.63"/>
    <n v="5"/>
    <x v="1"/>
    <n v="60"/>
  </r>
  <r>
    <x v="8"/>
    <x v="551"/>
    <x v="1077"/>
    <n v="950000"/>
    <x v="240"/>
    <x v="11"/>
    <x v="90"/>
    <x v="2"/>
    <x v="0"/>
    <x v="0"/>
    <s v="First            "/>
    <s v="2179 cc "/>
    <s v="138 bhp @ 3750 rpm  "/>
    <n v="138"/>
    <n v="4.585"/>
    <n v="1.89"/>
    <n v="1.7849999999999999"/>
    <n v="7"/>
    <x v="1"/>
    <n v="70"/>
  </r>
  <r>
    <x v="14"/>
    <x v="552"/>
    <x v="1078"/>
    <n v="950000"/>
    <x v="240"/>
    <x v="4"/>
    <x v="6"/>
    <x v="0"/>
    <x v="1"/>
    <x v="8"/>
    <s v="Second           "/>
    <s v="1991 cc "/>
    <s v="184 bhp @ 5500 rpm  "/>
    <n v="184"/>
    <n v="4.8789999999999996"/>
    <n v="1.8540000000000001"/>
    <n v="1.474"/>
    <n v="5"/>
    <x v="1"/>
    <n v="80"/>
  </r>
  <r>
    <x v="8"/>
    <x v="398"/>
    <x v="1079"/>
    <n v="950000"/>
    <x v="240"/>
    <x v="12"/>
    <x v="37"/>
    <x v="2"/>
    <x v="0"/>
    <x v="7"/>
    <s v="First            "/>
    <s v="2523 cc "/>
    <s v="75 bhp @ 3200 rpm   "/>
    <n v="75"/>
    <n v="4.4560000000000004"/>
    <n v="1.82"/>
    <n v="1.93"/>
    <n v="8"/>
    <x v="1"/>
    <n v="60"/>
  </r>
  <r>
    <x v="5"/>
    <x v="553"/>
    <x v="1080"/>
    <n v="950000"/>
    <x v="240"/>
    <x v="14"/>
    <x v="170"/>
    <x v="2"/>
    <x v="1"/>
    <x v="0"/>
    <s v="First            "/>
    <s v="1498 cc "/>
    <s v="79 bhp @ 3600 rpm   "/>
    <n v="79"/>
    <n v="3.9950000000000001"/>
    <n v="1.6950000000000001"/>
    <n v="1.5009999999999999"/>
    <n v="5"/>
    <x v="1"/>
    <n v="35"/>
  </r>
  <r>
    <x v="2"/>
    <x v="554"/>
    <x v="1081"/>
    <n v="950000"/>
    <x v="240"/>
    <x v="16"/>
    <x v="349"/>
    <x v="0"/>
    <x v="1"/>
    <x v="12"/>
    <s v="First            "/>
    <s v="1197 cc "/>
    <s v="89 bhp @ 6000 rpm   "/>
    <n v="89"/>
    <n v="3.9950000000000001"/>
    <n v="1.7350000000000001"/>
    <n v="1.5149999999999999"/>
    <n v="5"/>
    <x v="1"/>
    <n v="37"/>
  </r>
  <r>
    <x v="1"/>
    <x v="506"/>
    <x v="1082"/>
    <n v="950000"/>
    <x v="240"/>
    <x v="12"/>
    <x v="30"/>
    <x v="2"/>
    <x v="0"/>
    <x v="0"/>
    <s v="First            "/>
    <s v="1396 cc "/>
    <s v="89 bhp @ 4000 rpm   "/>
    <n v="89"/>
    <n v="4.2699999999999996"/>
    <n v="1.78"/>
    <n v="1.63"/>
    <n v="5"/>
    <x v="1"/>
    <n v="60"/>
  </r>
  <r>
    <x v="2"/>
    <x v="555"/>
    <x v="1083"/>
    <n v="950000"/>
    <x v="240"/>
    <x v="14"/>
    <x v="513"/>
    <x v="2"/>
    <x v="0"/>
    <x v="0"/>
    <s v="First            "/>
    <s v="1248 cc "/>
    <s v="89 bhp @ 4000 rpm   "/>
    <n v="89"/>
    <n v="4.3"/>
    <n v="1.7849999999999999"/>
    <n v="1.595"/>
    <n v="5"/>
    <x v="1"/>
    <n v="48"/>
  </r>
  <r>
    <x v="2"/>
    <x v="449"/>
    <x v="1084"/>
    <n v="950000"/>
    <x v="240"/>
    <x v="12"/>
    <x v="154"/>
    <x v="2"/>
    <x v="0"/>
    <x v="0"/>
    <s v="Second           "/>
    <s v="1248 cc "/>
    <s v="89 bhp @ 4000 rpm   "/>
    <n v="89"/>
    <n v="3.9950000000000001"/>
    <n v="1.79"/>
    <n v="1.64"/>
    <n v="5"/>
    <x v="1"/>
    <n v="48"/>
  </r>
  <r>
    <x v="8"/>
    <x v="398"/>
    <x v="1085"/>
    <n v="951000"/>
    <x v="241"/>
    <x v="11"/>
    <x v="61"/>
    <x v="2"/>
    <x v="0"/>
    <x v="0"/>
    <s v="First            "/>
    <s v="2523 cc "/>
    <s v="75 bhp @ 3200 rpm   "/>
    <n v="75"/>
    <n v="4.4560000000000004"/>
    <n v="1.82"/>
    <n v="1.93"/>
    <n v="8"/>
    <x v="1"/>
    <n v="60"/>
  </r>
  <r>
    <x v="8"/>
    <x v="556"/>
    <x v="1086"/>
    <n v="955000"/>
    <x v="242"/>
    <x v="11"/>
    <x v="68"/>
    <x v="2"/>
    <x v="1"/>
    <x v="8"/>
    <s v="First            "/>
    <s v="1997 cc "/>
    <s v="138 bhp @ 3750 rpm  "/>
    <n v="138"/>
    <n v="4.585"/>
    <n v="1.89"/>
    <n v="1.7849999999999999"/>
    <n v="7"/>
    <x v="1"/>
    <n v="70"/>
  </r>
  <r>
    <x v="4"/>
    <x v="393"/>
    <x v="1087"/>
    <n v="960000"/>
    <x v="243"/>
    <x v="1"/>
    <x v="514"/>
    <x v="2"/>
    <x v="0"/>
    <x v="1"/>
    <s v="First            "/>
    <s v="2494 cc "/>
    <s v="102 bhp @5600            "/>
    <n v="102"/>
    <n v="4.5549999999999997"/>
    <n v="1.77"/>
    <n v="1.7549999999999999"/>
    <n v="7"/>
    <x v="1"/>
    <n v="55"/>
  </r>
  <r>
    <x v="1"/>
    <x v="557"/>
    <x v="1088"/>
    <n v="960000"/>
    <x v="243"/>
    <x v="11"/>
    <x v="515"/>
    <x v="0"/>
    <x v="1"/>
    <x v="4"/>
    <s v="First            "/>
    <s v="1591 cc "/>
    <s v="122 bhp @ 6400 rpm  "/>
    <n v="122"/>
    <n v="4.2699999999999996"/>
    <n v="1.78"/>
    <n v="1.63"/>
    <n v="5"/>
    <x v="1"/>
    <n v="60"/>
  </r>
  <r>
    <x v="11"/>
    <x v="558"/>
    <x v="1089"/>
    <n v="960000"/>
    <x v="243"/>
    <x v="12"/>
    <x v="35"/>
    <x v="2"/>
    <x v="0"/>
    <x v="10"/>
    <s v="First            "/>
    <s v="1461 cc "/>
    <s v="84 bhp @ 3750 rpm   "/>
    <n v="84"/>
    <n v="4.3150000000000004"/>
    <n v="1.8220000000000001"/>
    <n v="1.6950000000000001"/>
    <n v="5"/>
    <x v="1"/>
    <n v="50"/>
  </r>
  <r>
    <x v="8"/>
    <x v="545"/>
    <x v="1090"/>
    <n v="965000"/>
    <x v="244"/>
    <x v="15"/>
    <x v="86"/>
    <x v="2"/>
    <x v="0"/>
    <x v="8"/>
    <s v="First            "/>
    <s v="1497 cc "/>
    <s v="115 bhp @ 3750 rpm  "/>
    <n v="115"/>
    <n v="3.9950000000000001"/>
    <n v="1.821"/>
    <n v="1.627"/>
    <n v="5"/>
    <x v="1"/>
    <n v="42"/>
  </r>
  <r>
    <x v="1"/>
    <x v="510"/>
    <x v="1091"/>
    <n v="965000"/>
    <x v="244"/>
    <x v="12"/>
    <x v="516"/>
    <x v="2"/>
    <x v="0"/>
    <x v="0"/>
    <s v="First            "/>
    <s v="1582 cc "/>
    <s v="126 bhp @ 4000 rpm  "/>
    <n v="126"/>
    <n v="4.375"/>
    <n v="1.7"/>
    <n v="1.4750000000000001"/>
    <n v="5"/>
    <x v="1"/>
    <n v="43"/>
  </r>
  <r>
    <x v="1"/>
    <x v="559"/>
    <x v="1092"/>
    <n v="969999"/>
    <x v="245"/>
    <x v="12"/>
    <x v="73"/>
    <x v="2"/>
    <x v="0"/>
    <x v="8"/>
    <s v="First            "/>
    <s v="1582 cc "/>
    <s v="126 bhp @ 4000 rpm  "/>
    <n v="126"/>
    <n v="4.2699999999999996"/>
    <n v="1.78"/>
    <n v="1.665"/>
    <n v="5"/>
    <x v="1"/>
    <n v="55"/>
  </r>
  <r>
    <x v="2"/>
    <x v="364"/>
    <x v="1093"/>
    <n v="969999"/>
    <x v="245"/>
    <x v="11"/>
    <x v="170"/>
    <x v="2"/>
    <x v="0"/>
    <x v="7"/>
    <s v="First            "/>
    <s v="1248 cc "/>
    <s v="89 bhp @ 4000 rpm   "/>
    <n v="89"/>
    <n v="4.2960000000000003"/>
    <n v="1.6950000000000001"/>
    <n v="1.6850000000000001"/>
    <n v="7"/>
    <x v="1"/>
    <n v="45"/>
  </r>
  <r>
    <x v="2"/>
    <x v="560"/>
    <x v="1094"/>
    <n v="975000"/>
    <x v="246"/>
    <x v="13"/>
    <x v="517"/>
    <x v="0"/>
    <x v="0"/>
    <x v="7"/>
    <s v="First            "/>
    <s v="1462 cc "/>
    <s v="103 bhp @ 6000 rpm  "/>
    <n v="103"/>
    <n v="4.4450000000000003"/>
    <n v="1.7749999999999999"/>
    <n v="1.7"/>
    <n v="6"/>
    <x v="1"/>
    <n v="45"/>
  </r>
  <r>
    <x v="5"/>
    <x v="349"/>
    <x v="1095"/>
    <n v="975000"/>
    <x v="246"/>
    <x v="13"/>
    <x v="518"/>
    <x v="0"/>
    <x v="0"/>
    <x v="1"/>
    <s v="First            "/>
    <s v="1497 cc "/>
    <s v="117 bhp @ 6600 rpm  "/>
    <n v="117"/>
    <n v="4.4400000000000004"/>
    <n v="1.6950000000000001"/>
    <n v="1.4950000000000001"/>
    <n v="5"/>
    <x v="1"/>
    <n v="40"/>
  </r>
  <r>
    <x v="1"/>
    <x v="561"/>
    <x v="1096"/>
    <n v="975000"/>
    <x v="246"/>
    <x v="12"/>
    <x v="244"/>
    <x v="0"/>
    <x v="1"/>
    <x v="2"/>
    <s v="First            "/>
    <s v="1591 cc "/>
    <s v="121 bhp @ 6400 rpm  "/>
    <n v="121"/>
    <n v="4.4400000000000004"/>
    <n v="1.7290000000000001"/>
    <n v="1.4750000000000001"/>
    <n v="5"/>
    <x v="1"/>
    <n v="45"/>
  </r>
  <r>
    <x v="8"/>
    <x v="499"/>
    <x v="1097"/>
    <n v="975000"/>
    <x v="246"/>
    <x v="9"/>
    <x v="101"/>
    <x v="2"/>
    <x v="0"/>
    <x v="1"/>
    <s v="First            "/>
    <s v="2179 cc "/>
    <s v="140 bhp @ 3750 rpm  "/>
    <n v="140"/>
    <n v="4.585"/>
    <n v="1.89"/>
    <n v="1.7849999999999999"/>
    <n v="7"/>
    <x v="1"/>
    <n v="70"/>
  </r>
  <r>
    <x v="14"/>
    <x v="562"/>
    <x v="1098"/>
    <n v="975000"/>
    <x v="246"/>
    <x v="8"/>
    <x v="32"/>
    <x v="2"/>
    <x v="1"/>
    <x v="0"/>
    <s v="First            "/>
    <s v="2143 cc "/>
    <s v="170 bhp @ 4200 rpm  "/>
    <n v="170"/>
    <n v="4.5960000000000001"/>
    <n v="1.77"/>
    <n v="1.4470000000000001"/>
    <n v="5"/>
    <x v="1"/>
    <n v="66"/>
  </r>
  <r>
    <x v="18"/>
    <x v="563"/>
    <x v="1099"/>
    <n v="975000"/>
    <x v="246"/>
    <x v="4"/>
    <x v="33"/>
    <x v="2"/>
    <x v="1"/>
    <x v="1"/>
    <s v="First            "/>
    <s v="1968 cc "/>
    <s v="177 bhp @ 4200 rpm  "/>
    <n v="177"/>
    <n v="4.7009999999999996"/>
    <n v="1.8260000000000001"/>
    <n v="1.427"/>
    <n v="5"/>
    <x v="1"/>
    <n v="63"/>
  </r>
  <r>
    <x v="16"/>
    <x v="411"/>
    <x v="1100"/>
    <n v="975000"/>
    <x v="246"/>
    <x v="8"/>
    <x v="8"/>
    <x v="2"/>
    <x v="1"/>
    <x v="1"/>
    <s v="First            "/>
    <s v="2696 cc "/>
    <s v="184 bhp @ 4000 rpm  "/>
    <n v="184"/>
    <n v="4.7549999999999999"/>
    <n v="1.9"/>
    <n v="1.7849999999999999"/>
    <n v="7"/>
    <x v="1"/>
    <n v="78"/>
  </r>
  <r>
    <x v="2"/>
    <x v="385"/>
    <x v="1101"/>
    <n v="975000"/>
    <x v="246"/>
    <x v="13"/>
    <x v="133"/>
    <x v="2"/>
    <x v="0"/>
    <x v="0"/>
    <s v="First            "/>
    <s v="1248 cc "/>
    <s v="89 bhp @ 4000 rpm   "/>
    <n v="89"/>
    <n v="3.9950000000000001"/>
    <n v="1.79"/>
    <n v="1.64"/>
    <n v="5"/>
    <x v="1"/>
    <n v="48"/>
  </r>
  <r>
    <x v="14"/>
    <x v="564"/>
    <x v="1102"/>
    <n v="980000"/>
    <x v="247"/>
    <x v="4"/>
    <x v="101"/>
    <x v="0"/>
    <x v="1"/>
    <x v="0"/>
    <s v="Second           "/>
    <s v="2497 cc "/>
    <s v="204 bhp @6100            "/>
    <n v="204"/>
    <n v="4.8680000000000003"/>
    <n v="1.8540000000000001"/>
    <n v="1.4710000000000001"/>
    <n v="5"/>
    <x v="1"/>
    <n v="80"/>
  </r>
  <r>
    <x v="8"/>
    <x v="565"/>
    <x v="1103"/>
    <n v="985000"/>
    <x v="248"/>
    <x v="9"/>
    <x v="73"/>
    <x v="2"/>
    <x v="0"/>
    <x v="0"/>
    <s v="First            "/>
    <s v="2179 cc "/>
    <s v="120 bhp @ 4000 rpm  "/>
    <n v="120"/>
    <n v="4.4560000000000004"/>
    <n v="1.82"/>
    <n v="1.9950000000000001"/>
    <n v="8"/>
    <x v="1"/>
    <n v="60"/>
  </r>
  <r>
    <x v="4"/>
    <x v="522"/>
    <x v="1104"/>
    <n v="990000"/>
    <x v="249"/>
    <x v="10"/>
    <x v="77"/>
    <x v="2"/>
    <x v="0"/>
    <x v="5"/>
    <s v="First            "/>
    <s v="2494 cc "/>
    <s v="101 bhp @ 3600 rpm  "/>
    <n v="101"/>
    <n v="4.585"/>
    <n v="1.7649999999999999"/>
    <n v="1.76"/>
    <n v="7"/>
    <x v="1"/>
    <n v="55"/>
  </r>
  <r>
    <x v="2"/>
    <x v="566"/>
    <x v="1105"/>
    <n v="990000"/>
    <x v="249"/>
    <x v="13"/>
    <x v="519"/>
    <x v="0"/>
    <x v="1"/>
    <x v="0"/>
    <s v="First            "/>
    <s v="1462 cc "/>
    <s v="103 bhp @ 6000 rpm  "/>
    <n v="103"/>
    <n v="4.3949999999999996"/>
    <n v="1.7350000000000001"/>
    <n v="1.69"/>
    <n v="7"/>
    <x v="1"/>
    <n v="45"/>
  </r>
  <r>
    <x v="1"/>
    <x v="540"/>
    <x v="1106"/>
    <n v="990000"/>
    <x v="249"/>
    <x v="14"/>
    <x v="520"/>
    <x v="0"/>
    <x v="0"/>
    <x v="7"/>
    <s v="First            "/>
    <s v="998 cc  "/>
    <s v="118 bhp @ 6000 rpm  "/>
    <n v="118"/>
    <n v="3.9950000000000001"/>
    <n v="1.77"/>
    <n v="1.605"/>
    <n v="5"/>
    <x v="1"/>
    <n v="45"/>
  </r>
  <r>
    <x v="1"/>
    <x v="506"/>
    <x v="1107"/>
    <n v="990000"/>
    <x v="249"/>
    <x v="13"/>
    <x v="20"/>
    <x v="2"/>
    <x v="0"/>
    <x v="9"/>
    <s v="First            "/>
    <s v="1396 cc "/>
    <s v="89 bhp @ 4000 rpm   "/>
    <n v="89"/>
    <n v="4.2699999999999996"/>
    <n v="1.78"/>
    <n v="1.63"/>
    <n v="5"/>
    <x v="1"/>
    <n v="60"/>
  </r>
  <r>
    <x v="2"/>
    <x v="450"/>
    <x v="1108"/>
    <n v="990000"/>
    <x v="249"/>
    <x v="13"/>
    <x v="521"/>
    <x v="2"/>
    <x v="0"/>
    <x v="0"/>
    <s v="First            "/>
    <s v="1248 cc "/>
    <s v="89 bhp @ 4000 rpm   "/>
    <n v="89"/>
    <n v="3.9950000000000001"/>
    <n v="1.79"/>
    <n v="1.64"/>
    <n v="5"/>
    <x v="1"/>
    <n v="48"/>
  </r>
  <r>
    <x v="2"/>
    <x v="560"/>
    <x v="1109"/>
    <n v="994999"/>
    <x v="250"/>
    <x v="13"/>
    <x v="522"/>
    <x v="0"/>
    <x v="0"/>
    <x v="10"/>
    <s v="First            "/>
    <s v="1462 cc "/>
    <s v="103 bhp @ 6000 rpm  "/>
    <n v="103"/>
    <n v="4.4450000000000003"/>
    <n v="1.7749999999999999"/>
    <n v="1.7"/>
    <n v="6"/>
    <x v="1"/>
    <n v="45"/>
  </r>
  <r>
    <x v="8"/>
    <x v="567"/>
    <x v="1110"/>
    <n v="994999"/>
    <x v="250"/>
    <x v="11"/>
    <x v="354"/>
    <x v="2"/>
    <x v="1"/>
    <x v="2"/>
    <s v="Second           "/>
    <s v="2179 cc "/>
    <s v="138 bhp @ 3750 rpm  "/>
    <n v="138"/>
    <n v="4.585"/>
    <n v="1.89"/>
    <n v="1.7849999999999999"/>
    <n v="7"/>
    <x v="1"/>
    <n v="70"/>
  </r>
  <r>
    <x v="19"/>
    <x v="568"/>
    <x v="1111"/>
    <n v="994999"/>
    <x v="250"/>
    <x v="1"/>
    <x v="523"/>
    <x v="2"/>
    <x v="1"/>
    <x v="0"/>
    <s v="First            "/>
    <s v="1984 cc "/>
    <s v="165 bhp @ 3500 rpm  "/>
    <n v="165"/>
    <n v="4.6349999999999998"/>
    <n v="1.865"/>
    <n v="1.484"/>
    <n v="5"/>
    <x v="1"/>
    <n v="67.5"/>
  </r>
  <r>
    <x v="1"/>
    <x v="569"/>
    <x v="1112"/>
    <n v="999000"/>
    <x v="251"/>
    <x v="13"/>
    <x v="524"/>
    <x v="0"/>
    <x v="0"/>
    <x v="7"/>
    <s v="First            "/>
    <s v="998 cc  "/>
    <s v="118 bhp @ 6000 rpm  "/>
    <n v="118"/>
    <n v="3.9950000000000001"/>
    <n v="1.77"/>
    <n v="1.605"/>
    <n v="5"/>
    <x v="1"/>
    <n v="45"/>
  </r>
  <r>
    <x v="4"/>
    <x v="570"/>
    <x v="1113"/>
    <n v="1000000"/>
    <x v="252"/>
    <x v="6"/>
    <x v="525"/>
    <x v="2"/>
    <x v="0"/>
    <x v="1"/>
    <s v="Second           "/>
    <s v="2494 cc "/>
    <s v="100 bhp @ 3600 rpm  "/>
    <n v="100"/>
    <n v="4.585"/>
    <n v="1.76"/>
    <n v="1.76"/>
    <n v="7"/>
    <x v="1"/>
    <n v="55"/>
  </r>
  <r>
    <x v="1"/>
    <x v="557"/>
    <x v="1114"/>
    <n v="1000000"/>
    <x v="252"/>
    <x v="12"/>
    <x v="61"/>
    <x v="0"/>
    <x v="1"/>
    <x v="0"/>
    <s v="First            "/>
    <s v="1591 cc "/>
    <s v="122 bhp @ 6400 rpm  "/>
    <n v="122"/>
    <n v="4.2699999999999996"/>
    <n v="1.78"/>
    <n v="1.63"/>
    <n v="5"/>
    <x v="1"/>
    <n v="60"/>
  </r>
  <r>
    <x v="8"/>
    <x v="571"/>
    <x v="1115"/>
    <n v="1000000"/>
    <x v="252"/>
    <x v="11"/>
    <x v="109"/>
    <x v="2"/>
    <x v="0"/>
    <x v="0"/>
    <s v="First            "/>
    <s v="2179 cc "/>
    <s v="138 bhp @ 3750 rpm  "/>
    <n v="138"/>
    <n v="4.585"/>
    <n v="1.89"/>
    <n v="1.7849999999999999"/>
    <n v="7"/>
    <x v="1"/>
    <n v="70"/>
  </r>
  <r>
    <x v="0"/>
    <x v="572"/>
    <x v="1116"/>
    <n v="1000000"/>
    <x v="252"/>
    <x v="12"/>
    <x v="194"/>
    <x v="2"/>
    <x v="0"/>
    <x v="0"/>
    <s v="First            "/>
    <s v="2179 cc "/>
    <s v="148 bhp @ 4000 rpm  "/>
    <n v="148"/>
    <n v="4.7880000000000003"/>
    <n v="1.903"/>
    <n v="1.7909999999999999"/>
    <n v="7"/>
    <x v="1"/>
    <n v="60"/>
  </r>
  <r>
    <x v="18"/>
    <x v="573"/>
    <x v="1117"/>
    <n v="1000000"/>
    <x v="252"/>
    <x v="0"/>
    <x v="44"/>
    <x v="0"/>
    <x v="1"/>
    <x v="1"/>
    <s v="Second           "/>
    <s v="1798 cc "/>
    <s v="170 bhp @ 3800 rpm  "/>
    <n v="170"/>
    <n v="4.7009999999999996"/>
    <n v="1.8260000000000001"/>
    <n v="1.427"/>
    <n v="5"/>
    <x v="1"/>
    <n v="63"/>
  </r>
  <r>
    <x v="4"/>
    <x v="465"/>
    <x v="1118"/>
    <n v="1000000"/>
    <x v="252"/>
    <x v="0"/>
    <x v="526"/>
    <x v="2"/>
    <x v="0"/>
    <x v="0"/>
    <s v="Third            "/>
    <s v="2982 cc "/>
    <s v="171 bhp @3600            "/>
    <n v="171"/>
    <n v="4.6950000000000003"/>
    <n v="1.84"/>
    <n v="1.85"/>
    <n v="7"/>
    <x v="1"/>
    <n v="80"/>
  </r>
  <r>
    <x v="11"/>
    <x v="574"/>
    <x v="1119"/>
    <n v="1000000"/>
    <x v="252"/>
    <x v="16"/>
    <x v="458"/>
    <x v="0"/>
    <x v="1"/>
    <x v="0"/>
    <s v="Second           "/>
    <s v="999 cc  "/>
    <s v="71 bhp @ 6250 rpm   "/>
    <n v="71"/>
    <n v="3.9910000000000001"/>
    <n v="1.75"/>
    <n v="1.605"/>
    <n v="5"/>
    <x v="1"/>
    <n v="40"/>
  </r>
  <r>
    <x v="2"/>
    <x v="575"/>
    <x v="1120"/>
    <n v="1011000"/>
    <x v="253"/>
    <x v="13"/>
    <x v="527"/>
    <x v="2"/>
    <x v="1"/>
    <x v="1"/>
    <s v="First            "/>
    <s v="1248 cc "/>
    <s v="89 bhp @ 4000 rpm   "/>
    <n v="89"/>
    <n v="3.9950000000000001"/>
    <n v="1.79"/>
    <n v="1.64"/>
    <n v="5"/>
    <x v="1"/>
    <n v="48"/>
  </r>
  <r>
    <x v="1"/>
    <x v="533"/>
    <x v="1121"/>
    <n v="1015000"/>
    <x v="254"/>
    <x v="10"/>
    <x v="528"/>
    <x v="2"/>
    <x v="1"/>
    <x v="0"/>
    <s v="First            "/>
    <s v="1582 cc "/>
    <s v="126 bhp @ 4000 rpm  "/>
    <n v="126"/>
    <n v="4.2699999999999996"/>
    <n v="1.78"/>
    <n v="1.63"/>
    <n v="5"/>
    <x v="1"/>
    <n v="60"/>
  </r>
  <r>
    <x v="13"/>
    <x v="548"/>
    <x v="1122"/>
    <n v="1025000"/>
    <x v="255"/>
    <x v="14"/>
    <x v="529"/>
    <x v="0"/>
    <x v="0"/>
    <x v="4"/>
    <s v="First            "/>
    <s v="999 cc  "/>
    <s v="109 bhp @ 5000 rpm  "/>
    <n v="109"/>
    <n v="3.9710000000000001"/>
    <n v="1.6819999999999999"/>
    <n v="1.4690000000000001"/>
    <n v="5"/>
    <x v="1"/>
    <n v="45"/>
  </r>
  <r>
    <x v="1"/>
    <x v="576"/>
    <x v="1123"/>
    <n v="1025000"/>
    <x v="255"/>
    <x v="13"/>
    <x v="61"/>
    <x v="2"/>
    <x v="0"/>
    <x v="1"/>
    <s v="First            "/>
    <s v="1396 cc "/>
    <s v="89 bhp @ 4000 rpm   "/>
    <n v="89"/>
    <n v="3.9950000000000001"/>
    <n v="1.77"/>
    <n v="1.605"/>
    <n v="5"/>
    <x v="1"/>
    <n v="45"/>
  </r>
  <r>
    <x v="2"/>
    <x v="449"/>
    <x v="1124"/>
    <n v="1025000"/>
    <x v="255"/>
    <x v="13"/>
    <x v="14"/>
    <x v="2"/>
    <x v="0"/>
    <x v="0"/>
    <s v="First            "/>
    <s v="1248 cc "/>
    <s v="89 bhp @ 4000 rpm   "/>
    <n v="89"/>
    <n v="3.9950000000000001"/>
    <n v="1.79"/>
    <n v="1.64"/>
    <n v="5"/>
    <x v="1"/>
    <n v="48"/>
  </r>
  <r>
    <x v="2"/>
    <x v="386"/>
    <x v="1125"/>
    <n v="1025000"/>
    <x v="255"/>
    <x v="13"/>
    <x v="61"/>
    <x v="3"/>
    <x v="0"/>
    <x v="10"/>
    <s v="First            "/>
    <s v="1373 cc "/>
    <s v="94 bhp @ 6000 rpm   "/>
    <n v="94"/>
    <n v="4.2960000000000003"/>
    <n v="1.6950000000000001"/>
    <n v="1.6850000000000001"/>
    <n v="7"/>
    <x v="1"/>
    <n v="45"/>
  </r>
  <r>
    <x v="8"/>
    <x v="280"/>
    <x v="1126"/>
    <n v="1035000"/>
    <x v="256"/>
    <x v="9"/>
    <x v="65"/>
    <x v="2"/>
    <x v="0"/>
    <x v="11"/>
    <s v="First            "/>
    <s v="2498 cc "/>
    <s v="105 bhp @3800            "/>
    <n v="105"/>
    <n v="3.92"/>
    <n v="1.71"/>
    <n v="1.93"/>
    <n v="7"/>
    <x v="1"/>
    <n v="60"/>
  </r>
  <r>
    <x v="1"/>
    <x v="514"/>
    <x v="1127"/>
    <n v="1035000"/>
    <x v="256"/>
    <x v="12"/>
    <x v="318"/>
    <x v="2"/>
    <x v="0"/>
    <x v="2"/>
    <s v="First            "/>
    <s v="1582 cc "/>
    <s v="126 bhp @ 4000 rpm  "/>
    <n v="126"/>
    <n v="4.2699999999999996"/>
    <n v="1.78"/>
    <n v="1.63"/>
    <n v="5"/>
    <x v="1"/>
    <n v="60"/>
  </r>
  <r>
    <x v="5"/>
    <x v="471"/>
    <x v="1128"/>
    <n v="1040000"/>
    <x v="257"/>
    <x v="13"/>
    <x v="185"/>
    <x v="0"/>
    <x v="1"/>
    <x v="10"/>
    <s v="First            "/>
    <s v="1497 cc "/>
    <s v="117 bhp @ 6600 rpm  "/>
    <n v="117"/>
    <n v="4.4400000000000004"/>
    <n v="1.6950000000000001"/>
    <n v="1.4950000000000001"/>
    <n v="5"/>
    <x v="1"/>
    <n v="40"/>
  </r>
  <r>
    <x v="2"/>
    <x v="577"/>
    <x v="1129"/>
    <n v="1044999"/>
    <x v="258"/>
    <x v="15"/>
    <x v="35"/>
    <x v="0"/>
    <x v="0"/>
    <x v="1"/>
    <s v="First            "/>
    <s v="1462 cc "/>
    <s v="103 bhp @ 6000 rpm  "/>
    <n v="103"/>
    <n v="3.9950000000000001"/>
    <n v="1.79"/>
    <n v="1.64"/>
    <n v="5"/>
    <x v="1"/>
    <n v="48"/>
  </r>
  <r>
    <x v="1"/>
    <x v="514"/>
    <x v="1130"/>
    <n v="1044999"/>
    <x v="258"/>
    <x v="11"/>
    <x v="101"/>
    <x v="2"/>
    <x v="0"/>
    <x v="8"/>
    <s v="First            "/>
    <s v="1582 cc "/>
    <s v="126 bhp @ 4000 rpm  "/>
    <n v="126"/>
    <n v="4.2699999999999996"/>
    <n v="1.78"/>
    <n v="1.63"/>
    <n v="5"/>
    <x v="1"/>
    <n v="60"/>
  </r>
  <r>
    <x v="4"/>
    <x v="578"/>
    <x v="1131"/>
    <n v="1050000"/>
    <x v="259"/>
    <x v="15"/>
    <x v="530"/>
    <x v="0"/>
    <x v="1"/>
    <x v="0"/>
    <s v="First            "/>
    <s v="1462 cc "/>
    <s v="103 bhp @ 6000 rpm  "/>
    <n v="103"/>
    <n v="3.9950000000000001"/>
    <n v="1.79"/>
    <n v="1.64"/>
    <n v="5"/>
    <x v="1"/>
    <n v="48"/>
  </r>
  <r>
    <x v="5"/>
    <x v="579"/>
    <x v="1132"/>
    <n v="1050000"/>
    <x v="259"/>
    <x v="9"/>
    <x v="531"/>
    <x v="0"/>
    <x v="1"/>
    <x v="1"/>
    <s v="Second           "/>
    <s v="1497 cc "/>
    <s v="117 bhp @ 6600 rpm  "/>
    <n v="117"/>
    <n v="4.4400000000000004"/>
    <n v="1.6950000000000001"/>
    <n v="1.4950000000000001"/>
    <n v="5"/>
    <x v="1"/>
    <n v="40"/>
  </r>
  <r>
    <x v="0"/>
    <x v="580"/>
    <x v="1133"/>
    <n v="1050000"/>
    <x v="259"/>
    <x v="16"/>
    <x v="532"/>
    <x v="0"/>
    <x v="0"/>
    <x v="8"/>
    <s v="First            "/>
    <s v="1199 cc "/>
    <s v="118 bhp @ 5500 rpm  "/>
    <n v="118"/>
    <n v="3.9929999999999999"/>
    <n v="1.8109999999999999"/>
    <n v="1.6060000000000001"/>
    <n v="5"/>
    <x v="1"/>
    <n v="44"/>
  </r>
  <r>
    <x v="1"/>
    <x v="581"/>
    <x v="1134"/>
    <n v="1050000"/>
    <x v="259"/>
    <x v="15"/>
    <x v="498"/>
    <x v="0"/>
    <x v="0"/>
    <x v="7"/>
    <s v="First            "/>
    <s v="998 cc  "/>
    <s v="118 bhp @ 6000 rpm  "/>
    <n v="118"/>
    <n v="3.9950000000000001"/>
    <n v="1.77"/>
    <n v="1.605"/>
    <n v="5"/>
    <x v="1"/>
    <n v="45"/>
  </r>
  <r>
    <x v="1"/>
    <x v="582"/>
    <x v="1135"/>
    <n v="1050000"/>
    <x v="259"/>
    <x v="14"/>
    <x v="533"/>
    <x v="0"/>
    <x v="1"/>
    <x v="0"/>
    <s v="First            "/>
    <s v="998 cc  "/>
    <s v="118 bhp @ 6000 rpm  "/>
    <n v="118"/>
    <n v="3.9950000000000001"/>
    <n v="1.7749999999999999"/>
    <n v="1.5049999999999999"/>
    <n v="5"/>
    <x v="1"/>
    <n v="37"/>
  </r>
  <r>
    <x v="8"/>
    <x v="583"/>
    <x v="1136"/>
    <n v="1050000"/>
    <x v="259"/>
    <x v="13"/>
    <x v="79"/>
    <x v="2"/>
    <x v="0"/>
    <x v="11"/>
    <s v="First            "/>
    <s v="1497 cc "/>
    <s v="121 bhp @ 3500 rpm  "/>
    <n v="121"/>
    <n v="4.585"/>
    <n v="1.8660000000000001"/>
    <n v="1.774"/>
    <n v="8"/>
    <x v="1"/>
    <n v="45"/>
  </r>
  <r>
    <x v="1"/>
    <x v="528"/>
    <x v="1137"/>
    <n v="1050000"/>
    <x v="259"/>
    <x v="12"/>
    <x v="534"/>
    <x v="0"/>
    <x v="0"/>
    <x v="0"/>
    <s v="First            "/>
    <s v="1591 cc "/>
    <s v="122 bhp @ 6400 rpm  "/>
    <n v="122"/>
    <n v="4.2699999999999996"/>
    <n v="1.78"/>
    <n v="1.665"/>
    <n v="5"/>
    <x v="1"/>
    <n v="55"/>
  </r>
  <r>
    <x v="1"/>
    <x v="584"/>
    <x v="1138"/>
    <n v="1050000"/>
    <x v="259"/>
    <x v="9"/>
    <x v="168"/>
    <x v="2"/>
    <x v="1"/>
    <x v="1"/>
    <s v="First            "/>
    <s v="1582 cc "/>
    <s v="126 bhp @ 4000 rpm  "/>
    <n v="126"/>
    <n v="4.2699999999999996"/>
    <n v="1.78"/>
    <n v="1.63"/>
    <n v="5"/>
    <x v="1"/>
    <n v="60"/>
  </r>
  <r>
    <x v="0"/>
    <x v="585"/>
    <x v="1139"/>
    <n v="1050000"/>
    <x v="259"/>
    <x v="9"/>
    <x v="535"/>
    <x v="2"/>
    <x v="0"/>
    <x v="7"/>
    <s v="Second           "/>
    <s v="2179 cc "/>
    <s v="154 bhp @ 4000 rpm  "/>
    <n v="154"/>
    <n v="4.7880000000000003"/>
    <n v="1.903"/>
    <n v="1.7909999999999999"/>
    <n v="6"/>
    <x v="1"/>
    <n v="60"/>
  </r>
  <r>
    <x v="20"/>
    <x v="586"/>
    <x v="1140"/>
    <n v="1050000"/>
    <x v="259"/>
    <x v="9"/>
    <x v="536"/>
    <x v="2"/>
    <x v="0"/>
    <x v="8"/>
    <s v="First            "/>
    <s v="1956 cc "/>
    <s v="171 bhp @ 3750 rpm  "/>
    <n v="171"/>
    <n v="4.3949999999999996"/>
    <n v="1.8180000000000001"/>
    <n v="1.64"/>
    <n v="5"/>
    <x v="1"/>
    <n v="60"/>
  </r>
  <r>
    <x v="2"/>
    <x v="587"/>
    <x v="1141"/>
    <n v="1050000"/>
    <x v="259"/>
    <x v="15"/>
    <x v="537"/>
    <x v="2"/>
    <x v="0"/>
    <x v="0"/>
    <s v="First            "/>
    <s v="1248 cc "/>
    <s v="89 bhp @ 4000 rpm   "/>
    <n v="89"/>
    <n v="4.49"/>
    <n v="1.73"/>
    <n v="1.4850000000000001"/>
    <n v="5"/>
    <x v="1"/>
    <n v="43"/>
  </r>
  <r>
    <x v="21"/>
    <x v="588"/>
    <x v="1142"/>
    <n v="1055000"/>
    <x v="260"/>
    <x v="14"/>
    <x v="385"/>
    <x v="0"/>
    <x v="1"/>
    <x v="5"/>
    <s v="First            "/>
    <s v="998 cc  "/>
    <s v="118 bhp @ 6000 rpm  "/>
    <n v="118"/>
    <n v="3.9950000000000001"/>
    <n v="1.79"/>
    <n v="1.647"/>
    <n v="5"/>
    <x v="1"/>
    <n v="45"/>
  </r>
  <r>
    <x v="5"/>
    <x v="246"/>
    <x v="1143"/>
    <n v="1060000"/>
    <x v="261"/>
    <x v="13"/>
    <x v="538"/>
    <x v="0"/>
    <x v="0"/>
    <x v="6"/>
    <s v="First            "/>
    <s v="1497 cc "/>
    <s v="117 bhp @ 6600 rpm  "/>
    <n v="117"/>
    <n v="4.4400000000000004"/>
    <n v="1.6950000000000001"/>
    <n v="1.4950000000000001"/>
    <n v="5"/>
    <x v="1"/>
    <n v="40"/>
  </r>
  <r>
    <x v="2"/>
    <x v="343"/>
    <x v="1144"/>
    <n v="1063000"/>
    <x v="262"/>
    <x v="13"/>
    <x v="539"/>
    <x v="2"/>
    <x v="0"/>
    <x v="14"/>
    <s v="First            "/>
    <s v="1598 cc "/>
    <s v="118 bhp @ 3750 rpm  "/>
    <n v="118"/>
    <n v="4.3"/>
    <n v="1.7649999999999999"/>
    <n v="1.59"/>
    <n v="5"/>
    <x v="1"/>
    <n v="48"/>
  </r>
  <r>
    <x v="1"/>
    <x v="581"/>
    <x v="1145"/>
    <n v="1070000"/>
    <x v="263"/>
    <x v="15"/>
    <x v="540"/>
    <x v="0"/>
    <x v="0"/>
    <x v="0"/>
    <s v="First            "/>
    <s v="998 cc  "/>
    <s v="118 bhp @ 6000 rpm  "/>
    <n v="118"/>
    <n v="3.9950000000000001"/>
    <n v="1.77"/>
    <n v="1.605"/>
    <n v="5"/>
    <x v="1"/>
    <n v="45"/>
  </r>
  <r>
    <x v="1"/>
    <x v="557"/>
    <x v="1146"/>
    <n v="1074000"/>
    <x v="264"/>
    <x v="9"/>
    <x v="541"/>
    <x v="0"/>
    <x v="1"/>
    <x v="0"/>
    <s v="First            "/>
    <s v="1591 cc "/>
    <s v="122 bhp @ 6400 rpm  "/>
    <n v="122"/>
    <n v="4.2699999999999996"/>
    <n v="1.78"/>
    <n v="1.63"/>
    <n v="5"/>
    <x v="1"/>
    <n v="60"/>
  </r>
  <r>
    <x v="2"/>
    <x v="503"/>
    <x v="1147"/>
    <n v="1075000"/>
    <x v="265"/>
    <x v="13"/>
    <x v="542"/>
    <x v="0"/>
    <x v="1"/>
    <x v="7"/>
    <s v="First            "/>
    <s v="1462 cc "/>
    <s v="103 bhp @ 6000 rpm  "/>
    <n v="103"/>
    <n v="4.49"/>
    <n v="1.73"/>
    <n v="1.4850000000000001"/>
    <n v="5"/>
    <x v="1"/>
    <n v="43"/>
  </r>
  <r>
    <x v="1"/>
    <x v="589"/>
    <x v="1148"/>
    <n v="1075000"/>
    <x v="265"/>
    <x v="13"/>
    <x v="191"/>
    <x v="0"/>
    <x v="1"/>
    <x v="7"/>
    <s v="First            "/>
    <s v="998 cc  "/>
    <s v="118 bhp @ 6000 rpm  "/>
    <n v="118"/>
    <n v="3.9950000000000001"/>
    <n v="1.77"/>
    <n v="1.605"/>
    <n v="5"/>
    <x v="1"/>
    <n v="45"/>
  </r>
  <r>
    <x v="1"/>
    <x v="590"/>
    <x v="1149"/>
    <n v="1075000"/>
    <x v="265"/>
    <x v="13"/>
    <x v="114"/>
    <x v="0"/>
    <x v="1"/>
    <x v="0"/>
    <s v="First            "/>
    <s v="1591 cc "/>
    <s v="122 bhp @ 6400 rpm  "/>
    <n v="122"/>
    <n v="4.2699999999999996"/>
    <n v="1.78"/>
    <n v="1.665"/>
    <n v="5"/>
    <x v="1"/>
    <n v="55"/>
  </r>
  <r>
    <x v="8"/>
    <x v="551"/>
    <x v="1150"/>
    <n v="1075000"/>
    <x v="265"/>
    <x v="10"/>
    <x v="543"/>
    <x v="2"/>
    <x v="0"/>
    <x v="1"/>
    <s v="First            "/>
    <s v="2179 cc "/>
    <s v="138 bhp @ 3750 rpm  "/>
    <n v="138"/>
    <n v="4.585"/>
    <n v="1.89"/>
    <n v="1.7849999999999999"/>
    <n v="7"/>
    <x v="1"/>
    <n v="70"/>
  </r>
  <r>
    <x v="4"/>
    <x v="591"/>
    <x v="1151"/>
    <n v="1075000"/>
    <x v="265"/>
    <x v="11"/>
    <x v="26"/>
    <x v="0"/>
    <x v="0"/>
    <x v="0"/>
    <s v="First            "/>
    <s v="1798 cc "/>
    <s v="138 bhp @ 6400 rpm  "/>
    <n v="138"/>
    <n v="4.62"/>
    <n v="1.7749999999999999"/>
    <n v="1.4750000000000001"/>
    <n v="5"/>
    <x v="1"/>
    <n v="55"/>
  </r>
  <r>
    <x v="4"/>
    <x v="592"/>
    <x v="1152"/>
    <n v="1075000"/>
    <x v="265"/>
    <x v="8"/>
    <x v="452"/>
    <x v="2"/>
    <x v="1"/>
    <x v="0"/>
    <s v="First            "/>
    <s v="2982 cc "/>
    <s v="169 bhp @ 3600 rpm  "/>
    <n v="169"/>
    <n v="4.7050000000000001"/>
    <n v="1.84"/>
    <n v="1.85"/>
    <n v="7"/>
    <x v="1"/>
    <n v="80"/>
  </r>
  <r>
    <x v="20"/>
    <x v="586"/>
    <x v="1153"/>
    <n v="1075000"/>
    <x v="265"/>
    <x v="9"/>
    <x v="90"/>
    <x v="2"/>
    <x v="0"/>
    <x v="0"/>
    <s v="First            "/>
    <s v="1956 cc "/>
    <s v="171 bhp @ 3750 rpm  "/>
    <n v="171"/>
    <n v="4.3949999999999996"/>
    <n v="1.8180000000000001"/>
    <n v="1.64"/>
    <n v="5"/>
    <x v="1"/>
    <n v="60"/>
  </r>
  <r>
    <x v="1"/>
    <x v="593"/>
    <x v="1154"/>
    <n v="1075000"/>
    <x v="265"/>
    <x v="15"/>
    <x v="544"/>
    <x v="0"/>
    <x v="1"/>
    <x v="0"/>
    <s v="First            "/>
    <s v="1197 cc "/>
    <s v="87 bhp @ 6000 rpm   "/>
    <n v="87"/>
    <n v="3.9950000000000001"/>
    <n v="1.7749999999999999"/>
    <n v="1.5049999999999999"/>
    <n v="5"/>
    <x v="1"/>
    <n v="37"/>
  </r>
  <r>
    <x v="8"/>
    <x v="545"/>
    <x v="1155"/>
    <n v="1080000"/>
    <x v="266"/>
    <x v="14"/>
    <x v="53"/>
    <x v="2"/>
    <x v="0"/>
    <x v="0"/>
    <s v="First            "/>
    <s v="1497 cc "/>
    <s v="115 bhp @ 3750 rpm  "/>
    <n v="115"/>
    <n v="3.9950000000000001"/>
    <n v="1.821"/>
    <n v="1.627"/>
    <n v="5"/>
    <x v="1"/>
    <n v="42"/>
  </r>
  <r>
    <x v="1"/>
    <x v="594"/>
    <x v="1156"/>
    <n v="1080000"/>
    <x v="266"/>
    <x v="13"/>
    <x v="73"/>
    <x v="2"/>
    <x v="0"/>
    <x v="0"/>
    <s v="First            "/>
    <s v="1396 cc "/>
    <s v="89 bhp @ 4000 rpm   "/>
    <n v="89"/>
    <n v="4.2699999999999996"/>
    <n v="1.78"/>
    <n v="1.63"/>
    <n v="5"/>
    <x v="1"/>
    <n v="60"/>
  </r>
  <r>
    <x v="2"/>
    <x v="386"/>
    <x v="1157"/>
    <n v="1080000"/>
    <x v="266"/>
    <x v="15"/>
    <x v="194"/>
    <x v="3"/>
    <x v="0"/>
    <x v="0"/>
    <s v="First            "/>
    <s v="1373 cc "/>
    <s v="94 bhp @ 6000 rpm   "/>
    <n v="94"/>
    <n v="4.2960000000000003"/>
    <n v="1.6950000000000001"/>
    <n v="1.6850000000000001"/>
    <n v="7"/>
    <x v="1"/>
    <n v="45"/>
  </r>
  <r>
    <x v="1"/>
    <x v="595"/>
    <x v="1158"/>
    <n v="1080000"/>
    <x v="266"/>
    <x v="14"/>
    <x v="40"/>
    <x v="2"/>
    <x v="0"/>
    <x v="7"/>
    <s v="First            "/>
    <s v="1493 cc "/>
    <s v="99 bhp @ 4000 rpm   "/>
    <n v="99"/>
    <n v="3.9950000000000001"/>
    <n v="1.77"/>
    <n v="1.605"/>
    <n v="5"/>
    <x v="1"/>
    <n v="45"/>
  </r>
  <r>
    <x v="0"/>
    <x v="532"/>
    <x v="1159"/>
    <n v="1085000"/>
    <x v="267"/>
    <x v="12"/>
    <x v="545"/>
    <x v="0"/>
    <x v="1"/>
    <x v="4"/>
    <s v="First            "/>
    <s v="1198 cc "/>
    <s v="108 bhp @ 5000 rpm  "/>
    <n v="108"/>
    <n v="3.9940000000000002"/>
    <n v="1.8109999999999999"/>
    <n v="1.607"/>
    <n v="5"/>
    <x v="1"/>
    <n v="44"/>
  </r>
  <r>
    <x v="1"/>
    <x v="540"/>
    <x v="1160"/>
    <n v="1085000"/>
    <x v="267"/>
    <x v="16"/>
    <x v="546"/>
    <x v="0"/>
    <x v="0"/>
    <x v="7"/>
    <s v="First            "/>
    <s v="998 cc  "/>
    <s v="118 bhp @ 6000 rpm  "/>
    <n v="118"/>
    <n v="3.9950000000000001"/>
    <n v="1.77"/>
    <n v="1.605"/>
    <n v="5"/>
    <x v="1"/>
    <n v="45"/>
  </r>
  <r>
    <x v="1"/>
    <x v="596"/>
    <x v="1161"/>
    <n v="1085000"/>
    <x v="267"/>
    <x v="12"/>
    <x v="547"/>
    <x v="2"/>
    <x v="1"/>
    <x v="8"/>
    <s v="First            "/>
    <s v="1582 cc "/>
    <s v="126 bhp @ 4000 rpm  "/>
    <n v="126"/>
    <n v="4.4400000000000004"/>
    <n v="1.7290000000000001"/>
    <n v="1.4750000000000001"/>
    <n v="5"/>
    <x v="1"/>
    <n v="45"/>
  </r>
  <r>
    <x v="4"/>
    <x v="597"/>
    <x v="1162"/>
    <n v="1090000"/>
    <x v="268"/>
    <x v="13"/>
    <x v="548"/>
    <x v="0"/>
    <x v="1"/>
    <x v="4"/>
    <s v="First            "/>
    <s v="1496 cc "/>
    <s v="106 bhp @ 6000 rpm  "/>
    <n v="106"/>
    <n v="4.4249999999999998"/>
    <n v="1.73"/>
    <n v="1.4950000000000001"/>
    <n v="5"/>
    <x v="1"/>
    <n v="42"/>
  </r>
  <r>
    <x v="1"/>
    <x v="589"/>
    <x v="1163"/>
    <n v="1090000"/>
    <x v="268"/>
    <x v="14"/>
    <x v="549"/>
    <x v="0"/>
    <x v="1"/>
    <x v="0"/>
    <s v="First            "/>
    <s v="998 cc  "/>
    <s v="118 bhp @ 6000 rpm  "/>
    <n v="118"/>
    <n v="3.9950000000000001"/>
    <n v="1.77"/>
    <n v="1.605"/>
    <n v="5"/>
    <x v="1"/>
    <n v="45"/>
  </r>
  <r>
    <x v="8"/>
    <x v="598"/>
    <x v="1164"/>
    <n v="1090000"/>
    <x v="268"/>
    <x v="9"/>
    <x v="116"/>
    <x v="2"/>
    <x v="0"/>
    <x v="0"/>
    <s v="First            "/>
    <s v="1997 cc "/>
    <s v="120 bhp @ 4000 rpm  "/>
    <n v="120"/>
    <n v="4.4560000000000004"/>
    <n v="1.82"/>
    <n v="1.9950000000000001"/>
    <n v="8"/>
    <x v="1"/>
    <n v="60"/>
  </r>
  <r>
    <x v="8"/>
    <x v="551"/>
    <x v="1165"/>
    <n v="1090000"/>
    <x v="268"/>
    <x v="9"/>
    <x v="550"/>
    <x v="2"/>
    <x v="0"/>
    <x v="0"/>
    <s v="First            "/>
    <s v="2179 cc "/>
    <s v="138 bhp @ 3750 rpm  "/>
    <n v="138"/>
    <n v="4.585"/>
    <n v="1.89"/>
    <n v="1.7849999999999999"/>
    <n v="7"/>
    <x v="1"/>
    <n v="70"/>
  </r>
  <r>
    <x v="17"/>
    <x v="599"/>
    <x v="1166"/>
    <n v="1090000"/>
    <x v="268"/>
    <x v="1"/>
    <x v="6"/>
    <x v="2"/>
    <x v="1"/>
    <x v="1"/>
    <s v="Second           "/>
    <s v="1995 cc "/>
    <s v="184 bhp @ 4000 rpm  "/>
    <n v="184"/>
    <n v="4.6479999999999997"/>
    <n v="1.881"/>
    <n v="1.661"/>
    <n v="5"/>
    <x v="1"/>
    <n v="67"/>
  </r>
  <r>
    <x v="1"/>
    <x v="600"/>
    <x v="1167"/>
    <n v="1090000"/>
    <x v="268"/>
    <x v="13"/>
    <x v="25"/>
    <x v="2"/>
    <x v="0"/>
    <x v="7"/>
    <s v="First            "/>
    <s v="1396 cc "/>
    <s v="89 bhp @ 4000 rpm   "/>
    <n v="89"/>
    <n v="4.2699999999999996"/>
    <n v="1.78"/>
    <n v="1.665"/>
    <n v="5"/>
    <x v="1"/>
    <n v="55"/>
  </r>
  <r>
    <x v="13"/>
    <x v="279"/>
    <x v="1168"/>
    <n v="1095000"/>
    <x v="269"/>
    <x v="14"/>
    <x v="551"/>
    <x v="0"/>
    <x v="1"/>
    <x v="4"/>
    <s v="First            "/>
    <s v="1197 cc "/>
    <s v="103 bhp @ 5000 rpm  "/>
    <n v="103"/>
    <n v="3.9710000000000001"/>
    <n v="1.6819999999999999"/>
    <n v="1.4690000000000001"/>
    <n v="5"/>
    <x v="1"/>
    <n v="45"/>
  </r>
  <r>
    <x v="5"/>
    <x v="549"/>
    <x v="1169"/>
    <n v="1095000"/>
    <x v="269"/>
    <x v="16"/>
    <x v="552"/>
    <x v="0"/>
    <x v="0"/>
    <x v="1"/>
    <s v="First            "/>
    <s v="1497 cc "/>
    <s v="118 bhp @ 6600 rpm  "/>
    <n v="118"/>
    <n v="4.4400000000000004"/>
    <n v="1.6950000000000001"/>
    <n v="1.4950000000000001"/>
    <n v="5"/>
    <x v="1"/>
    <n v="40"/>
  </r>
  <r>
    <x v="1"/>
    <x v="557"/>
    <x v="1170"/>
    <n v="1095000"/>
    <x v="269"/>
    <x v="9"/>
    <x v="170"/>
    <x v="0"/>
    <x v="1"/>
    <x v="4"/>
    <s v="Second           "/>
    <s v="1591 cc "/>
    <s v="122 bhp @ 6400 rpm  "/>
    <n v="122"/>
    <n v="4.2699999999999996"/>
    <n v="1.78"/>
    <n v="1.63"/>
    <n v="5"/>
    <x v="1"/>
    <n v="60"/>
  </r>
  <r>
    <x v="4"/>
    <x v="601"/>
    <x v="1171"/>
    <n v="1095000"/>
    <x v="269"/>
    <x v="11"/>
    <x v="114"/>
    <x v="0"/>
    <x v="1"/>
    <x v="8"/>
    <s v="First            "/>
    <s v="1798 cc "/>
    <s v="138 bhp @ 6400 rpm  "/>
    <n v="138"/>
    <n v="4.62"/>
    <n v="1.7749999999999999"/>
    <n v="1.4750000000000001"/>
    <n v="5"/>
    <x v="1"/>
    <n v="55"/>
  </r>
  <r>
    <x v="8"/>
    <x v="602"/>
    <x v="1172"/>
    <n v="1095000"/>
    <x v="269"/>
    <x v="12"/>
    <x v="38"/>
    <x v="2"/>
    <x v="0"/>
    <x v="8"/>
    <s v="First            "/>
    <s v="2179 cc "/>
    <s v="153 bhp @ 3750 rpm  "/>
    <n v="153"/>
    <n v="4.585"/>
    <n v="1.89"/>
    <n v="1.7849999999999999"/>
    <n v="7"/>
    <x v="1"/>
    <n v="70"/>
  </r>
  <r>
    <x v="8"/>
    <x v="603"/>
    <x v="1173"/>
    <n v="1095000"/>
    <x v="269"/>
    <x v="12"/>
    <x v="15"/>
    <x v="2"/>
    <x v="0"/>
    <x v="6"/>
    <s v="First            "/>
    <s v="2179 cc "/>
    <s v="153 bhp @ 3750 rpm  "/>
    <n v="153"/>
    <n v="4.585"/>
    <n v="1.89"/>
    <n v="1.7849999999999999"/>
    <n v="7"/>
    <x v="1"/>
    <n v="70"/>
  </r>
  <r>
    <x v="1"/>
    <x v="604"/>
    <x v="1174"/>
    <n v="1097000"/>
    <x v="270"/>
    <x v="16"/>
    <x v="553"/>
    <x v="2"/>
    <x v="0"/>
    <x v="0"/>
    <s v="First            "/>
    <s v="1493 cc "/>
    <s v="99 bhp @ 4000 rpm   "/>
    <n v="99"/>
    <n v="3.9950000000000001"/>
    <n v="1.77"/>
    <n v="1.605"/>
    <n v="5"/>
    <x v="1"/>
    <n v="45"/>
  </r>
  <r>
    <x v="9"/>
    <x v="539"/>
    <x v="1175"/>
    <n v="1099000"/>
    <x v="271"/>
    <x v="12"/>
    <x v="554"/>
    <x v="0"/>
    <x v="1"/>
    <x v="4"/>
    <s v="First            "/>
    <s v="1598 cc "/>
    <s v="104 bhp @ 5200 rpm  "/>
    <n v="104"/>
    <n v="4.4130000000000003"/>
    <n v="1.6990000000000001"/>
    <n v="1.466"/>
    <n v="5"/>
    <x v="1"/>
    <n v="55"/>
  </r>
  <r>
    <x v="1"/>
    <x v="524"/>
    <x v="1176"/>
    <n v="1100000"/>
    <x v="272"/>
    <x v="12"/>
    <x v="555"/>
    <x v="2"/>
    <x v="0"/>
    <x v="4"/>
    <s v="First            "/>
    <s v="1582 cc "/>
    <s v="126 bhp @ 4000 rpm  "/>
    <n v="126"/>
    <n v="4.2699999999999996"/>
    <n v="1.78"/>
    <n v="1.665"/>
    <n v="5"/>
    <x v="1"/>
    <n v="55"/>
  </r>
  <r>
    <x v="1"/>
    <x v="383"/>
    <x v="1177"/>
    <n v="1100000"/>
    <x v="272"/>
    <x v="13"/>
    <x v="50"/>
    <x v="2"/>
    <x v="0"/>
    <x v="0"/>
    <s v="First            "/>
    <s v="1582 cc "/>
    <s v="126 bhp @ 4000 rpm  "/>
    <n v="126"/>
    <n v="4.375"/>
    <n v="1.7"/>
    <n v="1.4750000000000001"/>
    <n v="5"/>
    <x v="1"/>
    <n v="43"/>
  </r>
  <r>
    <x v="14"/>
    <x v="605"/>
    <x v="1178"/>
    <n v="1100000"/>
    <x v="272"/>
    <x v="4"/>
    <x v="60"/>
    <x v="2"/>
    <x v="1"/>
    <x v="8"/>
    <s v="Second           "/>
    <s v="2143 cc "/>
    <s v="207 bhp @4200            "/>
    <n v="207"/>
    <n v="4.5960000000000001"/>
    <n v="1.77"/>
    <n v="1.4470000000000001"/>
    <n v="5"/>
    <x v="1"/>
    <n v="66"/>
  </r>
  <r>
    <x v="1"/>
    <x v="606"/>
    <x v="1179"/>
    <n v="1115000"/>
    <x v="273"/>
    <x v="12"/>
    <x v="25"/>
    <x v="0"/>
    <x v="0"/>
    <x v="8"/>
    <s v="Second           "/>
    <s v="1591 cc "/>
    <s v="122 bhp @ 6400 rpm  "/>
    <n v="122"/>
    <n v="4.2699999999999996"/>
    <n v="1.78"/>
    <n v="1.665"/>
    <n v="5"/>
    <x v="1"/>
    <n v="55"/>
  </r>
  <r>
    <x v="8"/>
    <x v="607"/>
    <x v="1180"/>
    <n v="1115000"/>
    <x v="273"/>
    <x v="12"/>
    <x v="556"/>
    <x v="2"/>
    <x v="0"/>
    <x v="2"/>
    <s v="First            "/>
    <s v="2179 cc "/>
    <s v="153 bhp @ 3750 rpm  "/>
    <n v="153"/>
    <n v="4.585"/>
    <n v="1.89"/>
    <n v="1.7849999999999999"/>
    <n v="7"/>
    <x v="1"/>
    <n v="70"/>
  </r>
  <r>
    <x v="8"/>
    <x v="608"/>
    <x v="1181"/>
    <n v="1121000"/>
    <x v="274"/>
    <x v="13"/>
    <x v="194"/>
    <x v="2"/>
    <x v="0"/>
    <x v="0"/>
    <s v="First            "/>
    <s v="2523 cc "/>
    <s v="75 bhp @ 3200 rpm   "/>
    <n v="75"/>
    <n v="4.4560000000000004"/>
    <n v="1.82"/>
    <n v="1.93"/>
    <n v="7"/>
    <x v="1"/>
    <n v="60"/>
  </r>
  <r>
    <x v="1"/>
    <x v="596"/>
    <x v="1182"/>
    <n v="1123000"/>
    <x v="275"/>
    <x v="9"/>
    <x v="3"/>
    <x v="2"/>
    <x v="1"/>
    <x v="1"/>
    <s v="First            "/>
    <s v="1582 cc "/>
    <s v="126 bhp @ 4000 rpm  "/>
    <n v="126"/>
    <n v="4.4400000000000004"/>
    <n v="1.7290000000000001"/>
    <n v="1.4750000000000001"/>
    <n v="5"/>
    <x v="1"/>
    <n v="45"/>
  </r>
  <r>
    <x v="9"/>
    <x v="609"/>
    <x v="1183"/>
    <n v="1125000"/>
    <x v="276"/>
    <x v="14"/>
    <x v="557"/>
    <x v="0"/>
    <x v="1"/>
    <x v="4"/>
    <s v="First            "/>
    <s v="999 cc  "/>
    <s v="109 bhp @ 5000 rpm  "/>
    <n v="109"/>
    <n v="4.4130000000000003"/>
    <n v="1.6990000000000001"/>
    <n v="1.466"/>
    <n v="5"/>
    <x v="1"/>
    <n v="55"/>
  </r>
  <r>
    <x v="1"/>
    <x v="238"/>
    <x v="1184"/>
    <n v="1125000"/>
    <x v="276"/>
    <x v="13"/>
    <x v="15"/>
    <x v="0"/>
    <x v="1"/>
    <x v="0"/>
    <s v="First            "/>
    <s v="1591 cc "/>
    <s v="121 bhp @ 6300 rpm  "/>
    <n v="121"/>
    <n v="4.37"/>
    <n v="1.7"/>
    <n v="1.4750000000000001"/>
    <n v="5"/>
    <x v="1"/>
    <n v="43"/>
  </r>
  <r>
    <x v="1"/>
    <x v="559"/>
    <x v="1185"/>
    <n v="1125000"/>
    <x v="276"/>
    <x v="12"/>
    <x v="0"/>
    <x v="2"/>
    <x v="0"/>
    <x v="0"/>
    <s v="First            "/>
    <s v="1582 cc "/>
    <s v="126 bhp @ 4000 rpm  "/>
    <n v="126"/>
    <n v="4.2699999999999996"/>
    <n v="1.78"/>
    <n v="1.665"/>
    <n v="5"/>
    <x v="1"/>
    <n v="55"/>
  </r>
  <r>
    <x v="1"/>
    <x v="383"/>
    <x v="1186"/>
    <n v="1125000"/>
    <x v="276"/>
    <x v="13"/>
    <x v="122"/>
    <x v="2"/>
    <x v="0"/>
    <x v="0"/>
    <s v="First            "/>
    <s v="1582 cc "/>
    <s v="126 bhp @ 4000 rpm  "/>
    <n v="126"/>
    <n v="4.375"/>
    <n v="1.7"/>
    <n v="1.4750000000000001"/>
    <n v="5"/>
    <x v="1"/>
    <n v="43"/>
  </r>
  <r>
    <x v="1"/>
    <x v="610"/>
    <x v="1187"/>
    <n v="1130000"/>
    <x v="277"/>
    <x v="14"/>
    <x v="558"/>
    <x v="0"/>
    <x v="0"/>
    <x v="0"/>
    <s v="First            "/>
    <s v="998 cc  "/>
    <s v="118 bhp @ 6000 rpm  "/>
    <n v="118"/>
    <n v="3.9950000000000001"/>
    <n v="1.7749999999999999"/>
    <n v="1.5049999999999999"/>
    <n v="5"/>
    <x v="1"/>
    <n v="37"/>
  </r>
  <r>
    <x v="5"/>
    <x v="611"/>
    <x v="1188"/>
    <n v="1130000"/>
    <x v="277"/>
    <x v="10"/>
    <x v="15"/>
    <x v="0"/>
    <x v="1"/>
    <x v="10"/>
    <s v="First            "/>
    <s v="1997 cc "/>
    <s v="154 bhp @ 6500 rpm  "/>
    <n v="154"/>
    <n v="4.5449999999999999"/>
    <n v="1.82"/>
    <n v="1.6850000000000001"/>
    <n v="5"/>
    <x v="1"/>
    <n v="58"/>
  </r>
  <r>
    <x v="5"/>
    <x v="612"/>
    <x v="1189"/>
    <n v="1138000"/>
    <x v="278"/>
    <x v="12"/>
    <x v="148"/>
    <x v="0"/>
    <x v="1"/>
    <x v="1"/>
    <s v="First            "/>
    <s v="1497 cc "/>
    <s v="117 bhp @ 6600 rpm  "/>
    <n v="117"/>
    <n v="4.4400000000000004"/>
    <n v="1.6950000000000001"/>
    <n v="1.4950000000000001"/>
    <n v="5"/>
    <x v="1"/>
    <n v="40"/>
  </r>
  <r>
    <x v="1"/>
    <x v="613"/>
    <x v="1190"/>
    <n v="1149000"/>
    <x v="279"/>
    <x v="13"/>
    <x v="559"/>
    <x v="0"/>
    <x v="1"/>
    <x v="8"/>
    <s v="First            "/>
    <s v="1591 cc "/>
    <s v="121 bhp @ 6400 rpm  "/>
    <n v="121"/>
    <n v="4.4400000000000004"/>
    <n v="1.7290000000000001"/>
    <n v="1.4750000000000001"/>
    <n v="5"/>
    <x v="1"/>
    <n v="45"/>
  </r>
  <r>
    <x v="8"/>
    <x v="477"/>
    <x v="1191"/>
    <n v="1150000"/>
    <x v="280"/>
    <x v="6"/>
    <x v="96"/>
    <x v="2"/>
    <x v="0"/>
    <x v="1"/>
    <s v="First            "/>
    <s v="2179 cc "/>
    <s v="120 bhp @ 4000 rpm  "/>
    <n v="120"/>
    <n v="4.4560000000000004"/>
    <n v="1.82"/>
    <n v="1.9950000000000001"/>
    <n v="8"/>
    <x v="1"/>
    <n v="60"/>
  </r>
  <r>
    <x v="14"/>
    <x v="614"/>
    <x v="1192"/>
    <n v="1150000"/>
    <x v="280"/>
    <x v="8"/>
    <x v="53"/>
    <x v="0"/>
    <x v="1"/>
    <x v="1"/>
    <s v="Second           "/>
    <s v="1595 cc "/>
    <s v="120 bhp @ 5000 rpm  "/>
    <n v="120"/>
    <n v="4.359"/>
    <n v="2.0099999999999998"/>
    <n v="1.5569999999999999"/>
    <n v="5"/>
    <x v="1"/>
    <n v="50"/>
  </r>
  <r>
    <x v="14"/>
    <x v="615"/>
    <x v="1193"/>
    <n v="1150000"/>
    <x v="280"/>
    <x v="6"/>
    <x v="170"/>
    <x v="0"/>
    <x v="1"/>
    <x v="0"/>
    <s v="Second           "/>
    <s v="1595 cc "/>
    <s v="120 bhp @ 5000 rpm  "/>
    <n v="120"/>
    <n v="4.359"/>
    <n v="2.0099999999999998"/>
    <n v="1.5569999999999999"/>
    <n v="5"/>
    <x v="1"/>
    <n v="50"/>
  </r>
  <r>
    <x v="1"/>
    <x v="584"/>
    <x v="1194"/>
    <n v="1150000"/>
    <x v="280"/>
    <x v="9"/>
    <x v="560"/>
    <x v="2"/>
    <x v="1"/>
    <x v="2"/>
    <s v="First            "/>
    <s v="1582 cc "/>
    <s v="126 bhp @ 4000 rpm  "/>
    <n v="126"/>
    <n v="4.2699999999999996"/>
    <n v="1.78"/>
    <n v="1.63"/>
    <n v="5"/>
    <x v="1"/>
    <n v="60"/>
  </r>
  <r>
    <x v="14"/>
    <x v="616"/>
    <x v="1195"/>
    <n v="1150000"/>
    <x v="280"/>
    <x v="0"/>
    <x v="171"/>
    <x v="2"/>
    <x v="1"/>
    <x v="1"/>
    <s v="First            "/>
    <s v="2987 cc "/>
    <s v="231  bhp @3800            "/>
    <n v="231"/>
    <n v="4.8680000000000003"/>
    <n v="1.8540000000000001"/>
    <n v="1.4710000000000001"/>
    <n v="5"/>
    <x v="1"/>
    <n v="80"/>
  </r>
  <r>
    <x v="9"/>
    <x v="617"/>
    <x v="1196"/>
    <n v="1160000"/>
    <x v="281"/>
    <x v="10"/>
    <x v="561"/>
    <x v="2"/>
    <x v="1"/>
    <x v="8"/>
    <s v="First            "/>
    <s v="1968 cc "/>
    <s v="141 bhp @ 4000 rpm  "/>
    <n v="141"/>
    <n v="4.6589999999999998"/>
    <n v="1.8140000000000001"/>
    <n v="1.476"/>
    <n v="5"/>
    <x v="1"/>
    <n v="50"/>
  </r>
  <r>
    <x v="8"/>
    <x v="618"/>
    <x v="1197"/>
    <n v="1165000"/>
    <x v="282"/>
    <x v="12"/>
    <x v="34"/>
    <x v="2"/>
    <x v="0"/>
    <x v="0"/>
    <s v="First            "/>
    <s v="2179 cc "/>
    <s v="120 bhp @ 4000 rpm  "/>
    <n v="120"/>
    <n v="4.4560000000000004"/>
    <n v="1.82"/>
    <n v="1.9950000000000001"/>
    <n v="7"/>
    <x v="1"/>
    <n v="60"/>
  </r>
  <r>
    <x v="1"/>
    <x v="619"/>
    <x v="1198"/>
    <n v="1175000"/>
    <x v="283"/>
    <x v="13"/>
    <x v="42"/>
    <x v="0"/>
    <x v="0"/>
    <x v="8"/>
    <s v="First            "/>
    <s v="1591 cc "/>
    <s v="121 bhp @ 6300 rpm  "/>
    <n v="121"/>
    <n v="4.375"/>
    <n v="1.7"/>
    <n v="1.4750000000000001"/>
    <n v="5"/>
    <x v="1"/>
    <n v="43"/>
  </r>
  <r>
    <x v="1"/>
    <x v="620"/>
    <x v="1199"/>
    <n v="1175000"/>
    <x v="283"/>
    <x v="13"/>
    <x v="562"/>
    <x v="0"/>
    <x v="0"/>
    <x v="2"/>
    <s v="First            "/>
    <s v="1591 cc "/>
    <s v="122 bhp @ 6400 rpm  "/>
    <n v="122"/>
    <n v="4.2699999999999996"/>
    <n v="1.78"/>
    <n v="1.63"/>
    <n v="5"/>
    <x v="1"/>
    <n v="60"/>
  </r>
  <r>
    <x v="1"/>
    <x v="510"/>
    <x v="1200"/>
    <n v="1175000"/>
    <x v="283"/>
    <x v="12"/>
    <x v="168"/>
    <x v="2"/>
    <x v="0"/>
    <x v="0"/>
    <s v="First            "/>
    <s v="1582 cc "/>
    <s v="126 bhp @ 4000 rpm  "/>
    <n v="126"/>
    <n v="4.375"/>
    <n v="1.7"/>
    <n v="1.4750000000000001"/>
    <n v="5"/>
    <x v="1"/>
    <n v="43"/>
  </r>
  <r>
    <x v="1"/>
    <x v="621"/>
    <x v="1201"/>
    <n v="1175000"/>
    <x v="283"/>
    <x v="9"/>
    <x v="35"/>
    <x v="0"/>
    <x v="1"/>
    <x v="0"/>
    <s v="First            "/>
    <s v="1999 cc "/>
    <s v="150 bhp @ 6200 rpm  "/>
    <n v="150"/>
    <n v="4.62"/>
    <n v="1.8"/>
    <n v="1.4650000000000001"/>
    <n v="5"/>
    <x v="1"/>
    <n v="50"/>
  </r>
  <r>
    <x v="18"/>
    <x v="622"/>
    <x v="1202"/>
    <n v="1175000"/>
    <x v="283"/>
    <x v="1"/>
    <x v="82"/>
    <x v="2"/>
    <x v="1"/>
    <x v="7"/>
    <s v="Second           "/>
    <s v="1968 cc "/>
    <s v="177 bhp @ 3750 rpm  "/>
    <n v="177"/>
    <n v="4.915"/>
    <n v="1.8740000000000001"/>
    <n v="1.4550000000000001"/>
    <n v="5"/>
    <x v="1"/>
    <n v="65"/>
  </r>
  <r>
    <x v="18"/>
    <x v="623"/>
    <x v="1203"/>
    <n v="1175000"/>
    <x v="283"/>
    <x v="8"/>
    <x v="15"/>
    <x v="2"/>
    <x v="1"/>
    <x v="0"/>
    <s v="First            "/>
    <s v="1968 cc "/>
    <s v="177 bhp @ 4200 rpm  "/>
    <n v="177"/>
    <n v="4.7009999999999996"/>
    <n v="1.8260000000000001"/>
    <n v="1.427"/>
    <n v="5"/>
    <x v="1"/>
    <n v="63"/>
  </r>
  <r>
    <x v="1"/>
    <x v="504"/>
    <x v="1204"/>
    <n v="1175000"/>
    <x v="283"/>
    <x v="6"/>
    <x v="563"/>
    <x v="2"/>
    <x v="1"/>
    <x v="0"/>
    <s v="Second           "/>
    <s v="2199 cc "/>
    <s v="194 bhp @ 3800 rpm  "/>
    <n v="194"/>
    <n v="4.6900000000000004"/>
    <n v="1.88"/>
    <n v="1.69"/>
    <n v="7"/>
    <x v="1"/>
    <n v="64"/>
  </r>
  <r>
    <x v="1"/>
    <x v="576"/>
    <x v="1205"/>
    <n v="1175000"/>
    <x v="283"/>
    <x v="15"/>
    <x v="564"/>
    <x v="2"/>
    <x v="0"/>
    <x v="0"/>
    <s v="First            "/>
    <s v="1396 cc "/>
    <s v="89 bhp @ 4000 rpm   "/>
    <n v="89"/>
    <n v="3.9950000000000001"/>
    <n v="1.77"/>
    <n v="1.605"/>
    <n v="5"/>
    <x v="1"/>
    <n v="45"/>
  </r>
  <r>
    <x v="1"/>
    <x v="238"/>
    <x v="1206"/>
    <n v="1180000"/>
    <x v="284"/>
    <x v="13"/>
    <x v="194"/>
    <x v="0"/>
    <x v="1"/>
    <x v="0"/>
    <s v="First            "/>
    <s v="1591 cc "/>
    <s v="121 bhp @ 6300 rpm  "/>
    <n v="121"/>
    <n v="4.37"/>
    <n v="1.7"/>
    <n v="1.4750000000000001"/>
    <n v="5"/>
    <x v="1"/>
    <n v="43"/>
  </r>
  <r>
    <x v="1"/>
    <x v="540"/>
    <x v="1207"/>
    <n v="1185000"/>
    <x v="285"/>
    <x v="15"/>
    <x v="565"/>
    <x v="0"/>
    <x v="0"/>
    <x v="0"/>
    <s v="First            "/>
    <s v="998 cc  "/>
    <s v="118 bhp @ 6000 rpm  "/>
    <n v="118"/>
    <n v="3.9950000000000001"/>
    <n v="1.77"/>
    <n v="1.605"/>
    <n v="5"/>
    <x v="1"/>
    <n v="45"/>
  </r>
  <r>
    <x v="2"/>
    <x v="624"/>
    <x v="1208"/>
    <n v="1190000"/>
    <x v="286"/>
    <x v="14"/>
    <x v="566"/>
    <x v="0"/>
    <x v="1"/>
    <x v="7"/>
    <s v="First            "/>
    <s v="1462 cc "/>
    <s v="103 bhp @ 6000 rpm  "/>
    <n v="103"/>
    <n v="4.4450000000000003"/>
    <n v="1.7749999999999999"/>
    <n v="1.7"/>
    <n v="6"/>
    <x v="1"/>
    <n v="45"/>
  </r>
  <r>
    <x v="8"/>
    <x v="618"/>
    <x v="1209"/>
    <n v="1190000"/>
    <x v="286"/>
    <x v="12"/>
    <x v="4"/>
    <x v="2"/>
    <x v="0"/>
    <x v="0"/>
    <s v="First            "/>
    <s v="2179 cc "/>
    <s v="120 bhp @ 4000 rpm  "/>
    <n v="120"/>
    <n v="4.4560000000000004"/>
    <n v="1.82"/>
    <n v="1.9950000000000001"/>
    <n v="7"/>
    <x v="1"/>
    <n v="60"/>
  </r>
  <r>
    <x v="1"/>
    <x v="584"/>
    <x v="1210"/>
    <n v="1190000"/>
    <x v="286"/>
    <x v="12"/>
    <x v="93"/>
    <x v="2"/>
    <x v="1"/>
    <x v="0"/>
    <s v="First            "/>
    <s v="1582 cc "/>
    <s v="126 bhp @ 4000 rpm  "/>
    <n v="126"/>
    <n v="4.2699999999999996"/>
    <n v="1.78"/>
    <n v="1.63"/>
    <n v="5"/>
    <x v="1"/>
    <n v="60"/>
  </r>
  <r>
    <x v="8"/>
    <x v="567"/>
    <x v="1211"/>
    <n v="1190000"/>
    <x v="286"/>
    <x v="9"/>
    <x v="567"/>
    <x v="2"/>
    <x v="1"/>
    <x v="8"/>
    <s v="First            "/>
    <s v="2179 cc "/>
    <s v="138 bhp @ 3750 rpm  "/>
    <n v="138"/>
    <n v="4.585"/>
    <n v="1.89"/>
    <n v="1.7849999999999999"/>
    <n v="7"/>
    <x v="1"/>
    <n v="70"/>
  </r>
  <r>
    <x v="21"/>
    <x v="625"/>
    <x v="1212"/>
    <n v="1195000"/>
    <x v="287"/>
    <x v="16"/>
    <x v="439"/>
    <x v="0"/>
    <x v="0"/>
    <x v="4"/>
    <s v="First            "/>
    <s v="998 cc  "/>
    <s v="118 bhp @ 6000 rpm  "/>
    <n v="118"/>
    <n v="3.9950000000000001"/>
    <n v="1.79"/>
    <n v="1.647"/>
    <n v="5"/>
    <x v="1"/>
    <n v="45"/>
  </r>
  <r>
    <x v="17"/>
    <x v="626"/>
    <x v="1213"/>
    <n v="1195000"/>
    <x v="287"/>
    <x v="0"/>
    <x v="110"/>
    <x v="2"/>
    <x v="1"/>
    <x v="1"/>
    <s v="Second           "/>
    <s v="2497 cc "/>
    <s v="177  bhp @4000            "/>
    <n v="177"/>
    <n v="4.8410000000000002"/>
    <n v="1.8460000000000001"/>
    <n v="1.468"/>
    <n v="5"/>
    <x v="1"/>
    <n v="70"/>
  </r>
  <r>
    <x v="5"/>
    <x v="306"/>
    <x v="1214"/>
    <n v="1199000"/>
    <x v="288"/>
    <x v="14"/>
    <x v="568"/>
    <x v="0"/>
    <x v="0"/>
    <x v="0"/>
    <s v="Second           "/>
    <s v="1497 cc "/>
    <s v="117 bhp @ 6600 rpm  "/>
    <n v="117"/>
    <n v="4.4400000000000004"/>
    <n v="1.6950000000000001"/>
    <n v="1.4950000000000001"/>
    <n v="5"/>
    <x v="1"/>
    <n v="40"/>
  </r>
  <r>
    <x v="4"/>
    <x v="627"/>
    <x v="1215"/>
    <n v="1199000"/>
    <x v="288"/>
    <x v="1"/>
    <x v="569"/>
    <x v="2"/>
    <x v="0"/>
    <x v="2"/>
    <s v="First            "/>
    <s v="2982 cc "/>
    <s v="169 bhp @ 3600 rpm  "/>
    <n v="169"/>
    <n v="4.7050000000000001"/>
    <n v="1.84"/>
    <n v="1.85"/>
    <n v="7"/>
    <x v="1"/>
    <n v="80"/>
  </r>
  <r>
    <x v="13"/>
    <x v="628"/>
    <x v="1216"/>
    <n v="1200000"/>
    <x v="289"/>
    <x v="15"/>
    <x v="570"/>
    <x v="0"/>
    <x v="0"/>
    <x v="2"/>
    <s v="First            "/>
    <s v="999 cc  "/>
    <s v="109 bhp @ 5000 rpm  "/>
    <n v="109"/>
    <n v="4.3899999999999997"/>
    <n v="1.6990000000000001"/>
    <n v="1.4670000000000001"/>
    <n v="5"/>
    <x v="1"/>
    <n v="55"/>
  </r>
  <r>
    <x v="1"/>
    <x v="629"/>
    <x v="1217"/>
    <n v="1200000"/>
    <x v="289"/>
    <x v="13"/>
    <x v="571"/>
    <x v="2"/>
    <x v="1"/>
    <x v="2"/>
    <s v="Second           "/>
    <s v="1582 cc "/>
    <s v="126 bhp @ 4000 rpm  "/>
    <n v="126"/>
    <n v="4.2699999999999996"/>
    <n v="1.78"/>
    <n v="1.665"/>
    <n v="5"/>
    <x v="1"/>
    <n v="55"/>
  </r>
  <r>
    <x v="19"/>
    <x v="630"/>
    <x v="1218"/>
    <n v="1200000"/>
    <x v="289"/>
    <x v="10"/>
    <x v="572"/>
    <x v="2"/>
    <x v="1"/>
    <x v="0"/>
    <s v="First            "/>
    <s v="1984 cc "/>
    <s v="150 bhp @ 3500 rpm  "/>
    <n v="150"/>
    <n v="4.37"/>
    <n v="1.7829999999999999"/>
    <n v="1.458"/>
    <n v="5"/>
    <x v="1"/>
    <n v="60"/>
  </r>
  <r>
    <x v="0"/>
    <x v="631"/>
    <x v="1219"/>
    <n v="1200000"/>
    <x v="289"/>
    <x v="9"/>
    <x v="573"/>
    <x v="2"/>
    <x v="1"/>
    <x v="7"/>
    <s v="First            "/>
    <s v="2179 cc "/>
    <s v="154 bhp @ 4000 rpm  "/>
    <n v="154"/>
    <n v="4.7880000000000003"/>
    <n v="1.903"/>
    <n v="1.7909999999999999"/>
    <n v="7"/>
    <x v="1"/>
    <n v="60"/>
  </r>
  <r>
    <x v="8"/>
    <x v="618"/>
    <x v="1220"/>
    <n v="1220000"/>
    <x v="290"/>
    <x v="14"/>
    <x v="56"/>
    <x v="2"/>
    <x v="0"/>
    <x v="0"/>
    <s v="First            "/>
    <s v="2179 cc "/>
    <s v="120 bhp @ 4000 rpm  "/>
    <n v="120"/>
    <n v="4.4560000000000004"/>
    <n v="1.82"/>
    <n v="1.9950000000000001"/>
    <n v="7"/>
    <x v="1"/>
    <n v="60"/>
  </r>
  <r>
    <x v="8"/>
    <x v="618"/>
    <x v="1221"/>
    <n v="1221000"/>
    <x v="291"/>
    <x v="13"/>
    <x v="117"/>
    <x v="2"/>
    <x v="0"/>
    <x v="0"/>
    <s v="First            "/>
    <s v="2179 cc "/>
    <s v="120 bhp @ 4000 rpm  "/>
    <n v="120"/>
    <n v="4.4560000000000004"/>
    <n v="1.82"/>
    <n v="1.9950000000000001"/>
    <n v="7"/>
    <x v="1"/>
    <n v="60"/>
  </r>
  <r>
    <x v="2"/>
    <x v="560"/>
    <x v="1222"/>
    <n v="1225000"/>
    <x v="292"/>
    <x v="16"/>
    <x v="425"/>
    <x v="0"/>
    <x v="0"/>
    <x v="2"/>
    <s v="First            "/>
    <s v="1462 cc "/>
    <s v="103 bhp @ 6000 rpm  "/>
    <n v="103"/>
    <n v="4.4450000000000003"/>
    <n v="1.7749999999999999"/>
    <n v="1.7"/>
    <n v="6"/>
    <x v="1"/>
    <n v="45"/>
  </r>
  <r>
    <x v="2"/>
    <x v="632"/>
    <x v="1223"/>
    <n v="1225000"/>
    <x v="292"/>
    <x v="15"/>
    <x v="20"/>
    <x v="0"/>
    <x v="0"/>
    <x v="0"/>
    <s v="First            "/>
    <s v="1462 cc "/>
    <s v="103 bhp @ 6000 rpm  "/>
    <n v="103"/>
    <n v="4.3949999999999996"/>
    <n v="1.7350000000000001"/>
    <n v="1.69"/>
    <n v="7"/>
    <x v="1"/>
    <n v="45"/>
  </r>
  <r>
    <x v="1"/>
    <x v="524"/>
    <x v="1224"/>
    <n v="1225000"/>
    <x v="292"/>
    <x v="13"/>
    <x v="119"/>
    <x v="2"/>
    <x v="0"/>
    <x v="0"/>
    <s v="First            "/>
    <s v="1582 cc "/>
    <s v="126 bhp @ 4000 rpm  "/>
    <n v="126"/>
    <n v="4.2699999999999996"/>
    <n v="1.78"/>
    <n v="1.665"/>
    <n v="5"/>
    <x v="1"/>
    <n v="55"/>
  </r>
  <r>
    <x v="4"/>
    <x v="633"/>
    <x v="1225"/>
    <n v="1225000"/>
    <x v="292"/>
    <x v="1"/>
    <x v="168"/>
    <x v="2"/>
    <x v="0"/>
    <x v="0"/>
    <s v="Second           "/>
    <s v="2982 cc "/>
    <s v="169 bhp @ 3600 rpm  "/>
    <n v="169"/>
    <n v="4.7050000000000001"/>
    <n v="1.84"/>
    <n v="1.85"/>
    <n v="7"/>
    <x v="1"/>
    <n v="80"/>
  </r>
  <r>
    <x v="1"/>
    <x v="629"/>
    <x v="1226"/>
    <n v="1240000"/>
    <x v="293"/>
    <x v="12"/>
    <x v="574"/>
    <x v="2"/>
    <x v="1"/>
    <x v="2"/>
    <s v="First            "/>
    <s v="1582 cc "/>
    <s v="126 bhp @ 4000 rpm  "/>
    <n v="126"/>
    <n v="4.2699999999999996"/>
    <n v="1.78"/>
    <n v="1.665"/>
    <n v="5"/>
    <x v="1"/>
    <n v="55"/>
  </r>
  <r>
    <x v="20"/>
    <x v="634"/>
    <x v="1227"/>
    <n v="1240000"/>
    <x v="293"/>
    <x v="9"/>
    <x v="38"/>
    <x v="2"/>
    <x v="0"/>
    <x v="0"/>
    <s v="First            "/>
    <s v="1956 cc "/>
    <s v="171 bhp @ 3750 rpm  "/>
    <n v="171"/>
    <n v="4.3949999999999996"/>
    <n v="1.8180000000000001"/>
    <n v="1.64"/>
    <n v="5"/>
    <x v="1"/>
    <n v="60"/>
  </r>
  <r>
    <x v="2"/>
    <x v="560"/>
    <x v="1228"/>
    <n v="1245000"/>
    <x v="294"/>
    <x v="15"/>
    <x v="575"/>
    <x v="0"/>
    <x v="0"/>
    <x v="0"/>
    <s v="First            "/>
    <s v="1462 cc "/>
    <s v="103 bhp @ 6000 rpm  "/>
    <n v="103"/>
    <n v="4.4450000000000003"/>
    <n v="1.7749999999999999"/>
    <n v="1.7"/>
    <n v="6"/>
    <x v="1"/>
    <n v="45"/>
  </r>
  <r>
    <x v="1"/>
    <x v="582"/>
    <x v="1229"/>
    <n v="1245000"/>
    <x v="294"/>
    <x v="15"/>
    <x v="576"/>
    <x v="0"/>
    <x v="1"/>
    <x v="4"/>
    <s v="First            "/>
    <s v="998 cc  "/>
    <s v="118 bhp @ 6000 rpm  "/>
    <n v="118"/>
    <n v="3.9950000000000001"/>
    <n v="1.7749999999999999"/>
    <n v="1.5049999999999999"/>
    <n v="5"/>
    <x v="1"/>
    <n v="37"/>
  </r>
  <r>
    <x v="19"/>
    <x v="635"/>
    <x v="1230"/>
    <n v="1250000"/>
    <x v="295"/>
    <x v="8"/>
    <x v="577"/>
    <x v="2"/>
    <x v="1"/>
    <x v="1"/>
    <s v="First            "/>
    <s v="1984 cc "/>
    <s v="150 bhp @ 3500 rpm  "/>
    <n v="150"/>
    <n v="4.37"/>
    <n v="1.7829999999999999"/>
    <n v="1.458"/>
    <n v="5"/>
    <x v="1"/>
    <n v="60"/>
  </r>
  <r>
    <x v="20"/>
    <x v="636"/>
    <x v="1231"/>
    <n v="1250000"/>
    <x v="295"/>
    <x v="9"/>
    <x v="578"/>
    <x v="0"/>
    <x v="1"/>
    <x v="0"/>
    <s v="First            "/>
    <s v="1368 cc "/>
    <s v="160 bhp @ 5500 rpm  "/>
    <n v="160"/>
    <n v="4.3949999999999996"/>
    <n v="1.8180000000000001"/>
    <n v="1.64"/>
    <n v="5"/>
    <x v="1"/>
    <n v="60"/>
  </r>
  <r>
    <x v="14"/>
    <x v="562"/>
    <x v="1232"/>
    <n v="1250000"/>
    <x v="295"/>
    <x v="1"/>
    <x v="101"/>
    <x v="2"/>
    <x v="1"/>
    <x v="0"/>
    <s v="First            "/>
    <s v="2143 cc "/>
    <s v="170 bhp @ 4200 rpm  "/>
    <n v="170"/>
    <n v="4.5960000000000001"/>
    <n v="1.77"/>
    <n v="1.4470000000000001"/>
    <n v="5"/>
    <x v="1"/>
    <n v="66"/>
  </r>
  <r>
    <x v="20"/>
    <x v="634"/>
    <x v="1233"/>
    <n v="1250000"/>
    <x v="295"/>
    <x v="12"/>
    <x v="14"/>
    <x v="2"/>
    <x v="0"/>
    <x v="1"/>
    <s v="First            "/>
    <s v="1956 cc "/>
    <s v="171 bhp @ 3750 rpm  "/>
    <n v="171"/>
    <n v="4.3949999999999996"/>
    <n v="1.8180000000000001"/>
    <n v="1.64"/>
    <n v="5"/>
    <x v="1"/>
    <n v="60"/>
  </r>
  <r>
    <x v="8"/>
    <x v="637"/>
    <x v="1234"/>
    <n v="1251000"/>
    <x v="296"/>
    <x v="12"/>
    <x v="171"/>
    <x v="2"/>
    <x v="0"/>
    <x v="8"/>
    <s v="Second           "/>
    <s v="2179 cc "/>
    <s v="140 bhp @ 3750 rpm  "/>
    <n v="140"/>
    <n v="4.4560000000000004"/>
    <n v="1.82"/>
    <n v="1.9950000000000001"/>
    <n v="7"/>
    <x v="1"/>
    <n v="60"/>
  </r>
  <r>
    <x v="5"/>
    <x v="306"/>
    <x v="1235"/>
    <n v="1255000"/>
    <x v="297"/>
    <x v="15"/>
    <x v="349"/>
    <x v="0"/>
    <x v="0"/>
    <x v="0"/>
    <s v="First            "/>
    <s v="1497 cc "/>
    <s v="117 bhp @ 6600 rpm  "/>
    <n v="117"/>
    <n v="4.4400000000000004"/>
    <n v="1.6950000000000001"/>
    <n v="1.4950000000000001"/>
    <n v="5"/>
    <x v="1"/>
    <n v="40"/>
  </r>
  <r>
    <x v="1"/>
    <x v="590"/>
    <x v="1236"/>
    <n v="1260000"/>
    <x v="298"/>
    <x v="12"/>
    <x v="318"/>
    <x v="0"/>
    <x v="1"/>
    <x v="2"/>
    <s v="First            "/>
    <s v="1591 cc "/>
    <s v="122 bhp @ 6400 rpm  "/>
    <n v="122"/>
    <n v="4.2699999999999996"/>
    <n v="1.78"/>
    <n v="1.665"/>
    <n v="5"/>
    <x v="1"/>
    <n v="55"/>
  </r>
  <r>
    <x v="1"/>
    <x v="557"/>
    <x v="1237"/>
    <n v="1260000"/>
    <x v="298"/>
    <x v="12"/>
    <x v="579"/>
    <x v="0"/>
    <x v="1"/>
    <x v="0"/>
    <s v="First            "/>
    <s v="1591 cc "/>
    <s v="122 bhp @ 6400 rpm  "/>
    <n v="122"/>
    <n v="4.2699999999999996"/>
    <n v="1.78"/>
    <n v="1.63"/>
    <n v="5"/>
    <x v="1"/>
    <n v="60"/>
  </r>
  <r>
    <x v="8"/>
    <x v="638"/>
    <x v="1238"/>
    <n v="1270000"/>
    <x v="299"/>
    <x v="13"/>
    <x v="580"/>
    <x v="2"/>
    <x v="0"/>
    <x v="0"/>
    <s v="First            "/>
    <s v="2179 cc "/>
    <s v="140 bhp @ 3750 rpm  "/>
    <n v="140"/>
    <n v="4.4560000000000004"/>
    <n v="1.82"/>
    <n v="1.9950000000000001"/>
    <n v="7"/>
    <x v="1"/>
    <n v="60"/>
  </r>
  <r>
    <x v="21"/>
    <x v="639"/>
    <x v="1239"/>
    <n v="1275000"/>
    <x v="300"/>
    <x v="14"/>
    <x v="61"/>
    <x v="0"/>
    <x v="0"/>
    <x v="8"/>
    <s v="First            "/>
    <s v="1497 cc "/>
    <s v="113 bhp @ 6300 rpm  "/>
    <n v="113"/>
    <n v="4.3150000000000004"/>
    <n v="1.8"/>
    <n v="1.645"/>
    <n v="5"/>
    <x v="1"/>
    <n v="50"/>
  </r>
  <r>
    <x v="21"/>
    <x v="640"/>
    <x v="1240"/>
    <n v="1275000"/>
    <x v="300"/>
    <x v="15"/>
    <x v="83"/>
    <x v="2"/>
    <x v="1"/>
    <x v="0"/>
    <s v="First            "/>
    <s v="1493 cc "/>
    <s v="113 bhp @ 4000 rpm  "/>
    <n v="113"/>
    <n v="4.3150000000000004"/>
    <n v="1.8"/>
    <n v="1.645"/>
    <n v="5"/>
    <x v="1"/>
    <n v="50"/>
  </r>
  <r>
    <x v="1"/>
    <x v="606"/>
    <x v="1241"/>
    <n v="1275000"/>
    <x v="300"/>
    <x v="13"/>
    <x v="265"/>
    <x v="0"/>
    <x v="0"/>
    <x v="2"/>
    <s v="First            "/>
    <s v="1591 cc "/>
    <s v="122 bhp @ 6400 rpm  "/>
    <n v="122"/>
    <n v="4.2699999999999996"/>
    <n v="1.78"/>
    <n v="1.665"/>
    <n v="5"/>
    <x v="1"/>
    <n v="55"/>
  </r>
  <r>
    <x v="1"/>
    <x v="524"/>
    <x v="1242"/>
    <n v="1275000"/>
    <x v="300"/>
    <x v="13"/>
    <x v="581"/>
    <x v="2"/>
    <x v="0"/>
    <x v="0"/>
    <s v="First            "/>
    <s v="1582 cc "/>
    <s v="126 bhp @ 4000 rpm  "/>
    <n v="126"/>
    <n v="4.2699999999999996"/>
    <n v="1.78"/>
    <n v="1.665"/>
    <n v="5"/>
    <x v="1"/>
    <n v="55"/>
  </r>
  <r>
    <x v="8"/>
    <x v="641"/>
    <x v="1243"/>
    <n v="1275000"/>
    <x v="300"/>
    <x v="12"/>
    <x v="119"/>
    <x v="2"/>
    <x v="0"/>
    <x v="0"/>
    <s v="First            "/>
    <s v="2179 cc "/>
    <s v="153 bhp @ 3750 rpm  "/>
    <n v="153"/>
    <n v="4.585"/>
    <n v="1.89"/>
    <n v="1.7849999999999999"/>
    <n v="7"/>
    <x v="1"/>
    <n v="70"/>
  </r>
  <r>
    <x v="14"/>
    <x v="642"/>
    <x v="1244"/>
    <n v="1275000"/>
    <x v="300"/>
    <x v="1"/>
    <x v="582"/>
    <x v="2"/>
    <x v="1"/>
    <x v="10"/>
    <s v="Second           "/>
    <s v="2143 cc "/>
    <s v="231 bhp @ 3000 rpm  "/>
    <n v="231"/>
    <n v="4.8680000000000003"/>
    <n v="1.8540000000000001"/>
    <n v="1.47"/>
    <n v="5"/>
    <x v="1"/>
    <n v="80"/>
  </r>
  <r>
    <x v="4"/>
    <x v="643"/>
    <x v="1245"/>
    <n v="1290000"/>
    <x v="301"/>
    <x v="6"/>
    <x v="21"/>
    <x v="2"/>
    <x v="0"/>
    <x v="1"/>
    <s v="Second           "/>
    <s v="2494 cc "/>
    <s v="100 bhp @ 3600 rpm  "/>
    <n v="100"/>
    <n v="4.585"/>
    <n v="1.76"/>
    <n v="1.76"/>
    <n v="7"/>
    <x v="1"/>
    <n v="55"/>
  </r>
  <r>
    <x v="4"/>
    <x v="627"/>
    <x v="1246"/>
    <n v="1290000"/>
    <x v="301"/>
    <x v="1"/>
    <x v="432"/>
    <x v="2"/>
    <x v="0"/>
    <x v="5"/>
    <s v="Second           "/>
    <s v="2982 cc "/>
    <s v="169 bhp @ 3600 rpm  "/>
    <n v="169"/>
    <n v="4.7050000000000001"/>
    <n v="1.84"/>
    <n v="1.85"/>
    <n v="7"/>
    <x v="1"/>
    <n v="80"/>
  </r>
  <r>
    <x v="1"/>
    <x v="590"/>
    <x v="1247"/>
    <n v="1295000"/>
    <x v="302"/>
    <x v="12"/>
    <x v="83"/>
    <x v="0"/>
    <x v="1"/>
    <x v="8"/>
    <s v="First            "/>
    <s v="1591 cc "/>
    <s v="122 bhp @ 6400 rpm  "/>
    <n v="122"/>
    <n v="4.2699999999999996"/>
    <n v="1.78"/>
    <n v="1.665"/>
    <n v="5"/>
    <x v="1"/>
    <n v="55"/>
  </r>
  <r>
    <x v="4"/>
    <x v="601"/>
    <x v="1248"/>
    <n v="1295000"/>
    <x v="302"/>
    <x v="12"/>
    <x v="583"/>
    <x v="0"/>
    <x v="1"/>
    <x v="13"/>
    <s v="First            "/>
    <s v="1798 cc "/>
    <s v="138 bhp @ 6400 rpm  "/>
    <n v="138"/>
    <n v="4.62"/>
    <n v="1.7749999999999999"/>
    <n v="1.4750000000000001"/>
    <n v="5"/>
    <x v="1"/>
    <n v="55"/>
  </r>
  <r>
    <x v="2"/>
    <x v="644"/>
    <x v="1249"/>
    <n v="1299000"/>
    <x v="303"/>
    <x v="15"/>
    <x v="584"/>
    <x v="0"/>
    <x v="0"/>
    <x v="0"/>
    <s v="First            "/>
    <s v="1462 cc "/>
    <s v="103 bhp @ 6000 rpm  "/>
    <n v="103"/>
    <n v="4.4450000000000003"/>
    <n v="1.7749999999999999"/>
    <n v="1.7"/>
    <n v="6"/>
    <x v="1"/>
    <n v="45"/>
  </r>
  <r>
    <x v="8"/>
    <x v="645"/>
    <x v="1250"/>
    <n v="1299000"/>
    <x v="303"/>
    <x v="14"/>
    <x v="585"/>
    <x v="2"/>
    <x v="0"/>
    <x v="0"/>
    <s v="First            "/>
    <s v="1497 cc "/>
    <s v="115 bhp @ 3750 rpm  "/>
    <n v="115"/>
    <n v="3.9950000000000001"/>
    <n v="1.821"/>
    <n v="1.627"/>
    <n v="5"/>
    <x v="1"/>
    <n v="42"/>
  </r>
  <r>
    <x v="1"/>
    <x v="557"/>
    <x v="1251"/>
    <n v="1299000"/>
    <x v="303"/>
    <x v="12"/>
    <x v="15"/>
    <x v="0"/>
    <x v="1"/>
    <x v="0"/>
    <s v="First            "/>
    <s v="1591 cc "/>
    <s v="122 bhp @ 6400 rpm  "/>
    <n v="122"/>
    <n v="4.2699999999999996"/>
    <n v="1.78"/>
    <n v="1.63"/>
    <n v="5"/>
    <x v="1"/>
    <n v="60"/>
  </r>
  <r>
    <x v="1"/>
    <x v="524"/>
    <x v="1252"/>
    <n v="1299000"/>
    <x v="303"/>
    <x v="13"/>
    <x v="170"/>
    <x v="2"/>
    <x v="0"/>
    <x v="0"/>
    <s v="First            "/>
    <s v="1582 cc "/>
    <s v="126 bhp @ 4000 rpm  "/>
    <n v="126"/>
    <n v="4.2699999999999996"/>
    <n v="1.78"/>
    <n v="1.665"/>
    <n v="5"/>
    <x v="1"/>
    <n v="55"/>
  </r>
  <r>
    <x v="22"/>
    <x v="646"/>
    <x v="1253"/>
    <n v="1300000"/>
    <x v="304"/>
    <x v="8"/>
    <x v="586"/>
    <x v="2"/>
    <x v="1"/>
    <x v="11"/>
    <s v="Second           "/>
    <s v="1995 cc "/>
    <s v="112 bhp @           "/>
    <n v="112"/>
    <n v="4.0970000000000004"/>
    <n v="1.7889999999999999"/>
    <n v="1.5609999999999999"/>
    <n v="5"/>
    <x v="1"/>
    <n v="47"/>
  </r>
  <r>
    <x v="21"/>
    <x v="647"/>
    <x v="1254"/>
    <n v="1300000"/>
    <x v="304"/>
    <x v="14"/>
    <x v="86"/>
    <x v="2"/>
    <x v="0"/>
    <x v="1"/>
    <s v="First            "/>
    <s v="1493 cc "/>
    <s v="113 bhp @ 4000 rpm  "/>
    <n v="113"/>
    <n v="4.3150000000000004"/>
    <n v="1.8"/>
    <n v="1.645"/>
    <n v="5"/>
    <x v="1"/>
    <n v="50"/>
  </r>
  <r>
    <x v="18"/>
    <x v="648"/>
    <x v="1255"/>
    <n v="1300000"/>
    <x v="304"/>
    <x v="6"/>
    <x v="39"/>
    <x v="2"/>
    <x v="1"/>
    <x v="5"/>
    <s v="Second           "/>
    <s v="1968 cc "/>
    <s v="174 bhp @ 4200 rpm  "/>
    <n v="174"/>
    <n v="4.3849999999999998"/>
    <n v="1.831"/>
    <n v="1.6080000000000001"/>
    <n v="5"/>
    <x v="1"/>
    <n v="64"/>
  </r>
  <r>
    <x v="15"/>
    <x v="649"/>
    <x v="1256"/>
    <n v="1300000"/>
    <x v="304"/>
    <x v="8"/>
    <x v="63"/>
    <x v="2"/>
    <x v="0"/>
    <x v="7"/>
    <s v="Second           "/>
    <s v="2477 cc "/>
    <s v="176 bhp @ 4000 rpm  "/>
    <n v="176"/>
    <n v="4.6950000000000003"/>
    <n v="1.8149999999999999"/>
    <n v="1.84"/>
    <n v="7"/>
    <x v="1"/>
    <n v="70"/>
  </r>
  <r>
    <x v="9"/>
    <x v="650"/>
    <x v="1257"/>
    <n v="1300000"/>
    <x v="304"/>
    <x v="11"/>
    <x v="17"/>
    <x v="0"/>
    <x v="1"/>
    <x v="2"/>
    <s v="Second           "/>
    <s v="1798 cc "/>
    <s v="177 bhp @ 5100 rpm  "/>
    <n v="177"/>
    <n v="4.67"/>
    <n v="1.8140000000000001"/>
    <n v="1.476"/>
    <n v="5"/>
    <x v="1"/>
    <n v="50"/>
  </r>
  <r>
    <x v="14"/>
    <x v="651"/>
    <x v="1258"/>
    <n v="1300000"/>
    <x v="304"/>
    <x v="17"/>
    <x v="154"/>
    <x v="0"/>
    <x v="1"/>
    <x v="4"/>
    <s v="Third            "/>
    <s v="1991 cc "/>
    <s v="181 bhp @ 5500 rpm  "/>
    <n v="181"/>
    <n v="5.0629999999999997"/>
    <n v="1.86"/>
    <n v="1.494"/>
    <n v="5"/>
    <x v="1"/>
    <n v="80"/>
  </r>
  <r>
    <x v="14"/>
    <x v="652"/>
    <x v="1259"/>
    <n v="1300000"/>
    <x v="304"/>
    <x v="1"/>
    <x v="587"/>
    <x v="0"/>
    <x v="1"/>
    <x v="1"/>
    <s v="First            "/>
    <s v="1796 cc "/>
    <s v="186 bhp @ 5600 rpm  "/>
    <n v="186"/>
    <n v="4.5960000000000001"/>
    <n v="1.77"/>
    <n v="1.4470000000000001"/>
    <n v="5"/>
    <x v="1"/>
    <n v="66"/>
  </r>
  <r>
    <x v="4"/>
    <x v="536"/>
    <x v="1260"/>
    <n v="1321000"/>
    <x v="305"/>
    <x v="12"/>
    <x v="194"/>
    <x v="0"/>
    <x v="1"/>
    <x v="5"/>
    <s v="First            "/>
    <s v="1798 cc "/>
    <s v="138 bhp @ 6400 rpm  "/>
    <n v="138"/>
    <n v="4.62"/>
    <n v="1.7749999999999999"/>
    <n v="1.4750000000000001"/>
    <n v="5"/>
    <x v="1"/>
    <n v="55"/>
  </r>
  <r>
    <x v="21"/>
    <x v="625"/>
    <x v="1261"/>
    <n v="1325000"/>
    <x v="306"/>
    <x v="15"/>
    <x v="42"/>
    <x v="0"/>
    <x v="0"/>
    <x v="6"/>
    <s v="First            "/>
    <s v="998 cc  "/>
    <s v="118 bhp @ 6000 rpm  "/>
    <n v="118"/>
    <n v="3.9950000000000001"/>
    <n v="1.79"/>
    <n v="1.647"/>
    <n v="5"/>
    <x v="1"/>
    <n v="45"/>
  </r>
  <r>
    <x v="1"/>
    <x v="238"/>
    <x v="1262"/>
    <n v="1325000"/>
    <x v="306"/>
    <x v="15"/>
    <x v="588"/>
    <x v="0"/>
    <x v="1"/>
    <x v="7"/>
    <s v="First            "/>
    <s v="1591 cc "/>
    <s v="121 bhp @ 6300 rpm  "/>
    <n v="121"/>
    <n v="4.37"/>
    <n v="1.7"/>
    <n v="1.4750000000000001"/>
    <n v="5"/>
    <x v="1"/>
    <n v="43"/>
  </r>
  <r>
    <x v="18"/>
    <x v="622"/>
    <x v="1263"/>
    <n v="1325000"/>
    <x v="306"/>
    <x v="1"/>
    <x v="589"/>
    <x v="2"/>
    <x v="1"/>
    <x v="0"/>
    <s v="First            "/>
    <s v="1968 cc "/>
    <s v="177 bhp @ 3750 rpm  "/>
    <n v="177"/>
    <n v="4.915"/>
    <n v="1.8740000000000001"/>
    <n v="1.4550000000000001"/>
    <n v="5"/>
    <x v="1"/>
    <n v="65"/>
  </r>
  <r>
    <x v="5"/>
    <x v="471"/>
    <x v="1264"/>
    <n v="1340000"/>
    <x v="307"/>
    <x v="15"/>
    <x v="421"/>
    <x v="0"/>
    <x v="1"/>
    <x v="8"/>
    <s v="First            "/>
    <s v="1497 cc "/>
    <s v="117 bhp @ 6600 rpm  "/>
    <n v="117"/>
    <n v="4.4400000000000004"/>
    <n v="1.6950000000000001"/>
    <n v="1.4950000000000001"/>
    <n v="5"/>
    <x v="1"/>
    <n v="40"/>
  </r>
  <r>
    <x v="21"/>
    <x v="653"/>
    <x v="1265"/>
    <n v="1350000"/>
    <x v="308"/>
    <x v="13"/>
    <x v="65"/>
    <x v="2"/>
    <x v="0"/>
    <x v="2"/>
    <s v="Second           "/>
    <s v="1493 cc "/>
    <s v="113 bhp @ 4000 rpm  "/>
    <n v="113"/>
    <n v="4.3150000000000004"/>
    <n v="1.8"/>
    <n v="1.645"/>
    <n v="5"/>
    <x v="1"/>
    <n v="50"/>
  </r>
  <r>
    <x v="14"/>
    <x v="654"/>
    <x v="1266"/>
    <n v="1350000"/>
    <x v="308"/>
    <x v="6"/>
    <x v="3"/>
    <x v="0"/>
    <x v="1"/>
    <x v="0"/>
    <s v="Third            "/>
    <s v="1595 cc "/>
    <s v="121 bhp @ 5000 rpm  "/>
    <n v="121"/>
    <n v="4.2919999999999998"/>
    <n v="1.78"/>
    <n v="1.4330000000000001"/>
    <n v="4"/>
    <x v="0"/>
    <n v="50"/>
  </r>
  <r>
    <x v="8"/>
    <x v="637"/>
    <x v="1267"/>
    <n v="1350000"/>
    <x v="308"/>
    <x v="12"/>
    <x v="590"/>
    <x v="2"/>
    <x v="0"/>
    <x v="8"/>
    <s v="First            "/>
    <s v="2179 cc "/>
    <s v="140 bhp @ 3750 rpm  "/>
    <n v="140"/>
    <n v="4.4560000000000004"/>
    <n v="1.82"/>
    <n v="1.9950000000000001"/>
    <n v="7"/>
    <x v="1"/>
    <n v="60"/>
  </r>
  <r>
    <x v="18"/>
    <x v="655"/>
    <x v="1268"/>
    <n v="1350000"/>
    <x v="308"/>
    <x v="10"/>
    <x v="0"/>
    <x v="2"/>
    <x v="1"/>
    <x v="8"/>
    <s v="First            "/>
    <s v="1968 cc "/>
    <s v="141 bhp @ 3500 rpm  "/>
    <n v="141"/>
    <n v="4.4560000000000004"/>
    <n v="1.796"/>
    <n v="1.4159999999999999"/>
    <n v="5"/>
    <x v="1"/>
    <n v="50"/>
  </r>
  <r>
    <x v="20"/>
    <x v="656"/>
    <x v="1269"/>
    <n v="1350000"/>
    <x v="308"/>
    <x v="9"/>
    <x v="26"/>
    <x v="0"/>
    <x v="1"/>
    <x v="7"/>
    <s v="First            "/>
    <s v="1368 cc "/>
    <s v="160 bhp @ 5500 rpm  "/>
    <n v="160"/>
    <n v="4.3949999999999996"/>
    <n v="1.8180000000000001"/>
    <n v="1.64"/>
    <n v="5"/>
    <x v="1"/>
    <n v="60"/>
  </r>
  <r>
    <x v="18"/>
    <x v="657"/>
    <x v="1270"/>
    <n v="1350000"/>
    <x v="308"/>
    <x v="10"/>
    <x v="591"/>
    <x v="2"/>
    <x v="1"/>
    <x v="8"/>
    <s v="First            "/>
    <s v="1968 cc "/>
    <s v="174 bhp @ 4200 rpm  "/>
    <n v="174"/>
    <n v="4.3849999999999998"/>
    <n v="1.831"/>
    <n v="1.6080000000000001"/>
    <n v="5"/>
    <x v="1"/>
    <n v="64"/>
  </r>
  <r>
    <x v="18"/>
    <x v="657"/>
    <x v="1271"/>
    <n v="1350000"/>
    <x v="308"/>
    <x v="1"/>
    <x v="8"/>
    <x v="2"/>
    <x v="1"/>
    <x v="0"/>
    <s v="UnRegistered Car "/>
    <s v="1968 cc "/>
    <s v="174 bhp @ 4200 rpm  "/>
    <n v="174"/>
    <n v="4.3849999999999998"/>
    <n v="1.831"/>
    <n v="1.6080000000000001"/>
    <n v="5"/>
    <x v="1"/>
    <n v="64"/>
  </r>
  <r>
    <x v="14"/>
    <x v="616"/>
    <x v="1272"/>
    <n v="1350000"/>
    <x v="308"/>
    <x v="1"/>
    <x v="8"/>
    <x v="2"/>
    <x v="1"/>
    <x v="0"/>
    <s v="Second           "/>
    <s v="2987 cc "/>
    <s v="231  bhp @3800            "/>
    <n v="231"/>
    <n v="4.8680000000000003"/>
    <n v="1.8540000000000001"/>
    <n v="1.4710000000000001"/>
    <n v="5"/>
    <x v="1"/>
    <n v="80"/>
  </r>
  <r>
    <x v="1"/>
    <x v="658"/>
    <x v="1273"/>
    <n v="1375000"/>
    <x v="309"/>
    <x v="9"/>
    <x v="26"/>
    <x v="2"/>
    <x v="1"/>
    <x v="0"/>
    <s v="First            "/>
    <s v="1582 cc "/>
    <s v="126 bhp @ 4000 rpm  "/>
    <n v="126"/>
    <n v="4.2699999999999996"/>
    <n v="1.78"/>
    <n v="1.63"/>
    <n v="5"/>
    <x v="1"/>
    <n v="60"/>
  </r>
  <r>
    <x v="8"/>
    <x v="551"/>
    <x v="1274"/>
    <n v="1375000"/>
    <x v="309"/>
    <x v="11"/>
    <x v="592"/>
    <x v="2"/>
    <x v="0"/>
    <x v="8"/>
    <s v="First            "/>
    <s v="2179 cc "/>
    <s v="138 bhp @ 3750 rpm  "/>
    <n v="138"/>
    <n v="4.585"/>
    <n v="1.89"/>
    <n v="1.7849999999999999"/>
    <n v="7"/>
    <x v="1"/>
    <n v="70"/>
  </r>
  <r>
    <x v="8"/>
    <x v="659"/>
    <x v="1275"/>
    <n v="1375000"/>
    <x v="309"/>
    <x v="13"/>
    <x v="46"/>
    <x v="2"/>
    <x v="0"/>
    <x v="8"/>
    <s v="First            "/>
    <s v="2179 cc "/>
    <s v="140 bhp @ 3750 rpm  "/>
    <n v="140"/>
    <n v="4.4560000000000004"/>
    <n v="1.82"/>
    <n v="1.9950000000000001"/>
    <n v="7"/>
    <x v="1"/>
    <n v="60"/>
  </r>
  <r>
    <x v="4"/>
    <x v="633"/>
    <x v="1276"/>
    <n v="1375000"/>
    <x v="309"/>
    <x v="1"/>
    <x v="593"/>
    <x v="2"/>
    <x v="0"/>
    <x v="0"/>
    <s v="First            "/>
    <s v="2982 cc "/>
    <s v="169 bhp @ 3600 rpm  "/>
    <n v="169"/>
    <n v="4.7050000000000001"/>
    <n v="1.84"/>
    <n v="1.85"/>
    <n v="7"/>
    <x v="1"/>
    <n v="80"/>
  </r>
  <r>
    <x v="4"/>
    <x v="633"/>
    <x v="1277"/>
    <n v="1375000"/>
    <x v="309"/>
    <x v="8"/>
    <x v="168"/>
    <x v="2"/>
    <x v="0"/>
    <x v="0"/>
    <s v="First            "/>
    <s v="2982 cc "/>
    <s v="169 bhp @ 3600 rpm  "/>
    <n v="169"/>
    <n v="4.7050000000000001"/>
    <n v="1.84"/>
    <n v="1.85"/>
    <n v="7"/>
    <x v="1"/>
    <n v="80"/>
  </r>
  <r>
    <x v="4"/>
    <x v="633"/>
    <x v="1278"/>
    <n v="1375000"/>
    <x v="309"/>
    <x v="8"/>
    <x v="92"/>
    <x v="2"/>
    <x v="0"/>
    <x v="0"/>
    <s v="First            "/>
    <s v="2982 cc "/>
    <s v="169 bhp @ 3600 rpm  "/>
    <n v="169"/>
    <n v="4.7050000000000001"/>
    <n v="1.84"/>
    <n v="1.85"/>
    <n v="7"/>
    <x v="1"/>
    <n v="80"/>
  </r>
  <r>
    <x v="18"/>
    <x v="563"/>
    <x v="1279"/>
    <n v="1375000"/>
    <x v="309"/>
    <x v="4"/>
    <x v="11"/>
    <x v="2"/>
    <x v="1"/>
    <x v="0"/>
    <s v="First            "/>
    <s v="1968 cc "/>
    <s v="177 bhp @ 4200 rpm  "/>
    <n v="177"/>
    <n v="4.7009999999999996"/>
    <n v="1.8260000000000001"/>
    <n v="1.427"/>
    <n v="5"/>
    <x v="1"/>
    <n v="63"/>
  </r>
  <r>
    <x v="17"/>
    <x v="660"/>
    <x v="1280"/>
    <n v="1375000"/>
    <x v="309"/>
    <x v="8"/>
    <x v="32"/>
    <x v="2"/>
    <x v="1"/>
    <x v="0"/>
    <s v="Second           "/>
    <s v="1995 cc "/>
    <s v="188 bhp @ 4000 rpm  "/>
    <n v="188"/>
    <n v="4.633"/>
    <n v="1.8109999999999999"/>
    <n v="1.429"/>
    <n v="5"/>
    <x v="1"/>
    <n v="57"/>
  </r>
  <r>
    <x v="18"/>
    <x v="661"/>
    <x v="1281"/>
    <n v="1380000"/>
    <x v="310"/>
    <x v="6"/>
    <x v="386"/>
    <x v="2"/>
    <x v="1"/>
    <x v="8"/>
    <s v="First            "/>
    <s v="1968 cc "/>
    <s v="141 bhp @ 4200 rpm  "/>
    <n v="141"/>
    <n v="4.7009999999999996"/>
    <n v="1.8260000000000001"/>
    <n v="1.427"/>
    <n v="5"/>
    <x v="1"/>
    <n v="63"/>
  </r>
  <r>
    <x v="5"/>
    <x v="662"/>
    <x v="1282"/>
    <n v="1390000"/>
    <x v="311"/>
    <x v="16"/>
    <x v="34"/>
    <x v="0"/>
    <x v="1"/>
    <x v="10"/>
    <s v="First            "/>
    <s v="1498 cc "/>
    <s v="119 bhp @ 6600 rpm  "/>
    <n v="119"/>
    <n v="4.5490000000000004"/>
    <n v="1.748"/>
    <n v="1.4890000000000001"/>
    <n v="5"/>
    <x v="1"/>
    <n v="40"/>
  </r>
  <r>
    <x v="1"/>
    <x v="590"/>
    <x v="1283"/>
    <n v="1390000"/>
    <x v="311"/>
    <x v="13"/>
    <x v="594"/>
    <x v="0"/>
    <x v="1"/>
    <x v="0"/>
    <s v="First            "/>
    <s v="1591 cc "/>
    <s v="122 bhp @ 6400 rpm  "/>
    <n v="122"/>
    <n v="4.2699999999999996"/>
    <n v="1.78"/>
    <n v="1.665"/>
    <n v="5"/>
    <x v="1"/>
    <n v="55"/>
  </r>
  <r>
    <x v="18"/>
    <x v="663"/>
    <x v="1284"/>
    <n v="1390000"/>
    <x v="311"/>
    <x v="6"/>
    <x v="595"/>
    <x v="2"/>
    <x v="1"/>
    <x v="10"/>
    <s v="First            "/>
    <s v="1968 cc "/>
    <s v="141 bhp @ 3500 rpm  "/>
    <n v="141"/>
    <n v="4.4560000000000004"/>
    <n v="1.796"/>
    <n v="1.4159999999999999"/>
    <n v="5"/>
    <x v="1"/>
    <n v="50"/>
  </r>
  <r>
    <x v="18"/>
    <x v="657"/>
    <x v="1285"/>
    <n v="1390000"/>
    <x v="311"/>
    <x v="1"/>
    <x v="596"/>
    <x v="2"/>
    <x v="1"/>
    <x v="7"/>
    <s v="First            "/>
    <s v="1968 cc "/>
    <s v="174 bhp @ 4200 rpm  "/>
    <n v="174"/>
    <n v="4.3849999999999998"/>
    <n v="1.831"/>
    <n v="1.6080000000000001"/>
    <n v="5"/>
    <x v="1"/>
    <n v="64"/>
  </r>
  <r>
    <x v="9"/>
    <x v="650"/>
    <x v="1286"/>
    <n v="1390000"/>
    <x v="311"/>
    <x v="9"/>
    <x v="40"/>
    <x v="0"/>
    <x v="1"/>
    <x v="0"/>
    <s v="First            "/>
    <s v="1798 cc "/>
    <s v="177 bhp @ 5100 rpm  "/>
    <n v="177"/>
    <n v="4.67"/>
    <n v="1.8140000000000001"/>
    <n v="1.476"/>
    <n v="5"/>
    <x v="1"/>
    <n v="50"/>
  </r>
  <r>
    <x v="9"/>
    <x v="650"/>
    <x v="1287"/>
    <n v="1390000"/>
    <x v="311"/>
    <x v="9"/>
    <x v="40"/>
    <x v="0"/>
    <x v="1"/>
    <x v="0"/>
    <s v="First            "/>
    <s v="1798 cc "/>
    <s v="177 bhp @ 5100 rpm  "/>
    <n v="177"/>
    <n v="4.67"/>
    <n v="1.8140000000000001"/>
    <n v="1.476"/>
    <n v="5"/>
    <x v="1"/>
    <n v="50"/>
  </r>
  <r>
    <x v="17"/>
    <x v="660"/>
    <x v="1288"/>
    <n v="1395000"/>
    <x v="312"/>
    <x v="8"/>
    <x v="6"/>
    <x v="2"/>
    <x v="1"/>
    <x v="8"/>
    <s v="Second           "/>
    <s v="1995 cc "/>
    <s v="188 bhp @ 4000 rpm  "/>
    <n v="188"/>
    <n v="4.633"/>
    <n v="1.8109999999999999"/>
    <n v="1.429"/>
    <n v="5"/>
    <x v="1"/>
    <n v="57"/>
  </r>
  <r>
    <x v="21"/>
    <x v="639"/>
    <x v="1289"/>
    <n v="1399000"/>
    <x v="313"/>
    <x v="15"/>
    <x v="421"/>
    <x v="0"/>
    <x v="0"/>
    <x v="1"/>
    <s v="First            "/>
    <s v="1497 cc "/>
    <s v="113 bhp @ 6300 rpm  "/>
    <n v="113"/>
    <n v="4.3150000000000004"/>
    <n v="1.8"/>
    <n v="1.645"/>
    <n v="5"/>
    <x v="1"/>
    <n v="50"/>
  </r>
  <r>
    <x v="1"/>
    <x v="557"/>
    <x v="1290"/>
    <n v="1400000"/>
    <x v="314"/>
    <x v="13"/>
    <x v="324"/>
    <x v="0"/>
    <x v="1"/>
    <x v="0"/>
    <s v="First            "/>
    <s v="1591 cc "/>
    <s v="122 bhp @ 6400 rpm  "/>
    <n v="122"/>
    <n v="4.2699999999999996"/>
    <n v="1.78"/>
    <n v="1.63"/>
    <n v="5"/>
    <x v="1"/>
    <n v="60"/>
  </r>
  <r>
    <x v="9"/>
    <x v="664"/>
    <x v="1291"/>
    <n v="1400000"/>
    <x v="314"/>
    <x v="14"/>
    <x v="597"/>
    <x v="2"/>
    <x v="1"/>
    <x v="2"/>
    <s v="First            "/>
    <s v="1968 cc "/>
    <s v="141 bhp @ 3500 rpm  "/>
    <n v="141"/>
    <n v="4.67"/>
    <n v="1.8140000000000001"/>
    <n v="1.476"/>
    <n v="5"/>
    <x v="1"/>
    <n v="50"/>
  </r>
  <r>
    <x v="4"/>
    <x v="592"/>
    <x v="1292"/>
    <n v="1400000"/>
    <x v="314"/>
    <x v="6"/>
    <x v="308"/>
    <x v="2"/>
    <x v="1"/>
    <x v="0"/>
    <s v="Second           "/>
    <s v="2982 cc "/>
    <s v="169 bhp @ 3600 rpm  "/>
    <n v="169"/>
    <n v="4.7050000000000001"/>
    <n v="1.84"/>
    <n v="1.85"/>
    <n v="7"/>
    <x v="1"/>
    <n v="80"/>
  </r>
  <r>
    <x v="18"/>
    <x v="622"/>
    <x v="1293"/>
    <n v="1400000"/>
    <x v="314"/>
    <x v="8"/>
    <x v="0"/>
    <x v="2"/>
    <x v="1"/>
    <x v="2"/>
    <s v="Second           "/>
    <s v="1968 cc "/>
    <s v="177 bhp @ 3750 rpm  "/>
    <n v="177"/>
    <n v="4.915"/>
    <n v="1.8740000000000001"/>
    <n v="1.4550000000000001"/>
    <n v="5"/>
    <x v="1"/>
    <n v="65"/>
  </r>
  <r>
    <x v="17"/>
    <x v="665"/>
    <x v="1294"/>
    <n v="1400000"/>
    <x v="314"/>
    <x v="6"/>
    <x v="56"/>
    <x v="2"/>
    <x v="1"/>
    <x v="10"/>
    <s v="First            "/>
    <s v="1995 cc "/>
    <s v="184 bhp @ 4000 rpm  "/>
    <n v="184"/>
    <n v="4.6239999999999997"/>
    <n v="2.0310000000000001"/>
    <n v="1.429"/>
    <n v="5"/>
    <x v="1"/>
    <n v="60"/>
  </r>
  <r>
    <x v="17"/>
    <x v="666"/>
    <x v="1295"/>
    <n v="1400000"/>
    <x v="314"/>
    <x v="2"/>
    <x v="59"/>
    <x v="2"/>
    <x v="1"/>
    <x v="11"/>
    <s v="Second           "/>
    <s v="2993 cc "/>
    <s v="218  bhp @4000            "/>
    <n v="218"/>
    <n v="4.8540000000000001"/>
    <n v="1.9330000000000001"/>
    <n v="1.776"/>
    <n v="5"/>
    <x v="1"/>
    <n v="85"/>
  </r>
  <r>
    <x v="18"/>
    <x v="648"/>
    <x v="1296"/>
    <n v="1420000"/>
    <x v="315"/>
    <x v="8"/>
    <x v="227"/>
    <x v="2"/>
    <x v="1"/>
    <x v="8"/>
    <s v="First            "/>
    <s v="1968 cc "/>
    <s v="174 bhp @ 4200 rpm  "/>
    <n v="174"/>
    <n v="4.3849999999999998"/>
    <n v="1.831"/>
    <n v="1.6080000000000001"/>
    <n v="5"/>
    <x v="1"/>
    <n v="64"/>
  </r>
  <r>
    <x v="4"/>
    <x v="667"/>
    <x v="1297"/>
    <n v="1421000"/>
    <x v="316"/>
    <x v="9"/>
    <x v="33"/>
    <x v="2"/>
    <x v="0"/>
    <x v="0"/>
    <s v="Second           "/>
    <s v="2393 cc "/>
    <s v="148 bhp @ 3400 rpm  "/>
    <n v="148"/>
    <n v="4.7350000000000003"/>
    <n v="1.83"/>
    <n v="1.7949999999999999"/>
    <n v="7"/>
    <x v="1"/>
    <n v="55"/>
  </r>
  <r>
    <x v="1"/>
    <x v="629"/>
    <x v="1298"/>
    <n v="1425000"/>
    <x v="317"/>
    <x v="12"/>
    <x v="598"/>
    <x v="2"/>
    <x v="1"/>
    <x v="0"/>
    <s v="First            "/>
    <s v="1582 cc "/>
    <s v="126 bhp @ 4000 rpm  "/>
    <n v="126"/>
    <n v="4.2699999999999996"/>
    <n v="1.78"/>
    <n v="1.665"/>
    <n v="5"/>
    <x v="1"/>
    <n v="55"/>
  </r>
  <r>
    <x v="5"/>
    <x v="668"/>
    <x v="1299"/>
    <n v="1450000"/>
    <x v="318"/>
    <x v="15"/>
    <x v="324"/>
    <x v="0"/>
    <x v="1"/>
    <x v="10"/>
    <s v="First            "/>
    <s v="1497 cc "/>
    <s v="118 bhp @ 6600 rpm  "/>
    <n v="118"/>
    <n v="4.4400000000000004"/>
    <n v="1.6950000000000001"/>
    <n v="1.4950000000000001"/>
    <n v="5"/>
    <x v="1"/>
    <n v="40"/>
  </r>
  <r>
    <x v="14"/>
    <x v="562"/>
    <x v="1300"/>
    <n v="1450000"/>
    <x v="318"/>
    <x v="6"/>
    <x v="114"/>
    <x v="2"/>
    <x v="1"/>
    <x v="0"/>
    <s v="First            "/>
    <s v="2143 cc "/>
    <s v="170 bhp @ 4200 rpm  "/>
    <n v="170"/>
    <n v="4.5960000000000001"/>
    <n v="1.77"/>
    <n v="1.4470000000000001"/>
    <n v="5"/>
    <x v="1"/>
    <n v="66"/>
  </r>
  <r>
    <x v="20"/>
    <x v="669"/>
    <x v="1301"/>
    <n v="1450000"/>
    <x v="318"/>
    <x v="12"/>
    <x v="14"/>
    <x v="2"/>
    <x v="0"/>
    <x v="8"/>
    <s v="First            "/>
    <s v="1956 cc "/>
    <s v="171 bhp @ 3750 rpm  "/>
    <n v="171"/>
    <n v="4.3949999999999996"/>
    <n v="1.8180000000000001"/>
    <n v="1.64"/>
    <n v="5"/>
    <x v="1"/>
    <n v="60"/>
  </r>
  <r>
    <x v="4"/>
    <x v="670"/>
    <x v="1302"/>
    <n v="1450000"/>
    <x v="318"/>
    <x v="8"/>
    <x v="599"/>
    <x v="2"/>
    <x v="1"/>
    <x v="0"/>
    <s v="First            "/>
    <s v="2982 cc "/>
    <s v="171 bhp @3600           "/>
    <n v="171"/>
    <n v="4.7050000000000001"/>
    <n v="1.84"/>
    <n v="1.85"/>
    <n v="7"/>
    <x v="1"/>
    <n v="80"/>
  </r>
  <r>
    <x v="18"/>
    <x v="671"/>
    <x v="1303"/>
    <n v="1450000"/>
    <x v="318"/>
    <x v="6"/>
    <x v="600"/>
    <x v="2"/>
    <x v="1"/>
    <x v="7"/>
    <s v="Third            "/>
    <s v="1968 cc "/>
    <s v="174 bhp @ 4200 rpm  "/>
    <n v="174"/>
    <n v="4.3849999999999998"/>
    <n v="1.831"/>
    <n v="1.6080000000000001"/>
    <n v="5"/>
    <x v="1"/>
    <n v="64"/>
  </r>
  <r>
    <x v="18"/>
    <x v="672"/>
    <x v="1304"/>
    <n v="1450000"/>
    <x v="318"/>
    <x v="6"/>
    <x v="133"/>
    <x v="2"/>
    <x v="1"/>
    <x v="8"/>
    <s v="Second           "/>
    <s v="1968 cc "/>
    <s v="177 bhp @ 3750 rpm  "/>
    <n v="177"/>
    <n v="4.915"/>
    <n v="1.8740000000000001"/>
    <n v="1.4550000000000001"/>
    <n v="5"/>
    <x v="1"/>
    <n v="65"/>
  </r>
  <r>
    <x v="18"/>
    <x v="673"/>
    <x v="1305"/>
    <n v="1450000"/>
    <x v="318"/>
    <x v="6"/>
    <x v="109"/>
    <x v="2"/>
    <x v="1"/>
    <x v="4"/>
    <s v="Second           "/>
    <s v="1968 cc "/>
    <s v="177 bhp @ 3750 rpm  "/>
    <n v="177"/>
    <n v="4.915"/>
    <n v="1.8740000000000001"/>
    <n v="1.4550000000000001"/>
    <n v="5"/>
    <x v="1"/>
    <n v="65"/>
  </r>
  <r>
    <x v="17"/>
    <x v="665"/>
    <x v="1306"/>
    <n v="1450000"/>
    <x v="318"/>
    <x v="8"/>
    <x v="26"/>
    <x v="2"/>
    <x v="1"/>
    <x v="7"/>
    <s v="Second           "/>
    <s v="1995 cc "/>
    <s v="184 bhp @ 4000 rpm  "/>
    <n v="184"/>
    <n v="4.6239999999999997"/>
    <n v="2.0310000000000001"/>
    <n v="1.429"/>
    <n v="5"/>
    <x v="1"/>
    <n v="60"/>
  </r>
  <r>
    <x v="5"/>
    <x v="674"/>
    <x v="1307"/>
    <n v="1450000"/>
    <x v="318"/>
    <x v="16"/>
    <x v="601"/>
    <x v="2"/>
    <x v="0"/>
    <x v="0"/>
    <s v="First            "/>
    <s v="1498 cc "/>
    <s v="98 bhp @ 3600 rpm   "/>
    <n v="98"/>
    <n v="4.5490000000000004"/>
    <n v="1.748"/>
    <n v="1.4890000000000001"/>
    <n v="5"/>
    <x v="1"/>
    <n v="40"/>
  </r>
  <r>
    <x v="1"/>
    <x v="675"/>
    <x v="1308"/>
    <n v="1465000"/>
    <x v="319"/>
    <x v="13"/>
    <x v="197"/>
    <x v="0"/>
    <x v="1"/>
    <x v="1"/>
    <s v="Second           "/>
    <s v="1999 cc "/>
    <s v="150 bhp @ 6200 rpm  "/>
    <n v="150"/>
    <n v="4.57"/>
    <n v="1.8"/>
    <n v="1.4650000000000001"/>
    <n v="5"/>
    <x v="1"/>
    <n v="50"/>
  </r>
  <r>
    <x v="21"/>
    <x v="676"/>
    <x v="1309"/>
    <n v="1475000"/>
    <x v="320"/>
    <x v="16"/>
    <x v="602"/>
    <x v="0"/>
    <x v="0"/>
    <x v="0"/>
    <s v="First            "/>
    <s v="1497 cc "/>
    <s v="113 bhp @ 6300 rpm  "/>
    <n v="113"/>
    <n v="4.3150000000000004"/>
    <n v="1.8"/>
    <n v="1.637"/>
    <n v="5"/>
    <x v="1"/>
    <n v="50"/>
  </r>
  <r>
    <x v="1"/>
    <x v="590"/>
    <x v="1310"/>
    <n v="1475000"/>
    <x v="320"/>
    <x v="13"/>
    <x v="603"/>
    <x v="0"/>
    <x v="1"/>
    <x v="0"/>
    <s v="First            "/>
    <s v="1591 cc "/>
    <s v="122 bhp @ 6400 rpm  "/>
    <n v="122"/>
    <n v="4.2699999999999996"/>
    <n v="1.78"/>
    <n v="1.665"/>
    <n v="5"/>
    <x v="1"/>
    <n v="55"/>
  </r>
  <r>
    <x v="8"/>
    <x v="677"/>
    <x v="1311"/>
    <n v="1475000"/>
    <x v="320"/>
    <x v="15"/>
    <x v="335"/>
    <x v="2"/>
    <x v="0"/>
    <x v="4"/>
    <s v="First            "/>
    <s v="2184 cc "/>
    <s v="130 bhp @ 3750 rpm  "/>
    <n v="130"/>
    <n v="3.9849999999999999"/>
    <n v="1.82"/>
    <n v="1.8440000000000001"/>
    <n v="4"/>
    <x v="0"/>
    <n v="57"/>
  </r>
  <r>
    <x v="8"/>
    <x v="638"/>
    <x v="1312"/>
    <n v="1475000"/>
    <x v="320"/>
    <x v="14"/>
    <x v="101"/>
    <x v="2"/>
    <x v="0"/>
    <x v="0"/>
    <s v="First            "/>
    <s v="2179 cc "/>
    <s v="140 bhp @ 3750 rpm  "/>
    <n v="140"/>
    <n v="4.4560000000000004"/>
    <n v="1.82"/>
    <n v="1.9950000000000001"/>
    <n v="7"/>
    <x v="1"/>
    <n v="60"/>
  </r>
  <r>
    <x v="15"/>
    <x v="678"/>
    <x v="1313"/>
    <n v="1475000"/>
    <x v="320"/>
    <x v="11"/>
    <x v="58"/>
    <x v="2"/>
    <x v="1"/>
    <x v="2"/>
    <s v="First            "/>
    <s v="2477 cc "/>
    <s v="176 bhp @ 4000 rpm  "/>
    <n v="176"/>
    <n v="4.6950000000000003"/>
    <n v="1.8149999999999999"/>
    <n v="1.84"/>
    <n v="7"/>
    <x v="1"/>
    <n v="70"/>
  </r>
  <r>
    <x v="21"/>
    <x v="679"/>
    <x v="1314"/>
    <n v="1485000"/>
    <x v="321"/>
    <x v="15"/>
    <x v="324"/>
    <x v="2"/>
    <x v="1"/>
    <x v="4"/>
    <s v="First            "/>
    <s v="1493 cc "/>
    <s v="113 bhp @ 4000 rpm  "/>
    <n v="113"/>
    <n v="3.9950000000000001"/>
    <n v="1.79"/>
    <n v="1.647"/>
    <n v="5"/>
    <x v="1"/>
    <n v="45"/>
  </r>
  <r>
    <x v="8"/>
    <x v="680"/>
    <x v="1315"/>
    <n v="1485000"/>
    <x v="321"/>
    <x v="15"/>
    <x v="604"/>
    <x v="2"/>
    <x v="0"/>
    <x v="0"/>
    <s v="First            "/>
    <s v="1497 cc "/>
    <s v="121 bhp @ 3500 rpm  "/>
    <n v="121"/>
    <n v="4.585"/>
    <n v="1.8660000000000001"/>
    <n v="1.774"/>
    <n v="8"/>
    <x v="1"/>
    <n v="45"/>
  </r>
  <r>
    <x v="4"/>
    <x v="633"/>
    <x v="1316"/>
    <n v="1485000"/>
    <x v="321"/>
    <x v="10"/>
    <x v="605"/>
    <x v="2"/>
    <x v="0"/>
    <x v="0"/>
    <s v="Second           "/>
    <s v="2982 cc "/>
    <s v="169 bhp @ 3600 rpm  "/>
    <n v="169"/>
    <n v="4.7050000000000001"/>
    <n v="1.84"/>
    <n v="1.85"/>
    <n v="7"/>
    <x v="1"/>
    <n v="80"/>
  </r>
  <r>
    <x v="22"/>
    <x v="646"/>
    <x v="1317"/>
    <n v="1489000"/>
    <x v="322"/>
    <x v="6"/>
    <x v="187"/>
    <x v="2"/>
    <x v="1"/>
    <x v="15"/>
    <s v="Second           "/>
    <s v="1995 cc "/>
    <s v="112 bhp @           "/>
    <n v="112"/>
    <n v="4.0970000000000004"/>
    <n v="1.7889999999999999"/>
    <n v="1.5609999999999999"/>
    <n v="5"/>
    <x v="1"/>
    <n v="47"/>
  </r>
  <r>
    <x v="8"/>
    <x v="551"/>
    <x v="1318"/>
    <n v="1490000"/>
    <x v="323"/>
    <x v="12"/>
    <x v="15"/>
    <x v="2"/>
    <x v="0"/>
    <x v="6"/>
    <s v="First            "/>
    <s v="2179 cc "/>
    <s v="138 bhp @ 3750 rpm  "/>
    <n v="138"/>
    <n v="4.585"/>
    <n v="1.89"/>
    <n v="1.7849999999999999"/>
    <n v="7"/>
    <x v="1"/>
    <n v="70"/>
  </r>
  <r>
    <x v="21"/>
    <x v="681"/>
    <x v="1319"/>
    <n v="1490000"/>
    <x v="323"/>
    <x v="13"/>
    <x v="606"/>
    <x v="0"/>
    <x v="1"/>
    <x v="0"/>
    <s v="First            "/>
    <s v="1353 cc "/>
    <s v="138 bhp @ 6000 rpm  "/>
    <n v="138"/>
    <n v="4.3150000000000004"/>
    <n v="1.8"/>
    <n v="1.645"/>
    <n v="5"/>
    <x v="1"/>
    <n v="50"/>
  </r>
  <r>
    <x v="8"/>
    <x v="659"/>
    <x v="1320"/>
    <n v="1490000"/>
    <x v="323"/>
    <x v="12"/>
    <x v="73"/>
    <x v="2"/>
    <x v="0"/>
    <x v="0"/>
    <s v="Second           "/>
    <s v="2179 cc "/>
    <s v="140 bhp @ 3750 rpm  "/>
    <n v="140"/>
    <n v="4.4560000000000004"/>
    <n v="1.82"/>
    <n v="1.9950000000000001"/>
    <n v="7"/>
    <x v="1"/>
    <n v="60"/>
  </r>
  <r>
    <x v="18"/>
    <x v="682"/>
    <x v="1321"/>
    <n v="1490000"/>
    <x v="323"/>
    <x v="1"/>
    <x v="122"/>
    <x v="2"/>
    <x v="1"/>
    <x v="8"/>
    <s v="First            "/>
    <s v="1968 cc "/>
    <s v="174 bhp @ 4200 rpm  "/>
    <n v="174"/>
    <n v="4.6289999999999996"/>
    <n v="1.8979999999999999"/>
    <n v="1.653"/>
    <n v="5"/>
    <x v="1"/>
    <n v="75"/>
  </r>
  <r>
    <x v="18"/>
    <x v="622"/>
    <x v="1322"/>
    <n v="1490000"/>
    <x v="323"/>
    <x v="1"/>
    <x v="61"/>
    <x v="2"/>
    <x v="1"/>
    <x v="10"/>
    <s v="First            "/>
    <s v="1968 cc "/>
    <s v="177 bhp @ 3750 rpm  "/>
    <n v="177"/>
    <n v="4.915"/>
    <n v="1.8740000000000001"/>
    <n v="1.4550000000000001"/>
    <n v="5"/>
    <x v="1"/>
    <n v="65"/>
  </r>
  <r>
    <x v="5"/>
    <x v="674"/>
    <x v="1323"/>
    <n v="1490000"/>
    <x v="323"/>
    <x v="15"/>
    <x v="421"/>
    <x v="2"/>
    <x v="0"/>
    <x v="0"/>
    <s v="First            "/>
    <s v="1498 cc "/>
    <s v="99 bhp @ 3600 rpm   "/>
    <n v="99"/>
    <n v="4.4400000000000004"/>
    <n v="1.6950000000000001"/>
    <n v="1.4950000000000001"/>
    <n v="5"/>
    <x v="1"/>
    <n v="40"/>
  </r>
  <r>
    <x v="20"/>
    <x v="656"/>
    <x v="1324"/>
    <n v="1495000"/>
    <x v="324"/>
    <x v="12"/>
    <x v="191"/>
    <x v="0"/>
    <x v="1"/>
    <x v="1"/>
    <s v="First            "/>
    <s v="1368 cc "/>
    <s v="160 bhp @ 5500 rpm  "/>
    <n v="160"/>
    <n v="4.3949999999999996"/>
    <n v="1.8180000000000001"/>
    <n v="1.64"/>
    <n v="5"/>
    <x v="1"/>
    <n v="60"/>
  </r>
  <r>
    <x v="4"/>
    <x v="592"/>
    <x v="1325"/>
    <n v="1495000"/>
    <x v="324"/>
    <x v="6"/>
    <x v="21"/>
    <x v="2"/>
    <x v="1"/>
    <x v="0"/>
    <s v="First            "/>
    <s v="2982 cc "/>
    <s v="169 bhp @ 3600 rpm  "/>
    <n v="169"/>
    <n v="4.7050000000000001"/>
    <n v="1.84"/>
    <n v="1.85"/>
    <n v="7"/>
    <x v="1"/>
    <n v="80"/>
  </r>
  <r>
    <x v="9"/>
    <x v="650"/>
    <x v="1326"/>
    <n v="1495000"/>
    <x v="324"/>
    <x v="9"/>
    <x v="191"/>
    <x v="0"/>
    <x v="1"/>
    <x v="2"/>
    <s v="First            "/>
    <s v="1798 cc "/>
    <s v="177 bhp @ 5100 rpm  "/>
    <n v="177"/>
    <n v="4.67"/>
    <n v="1.8140000000000001"/>
    <n v="1.476"/>
    <n v="5"/>
    <x v="1"/>
    <n v="50"/>
  </r>
  <r>
    <x v="14"/>
    <x v="683"/>
    <x v="1327"/>
    <n v="1495000"/>
    <x v="324"/>
    <x v="4"/>
    <x v="607"/>
    <x v="2"/>
    <x v="1"/>
    <x v="4"/>
    <s v="Second           "/>
    <s v="2987 cc "/>
    <s v="235 bhp @ 4000 rpm  "/>
    <n v="235"/>
    <n v="5.226"/>
    <n v="2.12"/>
    <n v="1.4790000000000001"/>
    <n v="5"/>
    <x v="1"/>
    <n v="90"/>
  </r>
  <r>
    <x v="21"/>
    <x v="679"/>
    <x v="1328"/>
    <n v="1499000"/>
    <x v="325"/>
    <x v="15"/>
    <x v="197"/>
    <x v="2"/>
    <x v="1"/>
    <x v="4"/>
    <s v="First            "/>
    <s v="1493 cc "/>
    <s v="113 bhp @ 4000 rpm  "/>
    <n v="113"/>
    <n v="3.9950000000000001"/>
    <n v="1.79"/>
    <n v="1.647"/>
    <n v="5"/>
    <x v="1"/>
    <n v="45"/>
  </r>
  <r>
    <x v="13"/>
    <x v="684"/>
    <x v="1329"/>
    <n v="1500000"/>
    <x v="326"/>
    <x v="15"/>
    <x v="106"/>
    <x v="0"/>
    <x v="1"/>
    <x v="1"/>
    <s v="First            "/>
    <s v="999 cc  "/>
    <s v="114 bhp @ 5000 rpm  "/>
    <n v="114"/>
    <n v="4.2210000000000001"/>
    <n v="1.76"/>
    <n v="1.6120000000000001"/>
    <n v="5"/>
    <x v="1"/>
    <n v="50"/>
  </r>
  <r>
    <x v="8"/>
    <x v="685"/>
    <x v="1330"/>
    <n v="1500000"/>
    <x v="326"/>
    <x v="15"/>
    <x v="414"/>
    <x v="0"/>
    <x v="0"/>
    <x v="4"/>
    <s v="Second           "/>
    <s v="1997 cc "/>
    <s v="150 bhp @ 5000 rpm  "/>
    <n v="150"/>
    <n v="3.9849999999999999"/>
    <n v="1.82"/>
    <n v="1.8440000000000001"/>
    <n v="4"/>
    <x v="0"/>
    <n v="57"/>
  </r>
  <r>
    <x v="8"/>
    <x v="641"/>
    <x v="1331"/>
    <n v="1500000"/>
    <x v="326"/>
    <x v="13"/>
    <x v="33"/>
    <x v="2"/>
    <x v="0"/>
    <x v="0"/>
    <s v="First            "/>
    <s v="2179 cc "/>
    <s v="153 bhp @ 3750 rpm  "/>
    <n v="153"/>
    <n v="4.585"/>
    <n v="1.89"/>
    <n v="1.7849999999999999"/>
    <n v="7"/>
    <x v="1"/>
    <n v="70"/>
  </r>
  <r>
    <x v="18"/>
    <x v="622"/>
    <x v="1332"/>
    <n v="1500000"/>
    <x v="326"/>
    <x v="6"/>
    <x v="46"/>
    <x v="2"/>
    <x v="1"/>
    <x v="7"/>
    <s v="First            "/>
    <s v="1968 cc "/>
    <s v="177 bhp @ 3750 rpm  "/>
    <n v="177"/>
    <n v="4.915"/>
    <n v="1.8740000000000001"/>
    <n v="1.4550000000000001"/>
    <n v="5"/>
    <x v="1"/>
    <n v="65"/>
  </r>
  <r>
    <x v="9"/>
    <x v="686"/>
    <x v="1333"/>
    <n v="1500000"/>
    <x v="326"/>
    <x v="11"/>
    <x v="26"/>
    <x v="0"/>
    <x v="1"/>
    <x v="0"/>
    <s v="Second           "/>
    <s v="1798 cc "/>
    <s v="177 bhp @ 5100 rpm  "/>
    <n v="177"/>
    <n v="4.8609999999999998"/>
    <n v="1.8640000000000001"/>
    <n v="1.4830000000000001"/>
    <n v="5"/>
    <x v="1"/>
    <n v="66"/>
  </r>
  <r>
    <x v="14"/>
    <x v="467"/>
    <x v="1334"/>
    <n v="1500000"/>
    <x v="326"/>
    <x v="2"/>
    <x v="33"/>
    <x v="0"/>
    <x v="1"/>
    <x v="4"/>
    <s v="Second           "/>
    <s v="3498 cc "/>
    <s v="272  bhp @6000            "/>
    <n v="272"/>
    <n v="5.0759999999999996"/>
    <n v="1.871"/>
    <n v="1.4730000000000001"/>
    <n v="5"/>
    <x v="1"/>
    <n v="90"/>
  </r>
  <r>
    <x v="18"/>
    <x v="648"/>
    <x v="1335"/>
    <n v="1513000"/>
    <x v="327"/>
    <x v="10"/>
    <x v="65"/>
    <x v="2"/>
    <x v="1"/>
    <x v="7"/>
    <s v="Second           "/>
    <s v="1968 cc "/>
    <s v="174 bhp @ 4200 rpm  "/>
    <n v="174"/>
    <n v="4.3849999999999998"/>
    <n v="1.831"/>
    <n v="1.6080000000000001"/>
    <n v="5"/>
    <x v="1"/>
    <n v="64"/>
  </r>
  <r>
    <x v="9"/>
    <x v="687"/>
    <x v="1336"/>
    <n v="1515000"/>
    <x v="328"/>
    <x v="12"/>
    <x v="608"/>
    <x v="0"/>
    <x v="1"/>
    <x v="14"/>
    <s v="Second           "/>
    <s v="1798 cc "/>
    <s v="177 bhp @ 5100 rpm  "/>
    <n v="177"/>
    <n v="4.67"/>
    <n v="1.8140000000000001"/>
    <n v="1.476"/>
    <n v="5"/>
    <x v="1"/>
    <n v="50"/>
  </r>
  <r>
    <x v="8"/>
    <x v="685"/>
    <x v="1337"/>
    <n v="1520000"/>
    <x v="329"/>
    <x v="15"/>
    <x v="169"/>
    <x v="0"/>
    <x v="0"/>
    <x v="10"/>
    <s v="First            "/>
    <s v="1997 cc "/>
    <s v="150 bhp @ 5000 rpm  "/>
    <n v="150"/>
    <n v="3.9849999999999999"/>
    <n v="1.82"/>
    <n v="1.8440000000000001"/>
    <n v="4"/>
    <x v="0"/>
    <n v="57"/>
  </r>
  <r>
    <x v="21"/>
    <x v="688"/>
    <x v="1338"/>
    <n v="1525000"/>
    <x v="330"/>
    <x v="15"/>
    <x v="169"/>
    <x v="0"/>
    <x v="0"/>
    <x v="8"/>
    <s v="First            "/>
    <s v="1497 cc "/>
    <s v="114 bhp @ 6300 rpm  "/>
    <n v="114"/>
    <n v="4.3150000000000004"/>
    <n v="1.8"/>
    <n v="1.645"/>
    <n v="5"/>
    <x v="1"/>
    <n v="50"/>
  </r>
  <r>
    <x v="18"/>
    <x v="689"/>
    <x v="1339"/>
    <n v="1525000"/>
    <x v="330"/>
    <x v="11"/>
    <x v="34"/>
    <x v="2"/>
    <x v="1"/>
    <x v="4"/>
    <s v="First            "/>
    <s v="1968 cc "/>
    <s v="141 bhp @ 3500 rpm  "/>
    <n v="141"/>
    <n v="4.4560000000000004"/>
    <n v="1.796"/>
    <n v="1.4159999999999999"/>
    <n v="5"/>
    <x v="1"/>
    <n v="50"/>
  </r>
  <r>
    <x v="4"/>
    <x v="592"/>
    <x v="1340"/>
    <n v="1525000"/>
    <x v="330"/>
    <x v="6"/>
    <x v="8"/>
    <x v="2"/>
    <x v="1"/>
    <x v="0"/>
    <s v="First            "/>
    <s v="2982 cc "/>
    <s v="169 bhp @ 3600 rpm  "/>
    <n v="169"/>
    <n v="4.7050000000000001"/>
    <n v="1.84"/>
    <n v="1.85"/>
    <n v="7"/>
    <x v="1"/>
    <n v="80"/>
  </r>
  <r>
    <x v="18"/>
    <x v="690"/>
    <x v="1341"/>
    <n v="1525000"/>
    <x v="330"/>
    <x v="10"/>
    <x v="126"/>
    <x v="2"/>
    <x v="1"/>
    <x v="1"/>
    <s v="First            "/>
    <s v="1968 cc "/>
    <s v="177 bhp @ 4200 rpm  "/>
    <n v="177"/>
    <n v="4.7009999999999996"/>
    <n v="1.8260000000000001"/>
    <n v="1.427"/>
    <n v="5"/>
    <x v="1"/>
    <n v="63"/>
  </r>
  <r>
    <x v="5"/>
    <x v="668"/>
    <x v="1342"/>
    <n v="1530000"/>
    <x v="331"/>
    <x v="16"/>
    <x v="609"/>
    <x v="0"/>
    <x v="1"/>
    <x v="2"/>
    <s v="First            "/>
    <s v="1498 cc "/>
    <s v="119 bhp @ 6600 rpm  "/>
    <n v="119"/>
    <n v="4.5490000000000004"/>
    <n v="1.748"/>
    <n v="1.4890000000000001"/>
    <n v="5"/>
    <x v="1"/>
    <n v="40"/>
  </r>
  <r>
    <x v="4"/>
    <x v="691"/>
    <x v="1343"/>
    <n v="1549000"/>
    <x v="332"/>
    <x v="12"/>
    <x v="610"/>
    <x v="2"/>
    <x v="0"/>
    <x v="10"/>
    <s v="Second           "/>
    <s v="2393 cc "/>
    <s v="148 bhp @ 3400 rpm  "/>
    <n v="148"/>
    <n v="4.7350000000000003"/>
    <n v="1.83"/>
    <n v="1.7949999999999999"/>
    <n v="7"/>
    <x v="1"/>
    <n v="55"/>
  </r>
  <r>
    <x v="23"/>
    <x v="692"/>
    <x v="1344"/>
    <n v="1550000"/>
    <x v="333"/>
    <x v="16"/>
    <x v="611"/>
    <x v="0"/>
    <x v="0"/>
    <x v="9"/>
    <s v="First            "/>
    <s v="1498 cc "/>
    <s v="108 bhp @ 6000 rpm  "/>
    <n v="108"/>
    <n v="4.3230000000000004"/>
    <n v="1.8089999999999999"/>
    <n v="1.65"/>
    <n v="5"/>
    <x v="1"/>
    <n v="48"/>
  </r>
  <r>
    <x v="8"/>
    <x v="693"/>
    <x v="1345"/>
    <n v="1550000"/>
    <x v="333"/>
    <x v="14"/>
    <x v="191"/>
    <x v="2"/>
    <x v="0"/>
    <x v="8"/>
    <s v="First            "/>
    <s v="2184 cc "/>
    <s v="130 bhp @ 3750 rpm  "/>
    <n v="130"/>
    <n v="3.9849999999999999"/>
    <n v="1.82"/>
    <n v="1.92"/>
    <n v="6"/>
    <x v="1"/>
    <n v="57"/>
  </r>
  <r>
    <x v="8"/>
    <x v="694"/>
    <x v="1346"/>
    <n v="1550000"/>
    <x v="333"/>
    <x v="16"/>
    <x v="335"/>
    <x v="2"/>
    <x v="0"/>
    <x v="0"/>
    <s v="First            "/>
    <s v="2179 cc "/>
    <s v="137 bhp @ 3750 rpm  "/>
    <n v="137"/>
    <n v="4.4560000000000004"/>
    <n v="1.82"/>
    <n v="1.9950000000000001"/>
    <n v="7"/>
    <x v="1"/>
    <n v="60"/>
  </r>
  <r>
    <x v="21"/>
    <x v="695"/>
    <x v="1347"/>
    <n v="1550000"/>
    <x v="333"/>
    <x v="13"/>
    <x v="79"/>
    <x v="0"/>
    <x v="0"/>
    <x v="0"/>
    <s v="First            "/>
    <s v="1353 cc "/>
    <s v="138 bhp @ 6000 rpm  "/>
    <n v="138"/>
    <n v="4.3150000000000004"/>
    <n v="1.8"/>
    <n v="1.645"/>
    <n v="5"/>
    <x v="1"/>
    <n v="50"/>
  </r>
  <r>
    <x v="17"/>
    <x v="660"/>
    <x v="1348"/>
    <n v="1550000"/>
    <x v="333"/>
    <x v="8"/>
    <x v="612"/>
    <x v="2"/>
    <x v="1"/>
    <x v="4"/>
    <s v="Second           "/>
    <s v="1995 cc "/>
    <s v="188 bhp @ 4000 rpm  "/>
    <n v="188"/>
    <n v="4.633"/>
    <n v="1.8109999999999999"/>
    <n v="1.429"/>
    <n v="5"/>
    <x v="1"/>
    <n v="57"/>
  </r>
  <r>
    <x v="21"/>
    <x v="653"/>
    <x v="1349"/>
    <n v="1575000"/>
    <x v="334"/>
    <x v="13"/>
    <x v="17"/>
    <x v="2"/>
    <x v="0"/>
    <x v="1"/>
    <s v="First            "/>
    <s v="1493 cc "/>
    <s v="113 bhp @ 4000 rpm  "/>
    <n v="113"/>
    <n v="4.3150000000000004"/>
    <n v="1.8"/>
    <n v="1.645"/>
    <n v="5"/>
    <x v="1"/>
    <n v="50"/>
  </r>
  <r>
    <x v="21"/>
    <x v="640"/>
    <x v="1350"/>
    <n v="1575000"/>
    <x v="334"/>
    <x v="14"/>
    <x v="30"/>
    <x v="2"/>
    <x v="1"/>
    <x v="0"/>
    <s v="First            "/>
    <s v="1493 cc "/>
    <s v="113 bhp @ 4000 rpm  "/>
    <n v="113"/>
    <n v="4.3150000000000004"/>
    <n v="1.8"/>
    <n v="1.645"/>
    <n v="5"/>
    <x v="1"/>
    <n v="50"/>
  </r>
  <r>
    <x v="18"/>
    <x v="661"/>
    <x v="1351"/>
    <n v="1575000"/>
    <x v="334"/>
    <x v="6"/>
    <x v="385"/>
    <x v="2"/>
    <x v="1"/>
    <x v="4"/>
    <s v="First            "/>
    <s v="1968 cc "/>
    <s v="141 bhp @ 4200 rpm  "/>
    <n v="141"/>
    <n v="4.7009999999999996"/>
    <n v="1.8260000000000001"/>
    <n v="1.427"/>
    <n v="5"/>
    <x v="1"/>
    <n v="63"/>
  </r>
  <r>
    <x v="8"/>
    <x v="685"/>
    <x v="1352"/>
    <n v="1575000"/>
    <x v="334"/>
    <x v="15"/>
    <x v="613"/>
    <x v="0"/>
    <x v="0"/>
    <x v="7"/>
    <s v="First            "/>
    <s v="1997 cc "/>
    <s v="150 bhp @ 5000 rpm  "/>
    <n v="150"/>
    <n v="3.9849999999999999"/>
    <n v="1.82"/>
    <n v="1.8440000000000001"/>
    <n v="4"/>
    <x v="0"/>
    <n v="57"/>
  </r>
  <r>
    <x v="18"/>
    <x v="623"/>
    <x v="1353"/>
    <n v="1575000"/>
    <x v="334"/>
    <x v="8"/>
    <x v="31"/>
    <x v="2"/>
    <x v="1"/>
    <x v="0"/>
    <s v="First            "/>
    <s v="1968 cc "/>
    <s v="177 bhp @ 4200 rpm  "/>
    <n v="177"/>
    <n v="4.7009999999999996"/>
    <n v="1.8260000000000001"/>
    <n v="1.427"/>
    <n v="5"/>
    <x v="1"/>
    <n v="63"/>
  </r>
  <r>
    <x v="4"/>
    <x v="696"/>
    <x v="1354"/>
    <n v="1580000"/>
    <x v="335"/>
    <x v="12"/>
    <x v="59"/>
    <x v="2"/>
    <x v="1"/>
    <x v="13"/>
    <s v="First            "/>
    <s v="2755 cc "/>
    <s v="172 bhp @ 3400 rpm  "/>
    <n v="172"/>
    <n v="4.7350000000000003"/>
    <n v="1.83"/>
    <n v="1.7949999999999999"/>
    <n v="7"/>
    <x v="1"/>
    <n v="55"/>
  </r>
  <r>
    <x v="19"/>
    <x v="635"/>
    <x v="1355"/>
    <n v="1595000"/>
    <x v="336"/>
    <x v="10"/>
    <x v="265"/>
    <x v="2"/>
    <x v="1"/>
    <x v="7"/>
    <s v="First            "/>
    <s v="1984 cc "/>
    <s v="150 bhp @ 3500 rpm  "/>
    <n v="150"/>
    <n v="4.37"/>
    <n v="1.7829999999999999"/>
    <n v="1.458"/>
    <n v="5"/>
    <x v="1"/>
    <n v="60"/>
  </r>
  <r>
    <x v="1"/>
    <x v="697"/>
    <x v="1356"/>
    <n v="1595000"/>
    <x v="336"/>
    <x v="9"/>
    <x v="90"/>
    <x v="0"/>
    <x v="1"/>
    <x v="7"/>
    <s v="First            "/>
    <s v="1999 cc "/>
    <s v="153 bhp @ 6200 rpm  "/>
    <n v="153"/>
    <n v="4.4749999999999996"/>
    <n v="1.85"/>
    <n v="1.66"/>
    <n v="5"/>
    <x v="1"/>
    <n v="62"/>
  </r>
  <r>
    <x v="8"/>
    <x v="698"/>
    <x v="1357"/>
    <n v="1595000"/>
    <x v="336"/>
    <x v="12"/>
    <x v="614"/>
    <x v="2"/>
    <x v="1"/>
    <x v="4"/>
    <s v="Second           "/>
    <s v="2179 cc "/>
    <s v="153 bhp @ 3750 rpm  "/>
    <n v="153"/>
    <n v="4.585"/>
    <n v="1.89"/>
    <n v="1.7849999999999999"/>
    <n v="7"/>
    <x v="1"/>
    <n v="70"/>
  </r>
  <r>
    <x v="1"/>
    <x v="699"/>
    <x v="1358"/>
    <n v="1598000"/>
    <x v="337"/>
    <x v="14"/>
    <x v="615"/>
    <x v="2"/>
    <x v="0"/>
    <x v="6"/>
    <s v="First            "/>
    <s v="1493 cc "/>
    <s v="113 bhp @ 4000 rpm  "/>
    <n v="113"/>
    <n v="4.3"/>
    <n v="1.79"/>
    <n v="1.635"/>
    <n v="5"/>
    <x v="1"/>
    <n v="50"/>
  </r>
  <r>
    <x v="4"/>
    <x v="700"/>
    <x v="1359"/>
    <n v="1599000"/>
    <x v="338"/>
    <x v="10"/>
    <x v="616"/>
    <x v="0"/>
    <x v="1"/>
    <x v="1"/>
    <s v="First            "/>
    <s v="2494 cc "/>
    <s v="202 bhp @ 5700 rpm  "/>
    <n v="202"/>
    <n v="4.8250000000000002"/>
    <n v="1.825"/>
    <n v="1.48"/>
    <n v="5"/>
    <x v="1"/>
    <n v="65"/>
  </r>
  <r>
    <x v="9"/>
    <x v="701"/>
    <x v="1360"/>
    <n v="1600000"/>
    <x v="339"/>
    <x v="16"/>
    <x v="617"/>
    <x v="0"/>
    <x v="0"/>
    <x v="4"/>
    <s v="First            "/>
    <s v="999 cc  "/>
    <s v="114 bhp @ 5000 rpm  "/>
    <n v="114"/>
    <n v="4.2249999999999996"/>
    <n v="1.76"/>
    <n v="1.6120000000000001"/>
    <n v="5"/>
    <x v="1"/>
    <n v="50"/>
  </r>
  <r>
    <x v="4"/>
    <x v="592"/>
    <x v="1361"/>
    <n v="1600000"/>
    <x v="339"/>
    <x v="10"/>
    <x v="618"/>
    <x v="2"/>
    <x v="1"/>
    <x v="5"/>
    <s v="Second           "/>
    <s v="2982 cc "/>
    <s v="169 bhp @ 3600 rpm  "/>
    <n v="169"/>
    <n v="4.7050000000000001"/>
    <n v="1.84"/>
    <n v="1.85"/>
    <n v="7"/>
    <x v="1"/>
    <n v="80"/>
  </r>
  <r>
    <x v="1"/>
    <x v="702"/>
    <x v="1362"/>
    <n v="1600000"/>
    <x v="339"/>
    <x v="11"/>
    <x v="619"/>
    <x v="2"/>
    <x v="1"/>
    <x v="0"/>
    <s v="Second           "/>
    <s v="1995 cc "/>
    <s v="182 bhp @ 4000 rpm  "/>
    <n v="182"/>
    <n v="4.4749999999999996"/>
    <n v="1.85"/>
    <n v="1.66"/>
    <n v="5"/>
    <x v="1"/>
    <n v="62"/>
  </r>
  <r>
    <x v="17"/>
    <x v="703"/>
    <x v="1363"/>
    <n v="1600000"/>
    <x v="339"/>
    <x v="8"/>
    <x v="3"/>
    <x v="2"/>
    <x v="1"/>
    <x v="7"/>
    <s v="Second           "/>
    <s v="2993 cc "/>
    <s v="258 bhp @ 4000 rpm  "/>
    <n v="258"/>
    <n v="4.899"/>
    <n v="2.0939999999999999"/>
    <n v="1.464"/>
    <n v="5"/>
    <x v="1"/>
    <n v="65"/>
  </r>
  <r>
    <x v="23"/>
    <x v="704"/>
    <x v="1364"/>
    <n v="1611000"/>
    <x v="340"/>
    <x v="13"/>
    <x v="620"/>
    <x v="2"/>
    <x v="0"/>
    <x v="0"/>
    <s v="First            "/>
    <s v="1956 cc "/>
    <s v="169 bhp @ 3750 rpm  "/>
    <n v="169"/>
    <n v="4.6550000000000002"/>
    <n v="1.835"/>
    <n v="1.76"/>
    <n v="5"/>
    <x v="1"/>
    <n v="60"/>
  </r>
  <r>
    <x v="1"/>
    <x v="705"/>
    <x v="1365"/>
    <n v="1625000"/>
    <x v="341"/>
    <x v="16"/>
    <x v="621"/>
    <x v="2"/>
    <x v="0"/>
    <x v="0"/>
    <s v="First            "/>
    <s v="1493 cc "/>
    <s v="113 bhp @ 4000 rpm  "/>
    <n v="113"/>
    <n v="4.3"/>
    <n v="1.79"/>
    <n v="1.635"/>
    <n v="5"/>
    <x v="1"/>
    <n v="50"/>
  </r>
  <r>
    <x v="9"/>
    <x v="706"/>
    <x v="1366"/>
    <n v="1625000"/>
    <x v="341"/>
    <x v="15"/>
    <x v="622"/>
    <x v="0"/>
    <x v="1"/>
    <x v="1"/>
    <s v="First            "/>
    <s v="999 cc  "/>
    <s v="114 bhp @ 5000 rpm  "/>
    <n v="114"/>
    <n v="4.2249999999999996"/>
    <n v="1.76"/>
    <n v="1.6120000000000001"/>
    <n v="5"/>
    <x v="1"/>
    <n v="50"/>
  </r>
  <r>
    <x v="21"/>
    <x v="681"/>
    <x v="1367"/>
    <n v="1625000"/>
    <x v="341"/>
    <x v="15"/>
    <x v="425"/>
    <x v="0"/>
    <x v="1"/>
    <x v="4"/>
    <s v="First            "/>
    <s v="1353 cc "/>
    <s v="138 bhp @ 6000 rpm  "/>
    <n v="138"/>
    <n v="4.3150000000000004"/>
    <n v="1.8"/>
    <n v="1.645"/>
    <n v="5"/>
    <x v="1"/>
    <n v="50"/>
  </r>
  <r>
    <x v="23"/>
    <x v="707"/>
    <x v="1368"/>
    <n v="1625000"/>
    <x v="341"/>
    <x v="13"/>
    <x v="362"/>
    <x v="0"/>
    <x v="1"/>
    <x v="4"/>
    <s v="First            "/>
    <s v="1451 cc "/>
    <s v="141 bhp @ 5000 rpm  "/>
    <n v="141"/>
    <n v="4.6550000000000002"/>
    <n v="1.835"/>
    <n v="1.76"/>
    <n v="5"/>
    <x v="1"/>
    <n v="60"/>
  </r>
  <r>
    <x v="8"/>
    <x v="708"/>
    <x v="1369"/>
    <n v="1639999"/>
    <x v="342"/>
    <x v="12"/>
    <x v="195"/>
    <x v="2"/>
    <x v="1"/>
    <x v="12"/>
    <s v="First            "/>
    <s v="2179 cc "/>
    <s v="153 bhp @ 3750 rpm  "/>
    <n v="153"/>
    <n v="4.585"/>
    <n v="1.89"/>
    <n v="1.7849999999999999"/>
    <n v="7"/>
    <x v="1"/>
    <n v="70"/>
  </r>
  <r>
    <x v="1"/>
    <x v="699"/>
    <x v="1370"/>
    <n v="1650000"/>
    <x v="343"/>
    <x v="14"/>
    <x v="362"/>
    <x v="2"/>
    <x v="0"/>
    <x v="0"/>
    <s v="First            "/>
    <s v="1493 cc "/>
    <s v="113 bhp @ 4000 rpm  "/>
    <n v="113"/>
    <n v="4.3"/>
    <n v="1.79"/>
    <n v="1.635"/>
    <n v="5"/>
    <x v="1"/>
    <n v="50"/>
  </r>
  <r>
    <x v="21"/>
    <x v="709"/>
    <x v="1371"/>
    <n v="1650000"/>
    <x v="343"/>
    <x v="15"/>
    <x v="335"/>
    <x v="2"/>
    <x v="0"/>
    <x v="0"/>
    <s v="First            "/>
    <s v="1493 cc "/>
    <s v="113 bhp @ 4000 rpm  "/>
    <n v="113"/>
    <n v="4.3150000000000004"/>
    <n v="1.8"/>
    <n v="1.637"/>
    <n v="5"/>
    <x v="1"/>
    <n v="50"/>
  </r>
  <r>
    <x v="14"/>
    <x v="710"/>
    <x v="1372"/>
    <n v="1650000"/>
    <x v="343"/>
    <x v="10"/>
    <x v="33"/>
    <x v="2"/>
    <x v="1"/>
    <x v="0"/>
    <s v="First            "/>
    <s v="2143 cc "/>
    <s v="134 bhp @ 3600 rpm  "/>
    <n v="134"/>
    <n v="4.4169999999999998"/>
    <n v="1.804"/>
    <n v="1.494"/>
    <n v="5"/>
    <x v="1"/>
    <n v="50"/>
  </r>
  <r>
    <x v="4"/>
    <x v="601"/>
    <x v="1373"/>
    <n v="1650000"/>
    <x v="343"/>
    <x v="12"/>
    <x v="623"/>
    <x v="0"/>
    <x v="1"/>
    <x v="10"/>
    <s v="First            "/>
    <s v="1798 cc "/>
    <s v="138 bhp @ 6400 rpm  "/>
    <n v="138"/>
    <n v="4.62"/>
    <n v="1.7749999999999999"/>
    <n v="1.4750000000000001"/>
    <n v="5"/>
    <x v="1"/>
    <n v="55"/>
  </r>
  <r>
    <x v="18"/>
    <x v="655"/>
    <x v="1374"/>
    <n v="1650000"/>
    <x v="343"/>
    <x v="6"/>
    <x v="17"/>
    <x v="2"/>
    <x v="1"/>
    <x v="0"/>
    <s v="First            "/>
    <s v="1968 cc "/>
    <s v="141 bhp @ 3500 rpm  "/>
    <n v="141"/>
    <n v="4.4560000000000004"/>
    <n v="1.796"/>
    <n v="1.4159999999999999"/>
    <n v="5"/>
    <x v="1"/>
    <n v="50"/>
  </r>
  <r>
    <x v="8"/>
    <x v="711"/>
    <x v="1375"/>
    <n v="1650000"/>
    <x v="343"/>
    <x v="16"/>
    <x v="349"/>
    <x v="0"/>
    <x v="1"/>
    <x v="8"/>
    <s v="First            "/>
    <s v="1997 cc "/>
    <s v="150 bhp @ 5000 rpm  "/>
    <n v="150"/>
    <n v="3.9849999999999999"/>
    <n v="1.82"/>
    <n v="1.8440000000000001"/>
    <n v="4"/>
    <x v="0"/>
    <n v="57"/>
  </r>
  <r>
    <x v="14"/>
    <x v="562"/>
    <x v="1376"/>
    <n v="1650000"/>
    <x v="343"/>
    <x v="8"/>
    <x v="133"/>
    <x v="2"/>
    <x v="1"/>
    <x v="1"/>
    <s v="First            "/>
    <s v="2143 cc "/>
    <s v="170 bhp @ 4200 rpm  "/>
    <n v="170"/>
    <n v="4.5960000000000001"/>
    <n v="1.77"/>
    <n v="1.4470000000000001"/>
    <n v="5"/>
    <x v="1"/>
    <n v="66"/>
  </r>
  <r>
    <x v="18"/>
    <x v="712"/>
    <x v="1377"/>
    <n v="1650000"/>
    <x v="343"/>
    <x v="11"/>
    <x v="624"/>
    <x v="2"/>
    <x v="1"/>
    <x v="0"/>
    <s v="Second           "/>
    <s v="1968 cc "/>
    <s v="174 bhp @ 4200 rpm  "/>
    <n v="174"/>
    <n v="4.3849999999999998"/>
    <n v="1.831"/>
    <n v="1.6080000000000001"/>
    <n v="5"/>
    <x v="1"/>
    <n v="64"/>
  </r>
  <r>
    <x v="9"/>
    <x v="713"/>
    <x v="1378"/>
    <n v="1650000"/>
    <x v="343"/>
    <x v="9"/>
    <x v="625"/>
    <x v="0"/>
    <x v="1"/>
    <x v="8"/>
    <s v="First            "/>
    <s v="1798 cc "/>
    <s v="177 bhp @ 5100 rpm  "/>
    <n v="177"/>
    <n v="4.8609999999999998"/>
    <n v="1.8640000000000001"/>
    <n v="1.4830000000000001"/>
    <n v="5"/>
    <x v="1"/>
    <n v="66"/>
  </r>
  <r>
    <x v="14"/>
    <x v="714"/>
    <x v="1379"/>
    <n v="1650000"/>
    <x v="343"/>
    <x v="6"/>
    <x v="626"/>
    <x v="0"/>
    <x v="1"/>
    <x v="1"/>
    <s v="Second           "/>
    <s v="1796 cc "/>
    <s v="186 bhp @ 5600 rpm  "/>
    <n v="186"/>
    <n v="4.8680000000000003"/>
    <n v="1.8540000000000001"/>
    <n v="1.47"/>
    <n v="5"/>
    <x v="1"/>
    <n v="80"/>
  </r>
  <r>
    <x v="18"/>
    <x v="715"/>
    <x v="1380"/>
    <n v="1650000"/>
    <x v="343"/>
    <x v="1"/>
    <x v="627"/>
    <x v="2"/>
    <x v="1"/>
    <x v="0"/>
    <s v="First            "/>
    <s v="2967 cc "/>
    <s v="245 bhp @ 4000 rpm  "/>
    <n v="245"/>
    <n v="4.915"/>
    <n v="1.8740000000000001"/>
    <n v="1.4550000000000001"/>
    <n v="5"/>
    <x v="1"/>
    <n v="75"/>
  </r>
  <r>
    <x v="14"/>
    <x v="716"/>
    <x v="1381"/>
    <n v="1650000"/>
    <x v="343"/>
    <x v="1"/>
    <x v="265"/>
    <x v="0"/>
    <x v="1"/>
    <x v="1"/>
    <s v="Third            "/>
    <s v="5461 cc "/>
    <s v="368 bhp @ 6300 rpm  "/>
    <n v="368"/>
    <n v="5.226"/>
    <n v="2.12"/>
    <n v="1.4790000000000001"/>
    <n v="5"/>
    <x v="1"/>
    <n v="90"/>
  </r>
  <r>
    <x v="4"/>
    <x v="601"/>
    <x v="1382"/>
    <n v="1670000"/>
    <x v="344"/>
    <x v="13"/>
    <x v="170"/>
    <x v="0"/>
    <x v="1"/>
    <x v="10"/>
    <s v="Second           "/>
    <s v="1798 cc "/>
    <s v="138 bhp @ 6400 rpm  "/>
    <n v="138"/>
    <n v="4.62"/>
    <n v="1.7749999999999999"/>
    <n v="1.4750000000000001"/>
    <n v="5"/>
    <x v="1"/>
    <n v="55"/>
  </r>
  <r>
    <x v="4"/>
    <x v="627"/>
    <x v="1383"/>
    <n v="1675000"/>
    <x v="345"/>
    <x v="6"/>
    <x v="628"/>
    <x v="2"/>
    <x v="0"/>
    <x v="0"/>
    <s v="First            "/>
    <s v="2982 cc "/>
    <s v="169 bhp @ 3600 rpm  "/>
    <n v="169"/>
    <n v="4.7050000000000001"/>
    <n v="1.84"/>
    <n v="1.85"/>
    <n v="7"/>
    <x v="1"/>
    <n v="80"/>
  </r>
  <r>
    <x v="17"/>
    <x v="717"/>
    <x v="1384"/>
    <n v="1679000"/>
    <x v="346"/>
    <x v="11"/>
    <x v="117"/>
    <x v="2"/>
    <x v="1"/>
    <x v="7"/>
    <s v="Second           "/>
    <s v="1995 cc "/>
    <s v="188 bhp @ 4000 rpm  "/>
    <n v="188"/>
    <n v="4.633"/>
    <n v="1.8109999999999999"/>
    <n v="1.429"/>
    <n v="5"/>
    <x v="1"/>
    <n v="57"/>
  </r>
  <r>
    <x v="18"/>
    <x v="712"/>
    <x v="1385"/>
    <n v="1685000"/>
    <x v="347"/>
    <x v="11"/>
    <x v="629"/>
    <x v="2"/>
    <x v="1"/>
    <x v="7"/>
    <s v="Second           "/>
    <s v="1968 cc "/>
    <s v="174 bhp @ 4200 rpm  "/>
    <n v="174"/>
    <n v="4.3849999999999998"/>
    <n v="1.831"/>
    <n v="1.6080000000000001"/>
    <n v="5"/>
    <x v="1"/>
    <n v="64"/>
  </r>
  <r>
    <x v="9"/>
    <x v="718"/>
    <x v="1386"/>
    <n v="1685000"/>
    <x v="347"/>
    <x v="9"/>
    <x v="630"/>
    <x v="0"/>
    <x v="1"/>
    <x v="2"/>
    <s v="First            "/>
    <s v="1798 cc "/>
    <s v="177 bhp @ 4500 rpm  "/>
    <n v="177"/>
    <n v="4.6589999999999998"/>
    <n v="1.8140000000000001"/>
    <n v="1.476"/>
    <n v="5"/>
    <x v="1"/>
    <n v="50"/>
  </r>
  <r>
    <x v="19"/>
    <x v="719"/>
    <x v="1387"/>
    <n v="1689999"/>
    <x v="348"/>
    <x v="10"/>
    <x v="15"/>
    <x v="2"/>
    <x v="1"/>
    <x v="0"/>
    <s v="Second           "/>
    <s v="1984 cc "/>
    <s v="150 bhp @ 3500 rpm  "/>
    <n v="150"/>
    <n v="4.37"/>
    <n v="1.7829999999999999"/>
    <n v="1.458"/>
    <n v="5"/>
    <x v="1"/>
    <n v="60"/>
  </r>
  <r>
    <x v="17"/>
    <x v="660"/>
    <x v="1388"/>
    <n v="1689999"/>
    <x v="348"/>
    <x v="10"/>
    <x v="58"/>
    <x v="2"/>
    <x v="1"/>
    <x v="0"/>
    <s v="Second           "/>
    <s v="1995 cc "/>
    <s v="188 bhp @ 4000 rpm  "/>
    <n v="188"/>
    <n v="4.633"/>
    <n v="1.8109999999999999"/>
    <n v="1.429"/>
    <n v="5"/>
    <x v="1"/>
    <n v="57"/>
  </r>
  <r>
    <x v="14"/>
    <x v="720"/>
    <x v="1389"/>
    <n v="1691000"/>
    <x v="349"/>
    <x v="10"/>
    <x v="114"/>
    <x v="0"/>
    <x v="1"/>
    <x v="0"/>
    <s v="Second           "/>
    <s v="1991 cc "/>
    <s v="181 bhp @ 5500 rpm  "/>
    <n v="181"/>
    <n v="4.4169999999999998"/>
    <n v="1.804"/>
    <n v="1.494"/>
    <n v="5"/>
    <x v="1"/>
    <n v="50"/>
  </r>
  <r>
    <x v="0"/>
    <x v="721"/>
    <x v="1390"/>
    <n v="1695000"/>
    <x v="350"/>
    <x v="13"/>
    <x v="631"/>
    <x v="2"/>
    <x v="0"/>
    <x v="9"/>
    <s v="First            "/>
    <s v="1956 cc "/>
    <s v="138 bhp @ 3750 rpm  "/>
    <n v="138"/>
    <n v="4.5979999999999999"/>
    <n v="1.8939999999999999"/>
    <n v="1.706"/>
    <n v="5"/>
    <x v="1"/>
    <n v="50"/>
  </r>
  <r>
    <x v="18"/>
    <x v="712"/>
    <x v="1391"/>
    <n v="1695000"/>
    <x v="350"/>
    <x v="10"/>
    <x v="0"/>
    <x v="2"/>
    <x v="1"/>
    <x v="0"/>
    <s v="Second           "/>
    <s v="1968 cc "/>
    <s v="174 bhp @ 4200 rpm  "/>
    <n v="174"/>
    <n v="4.3849999999999998"/>
    <n v="1.831"/>
    <n v="1.6080000000000001"/>
    <n v="5"/>
    <x v="1"/>
    <n v="64"/>
  </r>
  <r>
    <x v="8"/>
    <x v="677"/>
    <x v="1392"/>
    <n v="1698999"/>
    <x v="351"/>
    <x v="15"/>
    <x v="463"/>
    <x v="2"/>
    <x v="0"/>
    <x v="10"/>
    <s v="First            "/>
    <s v="2184 cc "/>
    <s v="130 bhp @ 3750 rpm  "/>
    <n v="130"/>
    <n v="3.9849999999999999"/>
    <n v="1.82"/>
    <n v="1.8440000000000001"/>
    <n v="4"/>
    <x v="0"/>
    <n v="57"/>
  </r>
  <r>
    <x v="1"/>
    <x v="699"/>
    <x v="1393"/>
    <n v="1700000"/>
    <x v="352"/>
    <x v="16"/>
    <x v="393"/>
    <x v="2"/>
    <x v="0"/>
    <x v="8"/>
    <s v="First            "/>
    <s v="1493 cc "/>
    <s v="113 bhp @ 4000 rpm  "/>
    <n v="113"/>
    <n v="4.3"/>
    <n v="1.79"/>
    <n v="1.635"/>
    <n v="5"/>
    <x v="1"/>
    <n v="50"/>
  </r>
  <r>
    <x v="5"/>
    <x v="668"/>
    <x v="1394"/>
    <n v="1700000"/>
    <x v="352"/>
    <x v="16"/>
    <x v="632"/>
    <x v="0"/>
    <x v="1"/>
    <x v="0"/>
    <s v="UnRegistered Car "/>
    <s v="1498 cc "/>
    <s v="119 bhp @ 6600 rpm  "/>
    <n v="119"/>
    <n v="4.5490000000000004"/>
    <n v="1.748"/>
    <n v="1.4890000000000001"/>
    <n v="5"/>
    <x v="1"/>
    <n v="40"/>
  </r>
  <r>
    <x v="8"/>
    <x v="722"/>
    <x v="1395"/>
    <n v="1700000"/>
    <x v="352"/>
    <x v="15"/>
    <x v="169"/>
    <x v="2"/>
    <x v="1"/>
    <x v="8"/>
    <s v="First            "/>
    <s v="2184 cc "/>
    <s v="130 bhp @ 3750 rpm  "/>
    <n v="130"/>
    <n v="3.9849999999999999"/>
    <n v="1.82"/>
    <n v="1.8440000000000001"/>
    <n v="4"/>
    <x v="0"/>
    <n v="57"/>
  </r>
  <r>
    <x v="8"/>
    <x v="723"/>
    <x v="1396"/>
    <n v="1700000"/>
    <x v="352"/>
    <x v="15"/>
    <x v="79"/>
    <x v="2"/>
    <x v="0"/>
    <x v="1"/>
    <s v="First            "/>
    <s v="2184 cc "/>
    <s v="130 bhp @ 3750 rpm  "/>
    <n v="130"/>
    <n v="3.9849999999999999"/>
    <n v="1.82"/>
    <n v="1.855"/>
    <n v="4"/>
    <x v="0"/>
    <n v="57"/>
  </r>
  <r>
    <x v="8"/>
    <x v="724"/>
    <x v="1397"/>
    <n v="1700000"/>
    <x v="352"/>
    <x v="15"/>
    <x v="633"/>
    <x v="0"/>
    <x v="0"/>
    <x v="4"/>
    <s v="First            "/>
    <s v="1997 cc "/>
    <s v="150 bhp @ 5000 rpm  "/>
    <n v="150"/>
    <n v="3.9849999999999999"/>
    <n v="1.82"/>
    <n v="1.855"/>
    <n v="4"/>
    <x v="0"/>
    <n v="57"/>
  </r>
  <r>
    <x v="18"/>
    <x v="725"/>
    <x v="1398"/>
    <n v="1700000"/>
    <x v="352"/>
    <x v="6"/>
    <x v="101"/>
    <x v="2"/>
    <x v="1"/>
    <x v="10"/>
    <s v="First            "/>
    <s v="1968 cc "/>
    <s v="174 bhp @ 4200 rpm  "/>
    <n v="174"/>
    <n v="4.6289999999999996"/>
    <n v="1.8979999999999999"/>
    <n v="1.653"/>
    <n v="5"/>
    <x v="1"/>
    <n v="75"/>
  </r>
  <r>
    <x v="8"/>
    <x v="711"/>
    <x v="1399"/>
    <n v="1710000"/>
    <x v="353"/>
    <x v="15"/>
    <x v="634"/>
    <x v="0"/>
    <x v="1"/>
    <x v="8"/>
    <s v="First            "/>
    <s v="1997 cc "/>
    <s v="150 bhp @ 5000 rpm  "/>
    <n v="150"/>
    <n v="3.9849999999999999"/>
    <n v="1.82"/>
    <n v="1.8440000000000001"/>
    <n v="4"/>
    <x v="0"/>
    <n v="57"/>
  </r>
  <r>
    <x v="23"/>
    <x v="704"/>
    <x v="1400"/>
    <n v="1710000"/>
    <x v="353"/>
    <x v="14"/>
    <x v="635"/>
    <x v="2"/>
    <x v="0"/>
    <x v="2"/>
    <s v="First            "/>
    <s v="1956 cc "/>
    <s v="169 bhp @ 3750 rpm  "/>
    <n v="169"/>
    <n v="4.6550000000000002"/>
    <n v="1.835"/>
    <n v="1.76"/>
    <n v="5"/>
    <x v="1"/>
    <n v="60"/>
  </r>
  <r>
    <x v="1"/>
    <x v="705"/>
    <x v="1401"/>
    <n v="1725000"/>
    <x v="354"/>
    <x v="14"/>
    <x v="56"/>
    <x v="2"/>
    <x v="0"/>
    <x v="0"/>
    <s v="First            "/>
    <s v="1493 cc "/>
    <s v="113 bhp @ 4000 rpm  "/>
    <n v="113"/>
    <n v="4.3"/>
    <n v="1.79"/>
    <n v="1.635"/>
    <n v="5"/>
    <x v="1"/>
    <n v="50"/>
  </r>
  <r>
    <x v="0"/>
    <x v="721"/>
    <x v="1402"/>
    <n v="1725000"/>
    <x v="354"/>
    <x v="13"/>
    <x v="636"/>
    <x v="2"/>
    <x v="0"/>
    <x v="0"/>
    <s v="First            "/>
    <s v="1956 cc "/>
    <s v="138 bhp @ 3750 rpm  "/>
    <n v="138"/>
    <n v="4.5979999999999999"/>
    <n v="1.8939999999999999"/>
    <n v="1.706"/>
    <n v="5"/>
    <x v="1"/>
    <n v="50"/>
  </r>
  <r>
    <x v="4"/>
    <x v="726"/>
    <x v="1403"/>
    <n v="1725000"/>
    <x v="354"/>
    <x v="11"/>
    <x v="618"/>
    <x v="2"/>
    <x v="0"/>
    <x v="0"/>
    <s v="First            "/>
    <s v="2393 cc "/>
    <s v="148 bhp @ 3400 rpm  "/>
    <n v="148"/>
    <n v="4.7350000000000003"/>
    <n v="1.83"/>
    <n v="1.7949999999999999"/>
    <n v="7"/>
    <x v="1"/>
    <n v="55"/>
  </r>
  <r>
    <x v="23"/>
    <x v="704"/>
    <x v="1404"/>
    <n v="1725000"/>
    <x v="354"/>
    <x v="13"/>
    <x v="637"/>
    <x v="2"/>
    <x v="0"/>
    <x v="4"/>
    <s v="First            "/>
    <s v="1956 cc "/>
    <s v="169 bhp @ 3750 rpm  "/>
    <n v="169"/>
    <n v="4.6550000000000002"/>
    <n v="1.835"/>
    <n v="1.76"/>
    <n v="5"/>
    <x v="1"/>
    <n v="60"/>
  </r>
  <r>
    <x v="23"/>
    <x v="707"/>
    <x v="1405"/>
    <n v="1729000"/>
    <x v="355"/>
    <x v="14"/>
    <x v="86"/>
    <x v="0"/>
    <x v="1"/>
    <x v="1"/>
    <s v="First            "/>
    <s v="1451 cc "/>
    <s v="141 bhp @ 5000 rpm  "/>
    <n v="141"/>
    <n v="4.6550000000000002"/>
    <n v="1.835"/>
    <n v="1.76"/>
    <n v="5"/>
    <x v="1"/>
    <n v="60"/>
  </r>
  <r>
    <x v="1"/>
    <x v="727"/>
    <x v="1406"/>
    <n v="1748999"/>
    <x v="356"/>
    <x v="16"/>
    <x v="638"/>
    <x v="0"/>
    <x v="1"/>
    <x v="0"/>
    <s v="First            "/>
    <s v="1497 cc "/>
    <s v="113 bhp @ 6300 rpm  "/>
    <n v="113"/>
    <n v="4.3"/>
    <n v="1.79"/>
    <n v="1.635"/>
    <n v="5"/>
    <x v="1"/>
    <n v="50"/>
  </r>
  <r>
    <x v="20"/>
    <x v="728"/>
    <x v="1407"/>
    <n v="1748999"/>
    <x v="356"/>
    <x v="15"/>
    <x v="639"/>
    <x v="0"/>
    <x v="0"/>
    <x v="8"/>
    <s v="First            "/>
    <s v="1368 cc "/>
    <s v="160 bhp @ 5500 rpm  "/>
    <n v="160"/>
    <n v="4.3949999999999996"/>
    <n v="1.8180000000000001"/>
    <n v="1.64"/>
    <n v="5"/>
    <x v="1"/>
    <n v="60"/>
  </r>
  <r>
    <x v="1"/>
    <x v="729"/>
    <x v="1408"/>
    <n v="1750000"/>
    <x v="357"/>
    <x v="15"/>
    <x v="50"/>
    <x v="2"/>
    <x v="0"/>
    <x v="0"/>
    <s v="First            "/>
    <s v="1493 cc "/>
    <s v="113 bhp @ 4000 rpm  "/>
    <n v="113"/>
    <n v="4.5"/>
    <n v="1.79"/>
    <n v="1.675"/>
    <n v="7"/>
    <x v="1"/>
    <n v="50"/>
  </r>
  <r>
    <x v="1"/>
    <x v="525"/>
    <x v="1409"/>
    <n v="1750000"/>
    <x v="357"/>
    <x v="15"/>
    <x v="79"/>
    <x v="2"/>
    <x v="0"/>
    <x v="8"/>
    <s v="First            "/>
    <s v="1582 cc "/>
    <s v="126 bhp @ 4000 rpm  "/>
    <n v="126"/>
    <n v="4.2699999999999996"/>
    <n v="1.78"/>
    <n v="1.63"/>
    <n v="5"/>
    <x v="1"/>
    <n v="60"/>
  </r>
  <r>
    <x v="1"/>
    <x v="514"/>
    <x v="1410"/>
    <n v="1750000"/>
    <x v="357"/>
    <x v="15"/>
    <x v="169"/>
    <x v="2"/>
    <x v="0"/>
    <x v="8"/>
    <s v="First            "/>
    <s v="1582 cc "/>
    <s v="126 bhp @ 4000 rpm  "/>
    <n v="126"/>
    <n v="4.2699999999999996"/>
    <n v="1.78"/>
    <n v="1.63"/>
    <n v="5"/>
    <x v="1"/>
    <n v="60"/>
  </r>
  <r>
    <x v="14"/>
    <x v="730"/>
    <x v="1411"/>
    <n v="1750000"/>
    <x v="357"/>
    <x v="10"/>
    <x v="96"/>
    <x v="2"/>
    <x v="1"/>
    <x v="0"/>
    <s v="Second           "/>
    <s v="2143 cc "/>
    <s v="134 bhp @ 3600 rpm  "/>
    <n v="134"/>
    <n v="4.4169999999999998"/>
    <n v="1.804"/>
    <n v="1.494"/>
    <n v="5"/>
    <x v="1"/>
    <n v="50"/>
  </r>
  <r>
    <x v="1"/>
    <x v="731"/>
    <x v="1412"/>
    <n v="1750000"/>
    <x v="357"/>
    <x v="16"/>
    <x v="20"/>
    <x v="0"/>
    <x v="1"/>
    <x v="0"/>
    <s v="First            "/>
    <s v="1353 cc "/>
    <s v="138 bhp @ 6000 rpm  "/>
    <n v="138"/>
    <n v="4.3"/>
    <n v="1.79"/>
    <n v="1.635"/>
    <n v="5"/>
    <x v="1"/>
    <n v="50"/>
  </r>
  <r>
    <x v="23"/>
    <x v="732"/>
    <x v="1413"/>
    <n v="1750000"/>
    <x v="357"/>
    <x v="15"/>
    <x v="109"/>
    <x v="0"/>
    <x v="1"/>
    <x v="8"/>
    <s v="First            "/>
    <s v="1451 cc "/>
    <s v="141 bhp @ 5000 rpm  "/>
    <n v="141"/>
    <n v="4.6550000000000002"/>
    <n v="1.835"/>
    <n v="1.76"/>
    <n v="5"/>
    <x v="1"/>
    <n v="60"/>
  </r>
  <r>
    <x v="20"/>
    <x v="733"/>
    <x v="1414"/>
    <n v="1750000"/>
    <x v="357"/>
    <x v="13"/>
    <x v="38"/>
    <x v="0"/>
    <x v="1"/>
    <x v="1"/>
    <s v="First            "/>
    <s v="1368 cc "/>
    <s v="160 bhp @ 5500 rpm  "/>
    <n v="160"/>
    <n v="4.3949999999999996"/>
    <n v="1.8180000000000001"/>
    <n v="1.64"/>
    <n v="5"/>
    <x v="1"/>
    <n v="60"/>
  </r>
  <r>
    <x v="0"/>
    <x v="734"/>
    <x v="1415"/>
    <n v="1750000"/>
    <x v="357"/>
    <x v="14"/>
    <x v="640"/>
    <x v="2"/>
    <x v="0"/>
    <x v="1"/>
    <s v="First            "/>
    <s v="1956 cc "/>
    <s v="168 bhp @ 3750 rpm  "/>
    <n v="168"/>
    <n v="4.5979999999999999"/>
    <n v="1.8939999999999999"/>
    <n v="1.706"/>
    <n v="5"/>
    <x v="1"/>
    <n v="50"/>
  </r>
  <r>
    <x v="4"/>
    <x v="735"/>
    <x v="1416"/>
    <n v="1750000"/>
    <x v="357"/>
    <x v="10"/>
    <x v="8"/>
    <x v="2"/>
    <x v="1"/>
    <x v="8"/>
    <s v="Second           "/>
    <s v="2982 cc "/>
    <s v="169 bhp @ 3600 rpm  "/>
    <n v="169"/>
    <n v="4.7050000000000001"/>
    <n v="1.84"/>
    <n v="1.85"/>
    <n v="7"/>
    <x v="1"/>
    <n v="80"/>
  </r>
  <r>
    <x v="4"/>
    <x v="592"/>
    <x v="1417"/>
    <n v="1750000"/>
    <x v="357"/>
    <x v="6"/>
    <x v="582"/>
    <x v="2"/>
    <x v="1"/>
    <x v="0"/>
    <s v="First            "/>
    <s v="2982 cc "/>
    <s v="169 bhp @ 3600 rpm  "/>
    <n v="169"/>
    <n v="4.7050000000000001"/>
    <n v="1.84"/>
    <n v="1.85"/>
    <n v="7"/>
    <x v="1"/>
    <n v="80"/>
  </r>
  <r>
    <x v="4"/>
    <x v="627"/>
    <x v="1418"/>
    <n v="1750000"/>
    <x v="357"/>
    <x v="8"/>
    <x v="63"/>
    <x v="2"/>
    <x v="0"/>
    <x v="0"/>
    <s v="Second           "/>
    <s v="2982 cc "/>
    <s v="169 bhp @ 3600 rpm  "/>
    <n v="169"/>
    <n v="4.7050000000000001"/>
    <n v="1.84"/>
    <n v="1.85"/>
    <n v="7"/>
    <x v="1"/>
    <n v="80"/>
  </r>
  <r>
    <x v="17"/>
    <x v="736"/>
    <x v="1419"/>
    <n v="1750000"/>
    <x v="357"/>
    <x v="6"/>
    <x v="46"/>
    <x v="2"/>
    <x v="1"/>
    <x v="0"/>
    <s v="Second           "/>
    <s v="1995 cc "/>
    <s v="190 bhp @ 4000 rpm  "/>
    <n v="190"/>
    <n v="4.899"/>
    <n v="2.0939999999999999"/>
    <n v="1.464"/>
    <n v="5"/>
    <x v="1"/>
    <n v="65"/>
  </r>
  <r>
    <x v="14"/>
    <x v="737"/>
    <x v="1420"/>
    <n v="1750000"/>
    <x v="357"/>
    <x v="6"/>
    <x v="4"/>
    <x v="2"/>
    <x v="1"/>
    <x v="10"/>
    <s v="First            "/>
    <s v="2143 cc "/>
    <s v="204 bhp @ 4200 rpm  "/>
    <n v="204"/>
    <n v="4.8789999999999996"/>
    <n v="1.8540000000000001"/>
    <n v="1.474"/>
    <n v="5"/>
    <x v="1"/>
    <n v="80"/>
  </r>
  <r>
    <x v="18"/>
    <x v="738"/>
    <x v="1421"/>
    <n v="1760000"/>
    <x v="358"/>
    <x v="9"/>
    <x v="22"/>
    <x v="0"/>
    <x v="1"/>
    <x v="0"/>
    <s v="First            "/>
    <s v="1798 cc "/>
    <s v="178 bhp @ 5100 rpm  "/>
    <n v="178"/>
    <n v="4.4560000000000004"/>
    <n v="1.796"/>
    <n v="1.4159999999999999"/>
    <n v="5"/>
    <x v="1"/>
    <n v="50"/>
  </r>
  <r>
    <x v="23"/>
    <x v="739"/>
    <x v="1422"/>
    <n v="1764999"/>
    <x v="359"/>
    <x v="15"/>
    <x v="641"/>
    <x v="0"/>
    <x v="1"/>
    <x v="4"/>
    <s v="First            "/>
    <s v="1498 cc "/>
    <s v="108 bhp @ 6000 rpm  "/>
    <n v="108"/>
    <n v="4.3230000000000004"/>
    <n v="1.8089999999999999"/>
    <n v="1.65"/>
    <n v="5"/>
    <x v="1"/>
    <n v="48"/>
  </r>
  <r>
    <x v="18"/>
    <x v="740"/>
    <x v="1423"/>
    <n v="1775000"/>
    <x v="360"/>
    <x v="10"/>
    <x v="3"/>
    <x v="2"/>
    <x v="1"/>
    <x v="1"/>
    <s v="First            "/>
    <s v="1968 cc "/>
    <s v="174 bhp @ 4200 rpm  "/>
    <n v="174"/>
    <n v="4.3849999999999998"/>
    <n v="1.831"/>
    <n v="1.6080000000000001"/>
    <n v="5"/>
    <x v="1"/>
    <n v="64"/>
  </r>
  <r>
    <x v="18"/>
    <x v="622"/>
    <x v="1424"/>
    <n v="1775000"/>
    <x v="360"/>
    <x v="6"/>
    <x v="33"/>
    <x v="2"/>
    <x v="1"/>
    <x v="0"/>
    <s v="First            "/>
    <s v="1968 cc "/>
    <s v="177 bhp @ 3750 rpm  "/>
    <n v="177"/>
    <n v="4.915"/>
    <n v="1.8740000000000001"/>
    <n v="1.4550000000000001"/>
    <n v="5"/>
    <x v="1"/>
    <n v="65"/>
  </r>
  <r>
    <x v="23"/>
    <x v="741"/>
    <x v="1425"/>
    <n v="1780000"/>
    <x v="361"/>
    <x v="14"/>
    <x v="642"/>
    <x v="2"/>
    <x v="0"/>
    <x v="8"/>
    <s v="First            "/>
    <s v="1956 cc "/>
    <s v="169 bhp @ 3750 rpm  "/>
    <n v="169"/>
    <n v="4.6550000000000002"/>
    <n v="1.835"/>
    <n v="1.76"/>
    <n v="5"/>
    <x v="1"/>
    <n v="60"/>
  </r>
  <r>
    <x v="14"/>
    <x v="710"/>
    <x v="1426"/>
    <n v="1789999"/>
    <x v="362"/>
    <x v="10"/>
    <x v="114"/>
    <x v="2"/>
    <x v="1"/>
    <x v="0"/>
    <s v="First            "/>
    <s v="2143 cc "/>
    <s v="134 bhp @ 3600 rpm  "/>
    <n v="134"/>
    <n v="4.4169999999999998"/>
    <n v="1.804"/>
    <n v="1.494"/>
    <n v="5"/>
    <x v="1"/>
    <n v="50"/>
  </r>
  <r>
    <x v="1"/>
    <x v="742"/>
    <x v="1427"/>
    <n v="1789999"/>
    <x v="362"/>
    <x v="12"/>
    <x v="117"/>
    <x v="0"/>
    <x v="1"/>
    <x v="8"/>
    <s v="First            "/>
    <s v="1999 cc "/>
    <s v="153 bhp @ 6200 rpm  "/>
    <n v="153"/>
    <n v="4.4749999999999996"/>
    <n v="1.85"/>
    <n v="1.66"/>
    <n v="5"/>
    <x v="1"/>
    <n v="62"/>
  </r>
  <r>
    <x v="4"/>
    <x v="743"/>
    <x v="1428"/>
    <n v="1789999"/>
    <x v="362"/>
    <x v="9"/>
    <x v="126"/>
    <x v="0"/>
    <x v="1"/>
    <x v="6"/>
    <s v="Second           "/>
    <s v="2694 cc "/>
    <s v="164 bhp @ 5200 rpm  "/>
    <n v="164"/>
    <n v="4.7350000000000003"/>
    <n v="1.83"/>
    <n v="1.7949999999999999"/>
    <n v="7"/>
    <x v="1"/>
    <n v="65"/>
  </r>
  <r>
    <x v="24"/>
    <x v="744"/>
    <x v="1429"/>
    <n v="1791000"/>
    <x v="363"/>
    <x v="9"/>
    <x v="643"/>
    <x v="2"/>
    <x v="1"/>
    <x v="1"/>
    <s v="First            "/>
    <s v="2999 cc "/>
    <s v="174 bhp @ 3600 rpm  "/>
    <n v="174"/>
    <n v="4.8250000000000002"/>
    <n v="1.86"/>
    <n v="1.84"/>
    <n v="7"/>
    <x v="1"/>
    <n v="65"/>
  </r>
  <r>
    <x v="19"/>
    <x v="719"/>
    <x v="1430"/>
    <n v="1798999"/>
    <x v="364"/>
    <x v="9"/>
    <x v="169"/>
    <x v="2"/>
    <x v="1"/>
    <x v="7"/>
    <s v="First            "/>
    <s v="1984 cc "/>
    <s v="150 bhp @ 3500 rpm  "/>
    <n v="150"/>
    <n v="4.37"/>
    <n v="1.7829999999999999"/>
    <n v="1.458"/>
    <n v="5"/>
    <x v="1"/>
    <n v="60"/>
  </r>
  <r>
    <x v="18"/>
    <x v="712"/>
    <x v="1431"/>
    <n v="1798999"/>
    <x v="364"/>
    <x v="11"/>
    <x v="644"/>
    <x v="2"/>
    <x v="1"/>
    <x v="0"/>
    <s v="First            "/>
    <s v="1968 cc "/>
    <s v="174 bhp @ 4200 rpm  "/>
    <n v="174"/>
    <n v="4.3849999999999998"/>
    <n v="1.831"/>
    <n v="1.6080000000000001"/>
    <n v="5"/>
    <x v="1"/>
    <n v="64"/>
  </r>
  <r>
    <x v="8"/>
    <x v="677"/>
    <x v="1432"/>
    <n v="1800000"/>
    <x v="365"/>
    <x v="15"/>
    <x v="79"/>
    <x v="2"/>
    <x v="0"/>
    <x v="8"/>
    <s v="First            "/>
    <s v="2184 cc "/>
    <s v="130 bhp @ 3750 rpm  "/>
    <n v="130"/>
    <n v="3.9849999999999999"/>
    <n v="1.82"/>
    <n v="1.8440000000000001"/>
    <n v="4"/>
    <x v="0"/>
    <n v="57"/>
  </r>
  <r>
    <x v="8"/>
    <x v="677"/>
    <x v="1433"/>
    <n v="1800000"/>
    <x v="365"/>
    <x v="15"/>
    <x v="645"/>
    <x v="2"/>
    <x v="0"/>
    <x v="2"/>
    <s v="First            "/>
    <s v="2184 cc "/>
    <s v="130 bhp @ 3750 rpm  "/>
    <n v="130"/>
    <n v="3.9849999999999999"/>
    <n v="1.82"/>
    <n v="1.8440000000000001"/>
    <n v="4"/>
    <x v="0"/>
    <n v="57"/>
  </r>
  <r>
    <x v="18"/>
    <x v="745"/>
    <x v="1434"/>
    <n v="1800000"/>
    <x v="365"/>
    <x v="6"/>
    <x v="646"/>
    <x v="2"/>
    <x v="1"/>
    <x v="7"/>
    <s v="First            "/>
    <s v="1968 cc "/>
    <s v="141 bhp @ 3500 rpm  "/>
    <n v="141"/>
    <n v="4.4560000000000004"/>
    <n v="1.796"/>
    <n v="1.4159999999999999"/>
    <n v="5"/>
    <x v="1"/>
    <n v="50"/>
  </r>
  <r>
    <x v="4"/>
    <x v="592"/>
    <x v="1435"/>
    <n v="1800000"/>
    <x v="365"/>
    <x v="10"/>
    <x v="90"/>
    <x v="2"/>
    <x v="1"/>
    <x v="0"/>
    <s v="Second           "/>
    <s v="2982 cc "/>
    <s v="169 bhp @ 3600 rpm  "/>
    <n v="169"/>
    <n v="4.7050000000000001"/>
    <n v="1.84"/>
    <n v="1.85"/>
    <n v="7"/>
    <x v="1"/>
    <n v="80"/>
  </r>
  <r>
    <x v="18"/>
    <x v="672"/>
    <x v="1436"/>
    <n v="1800000"/>
    <x v="365"/>
    <x v="6"/>
    <x v="647"/>
    <x v="2"/>
    <x v="1"/>
    <x v="0"/>
    <s v="First            "/>
    <s v="1968 cc "/>
    <s v="177 bhp @ 3750 rpm  "/>
    <n v="177"/>
    <n v="4.915"/>
    <n v="1.8740000000000001"/>
    <n v="1.4550000000000001"/>
    <n v="5"/>
    <x v="1"/>
    <n v="65"/>
  </r>
  <r>
    <x v="17"/>
    <x v="599"/>
    <x v="1437"/>
    <n v="1800000"/>
    <x v="365"/>
    <x v="1"/>
    <x v="648"/>
    <x v="2"/>
    <x v="1"/>
    <x v="8"/>
    <s v="First            "/>
    <s v="1995 cc "/>
    <s v="184 bhp @ 4000 rpm  "/>
    <n v="184"/>
    <n v="4.6479999999999997"/>
    <n v="1.881"/>
    <n v="1.661"/>
    <n v="5"/>
    <x v="1"/>
    <n v="67"/>
  </r>
  <r>
    <x v="8"/>
    <x v="722"/>
    <x v="1438"/>
    <n v="1825000"/>
    <x v="366"/>
    <x v="16"/>
    <x v="421"/>
    <x v="2"/>
    <x v="1"/>
    <x v="8"/>
    <s v="First            "/>
    <s v="2184 cc "/>
    <s v="130 bhp @ 3750 rpm  "/>
    <n v="130"/>
    <n v="3.9849999999999999"/>
    <n v="1.82"/>
    <n v="1.8440000000000001"/>
    <n v="4"/>
    <x v="0"/>
    <n v="57"/>
  </r>
  <r>
    <x v="14"/>
    <x v="746"/>
    <x v="1439"/>
    <n v="1825000"/>
    <x v="366"/>
    <x v="11"/>
    <x v="133"/>
    <x v="2"/>
    <x v="1"/>
    <x v="0"/>
    <s v="First            "/>
    <s v="2143 cc "/>
    <s v="134 bhp @ 3600 rpm  "/>
    <n v="134"/>
    <n v="4.4240000000000004"/>
    <n v="1.804"/>
    <n v="1.494"/>
    <n v="5"/>
    <x v="1"/>
    <n v="50"/>
  </r>
  <r>
    <x v="1"/>
    <x v="731"/>
    <x v="1440"/>
    <n v="1825000"/>
    <x v="366"/>
    <x v="15"/>
    <x v="114"/>
    <x v="0"/>
    <x v="1"/>
    <x v="0"/>
    <s v="First            "/>
    <s v="1353 cc "/>
    <s v="138 bhp @ 6000 rpm  "/>
    <n v="138"/>
    <n v="4.3"/>
    <n v="1.79"/>
    <n v="1.635"/>
    <n v="5"/>
    <x v="1"/>
    <n v="50"/>
  </r>
  <r>
    <x v="4"/>
    <x v="691"/>
    <x v="1441"/>
    <n v="1825000"/>
    <x v="366"/>
    <x v="11"/>
    <x v="649"/>
    <x v="2"/>
    <x v="0"/>
    <x v="0"/>
    <s v="First            "/>
    <s v="2393 cc "/>
    <s v="148 bhp @ 3400 rpm  "/>
    <n v="148"/>
    <n v="4.7350000000000003"/>
    <n v="1.83"/>
    <n v="1.7949999999999999"/>
    <n v="7"/>
    <x v="1"/>
    <n v="55"/>
  </r>
  <r>
    <x v="21"/>
    <x v="747"/>
    <x v="1442"/>
    <n v="1835000"/>
    <x v="367"/>
    <x v="14"/>
    <x v="650"/>
    <x v="2"/>
    <x v="1"/>
    <x v="0"/>
    <s v="First            "/>
    <s v="1493 cc "/>
    <s v="114 bhp @ 4000 rpm  "/>
    <n v="114"/>
    <n v="4.3150000000000004"/>
    <n v="1.8"/>
    <n v="1.645"/>
    <n v="5"/>
    <x v="1"/>
    <n v="50"/>
  </r>
  <r>
    <x v="18"/>
    <x v="748"/>
    <x v="1443"/>
    <n v="1839000"/>
    <x v="368"/>
    <x v="9"/>
    <x v="68"/>
    <x v="2"/>
    <x v="1"/>
    <x v="7"/>
    <s v="First            "/>
    <s v="1968 cc "/>
    <s v="174 bhp @ 4200 rpm  "/>
    <n v="174"/>
    <n v="4.3849999999999998"/>
    <n v="1.831"/>
    <n v="1.6080000000000001"/>
    <n v="5"/>
    <x v="1"/>
    <n v="64"/>
  </r>
  <r>
    <x v="1"/>
    <x v="749"/>
    <x v="1444"/>
    <n v="1848999"/>
    <x v="369"/>
    <x v="15"/>
    <x v="42"/>
    <x v="2"/>
    <x v="0"/>
    <x v="0"/>
    <s v="First            "/>
    <s v="1493 cc "/>
    <s v="113 bhp @ 4000 rpm  "/>
    <n v="113"/>
    <n v="4.5"/>
    <n v="1.79"/>
    <n v="1.675"/>
    <n v="7"/>
    <x v="1"/>
    <n v="50"/>
  </r>
  <r>
    <x v="14"/>
    <x v="750"/>
    <x v="1445"/>
    <n v="1850000"/>
    <x v="370"/>
    <x v="11"/>
    <x v="651"/>
    <x v="2"/>
    <x v="1"/>
    <x v="4"/>
    <s v="First            "/>
    <s v="2143 cc "/>
    <s v="134 bhp @ 3600 rpm  "/>
    <n v="134"/>
    <n v="4.2990000000000004"/>
    <n v="1.78"/>
    <n v="1.4330000000000001"/>
    <n v="4"/>
    <x v="0"/>
    <n v="50"/>
  </r>
  <r>
    <x v="21"/>
    <x v="751"/>
    <x v="1446"/>
    <n v="1850000"/>
    <x v="370"/>
    <x v="14"/>
    <x v="362"/>
    <x v="0"/>
    <x v="1"/>
    <x v="8"/>
    <s v="First            "/>
    <s v="1353 cc "/>
    <s v="138 bhp @ 6000 rpm  "/>
    <n v="138"/>
    <n v="4.3150000000000004"/>
    <n v="1.8"/>
    <n v="1.645"/>
    <n v="5"/>
    <x v="1"/>
    <n v="50"/>
  </r>
  <r>
    <x v="8"/>
    <x v="752"/>
    <x v="1447"/>
    <n v="1850000"/>
    <x v="370"/>
    <x v="15"/>
    <x v="652"/>
    <x v="0"/>
    <x v="0"/>
    <x v="4"/>
    <s v="Second           "/>
    <s v="1997 cc "/>
    <s v="150 bhp @ 5000 rpm  "/>
    <n v="150"/>
    <n v="3.9849999999999999"/>
    <n v="1.82"/>
    <n v="1.92"/>
    <n v="6"/>
    <x v="1"/>
    <n v="57"/>
  </r>
  <r>
    <x v="4"/>
    <x v="753"/>
    <x v="1448"/>
    <n v="1850000"/>
    <x v="370"/>
    <x v="11"/>
    <x v="8"/>
    <x v="2"/>
    <x v="1"/>
    <x v="0"/>
    <s v="First            "/>
    <s v="2755 cc "/>
    <s v="172 bhp @ 3400 rpm  "/>
    <n v="172"/>
    <n v="4.7350000000000003"/>
    <n v="1.83"/>
    <n v="1.7949999999999999"/>
    <n v="7"/>
    <x v="1"/>
    <n v="55"/>
  </r>
  <r>
    <x v="18"/>
    <x v="712"/>
    <x v="1449"/>
    <n v="1850000"/>
    <x v="370"/>
    <x v="10"/>
    <x v="653"/>
    <x v="2"/>
    <x v="1"/>
    <x v="0"/>
    <s v="Second           "/>
    <s v="1968 cc "/>
    <s v="174 bhp @ 4200 rpm  "/>
    <n v="174"/>
    <n v="4.3849999999999998"/>
    <n v="1.831"/>
    <n v="1.6080000000000001"/>
    <n v="5"/>
    <x v="1"/>
    <n v="64"/>
  </r>
  <r>
    <x v="18"/>
    <x v="657"/>
    <x v="1450"/>
    <n v="1850000"/>
    <x v="370"/>
    <x v="8"/>
    <x v="654"/>
    <x v="2"/>
    <x v="1"/>
    <x v="0"/>
    <s v="First            "/>
    <s v="1968 cc "/>
    <s v="174 bhp @ 4200 rpm  "/>
    <n v="174"/>
    <n v="4.3849999999999998"/>
    <n v="1.831"/>
    <n v="1.6080000000000001"/>
    <n v="5"/>
    <x v="1"/>
    <n v="64"/>
  </r>
  <r>
    <x v="14"/>
    <x v="754"/>
    <x v="1451"/>
    <n v="1850000"/>
    <x v="370"/>
    <x v="4"/>
    <x v="50"/>
    <x v="0"/>
    <x v="1"/>
    <x v="8"/>
    <s v="First            "/>
    <s v="3498 cc "/>
    <s v="272 bhp @ 6300 rpm  "/>
    <n v="272"/>
    <n v="5.226"/>
    <n v="2.12"/>
    <n v="1.4790000000000001"/>
    <n v="5"/>
    <x v="1"/>
    <n v="90"/>
  </r>
  <r>
    <x v="8"/>
    <x v="755"/>
    <x v="1452"/>
    <n v="1864999"/>
    <x v="371"/>
    <x v="14"/>
    <x v="83"/>
    <x v="2"/>
    <x v="1"/>
    <x v="7"/>
    <s v="First            "/>
    <s v="2184 cc "/>
    <s v="130 bhp @ 3750 rpm  "/>
    <n v="130"/>
    <n v="3.9849999999999999"/>
    <n v="1.82"/>
    <n v="1.855"/>
    <n v="4"/>
    <x v="0"/>
    <n v="57"/>
  </r>
  <r>
    <x v="21"/>
    <x v="747"/>
    <x v="1453"/>
    <n v="1875000"/>
    <x v="372"/>
    <x v="15"/>
    <x v="157"/>
    <x v="2"/>
    <x v="1"/>
    <x v="2"/>
    <s v="First            "/>
    <s v="1493 cc "/>
    <s v="114 bhp @ 4000 rpm  "/>
    <n v="114"/>
    <n v="4.3150000000000004"/>
    <n v="1.8"/>
    <n v="1.645"/>
    <n v="5"/>
    <x v="1"/>
    <n v="50"/>
  </r>
  <r>
    <x v="8"/>
    <x v="722"/>
    <x v="1454"/>
    <n v="1875000"/>
    <x v="372"/>
    <x v="16"/>
    <x v="385"/>
    <x v="2"/>
    <x v="1"/>
    <x v="2"/>
    <s v="First            "/>
    <s v="2184 cc "/>
    <s v="130 bhp @ 3750 rpm  "/>
    <n v="130"/>
    <n v="3.9849999999999999"/>
    <n v="1.82"/>
    <n v="1.8440000000000001"/>
    <n v="4"/>
    <x v="0"/>
    <n v="57"/>
  </r>
  <r>
    <x v="1"/>
    <x v="731"/>
    <x v="1455"/>
    <n v="1875000"/>
    <x v="372"/>
    <x v="16"/>
    <x v="185"/>
    <x v="0"/>
    <x v="1"/>
    <x v="8"/>
    <s v="First            "/>
    <s v="1353 cc "/>
    <s v="138 bhp @ 6000 rpm  "/>
    <n v="138"/>
    <n v="4.3"/>
    <n v="1.79"/>
    <n v="1.635"/>
    <n v="5"/>
    <x v="1"/>
    <n v="50"/>
  </r>
  <r>
    <x v="1"/>
    <x v="731"/>
    <x v="1456"/>
    <n v="1875000"/>
    <x v="372"/>
    <x v="14"/>
    <x v="185"/>
    <x v="0"/>
    <x v="1"/>
    <x v="8"/>
    <s v="First            "/>
    <s v="1353 cc "/>
    <s v="138 bhp @ 6000 rpm  "/>
    <n v="138"/>
    <n v="4.3"/>
    <n v="1.79"/>
    <n v="1.635"/>
    <n v="5"/>
    <x v="1"/>
    <n v="50"/>
  </r>
  <r>
    <x v="23"/>
    <x v="756"/>
    <x v="1457"/>
    <n v="1875000"/>
    <x v="372"/>
    <x v="15"/>
    <x v="349"/>
    <x v="0"/>
    <x v="1"/>
    <x v="4"/>
    <s v="First            "/>
    <s v="1451 cc "/>
    <s v="141 bhp @ 5000 rpm  "/>
    <n v="141"/>
    <n v="4.72"/>
    <n v="1.835"/>
    <n v="1.76"/>
    <n v="6"/>
    <x v="1"/>
    <n v="60"/>
  </r>
  <r>
    <x v="0"/>
    <x v="757"/>
    <x v="1458"/>
    <n v="1875000"/>
    <x v="372"/>
    <x v="15"/>
    <x v="191"/>
    <x v="2"/>
    <x v="0"/>
    <x v="0"/>
    <s v="First            "/>
    <s v="1956 cc "/>
    <s v="168 bhp @ 3750 rpm  "/>
    <n v="168"/>
    <n v="4.6609999999999996"/>
    <n v="1.8939999999999999"/>
    <n v="1.786"/>
    <n v="7"/>
    <x v="1"/>
    <n v="50"/>
  </r>
  <r>
    <x v="18"/>
    <x v="671"/>
    <x v="1459"/>
    <n v="1875000"/>
    <x v="372"/>
    <x v="11"/>
    <x v="122"/>
    <x v="2"/>
    <x v="1"/>
    <x v="0"/>
    <s v="First            "/>
    <s v="1968 cc "/>
    <s v="174 bhp @ 4200 rpm  "/>
    <n v="174"/>
    <n v="4.3849999999999998"/>
    <n v="1.831"/>
    <n v="1.6080000000000001"/>
    <n v="5"/>
    <x v="1"/>
    <n v="64"/>
  </r>
  <r>
    <x v="14"/>
    <x v="758"/>
    <x v="1460"/>
    <n v="1875000"/>
    <x v="372"/>
    <x v="4"/>
    <x v="8"/>
    <x v="0"/>
    <x v="1"/>
    <x v="1"/>
    <s v="First            "/>
    <s v="4663 cc "/>
    <s v="453 bhp @ 5250 rpm  "/>
    <n v="453"/>
    <n v="5.2460000000000004"/>
    <n v="1.899"/>
    <n v="1.494"/>
    <n v="4"/>
    <x v="0"/>
    <n v="80"/>
  </r>
  <r>
    <x v="23"/>
    <x v="707"/>
    <x v="1461"/>
    <n v="1889999"/>
    <x v="373"/>
    <x v="15"/>
    <x v="79"/>
    <x v="0"/>
    <x v="1"/>
    <x v="0"/>
    <s v="First            "/>
    <s v="1451 cc "/>
    <s v="141 bhp @ 5000 rpm  "/>
    <n v="141"/>
    <n v="4.6550000000000002"/>
    <n v="1.835"/>
    <n v="1.76"/>
    <n v="5"/>
    <x v="1"/>
    <n v="60"/>
  </r>
  <r>
    <x v="4"/>
    <x v="759"/>
    <x v="1462"/>
    <n v="1900000"/>
    <x v="374"/>
    <x v="13"/>
    <x v="154"/>
    <x v="2"/>
    <x v="0"/>
    <x v="12"/>
    <s v="First            "/>
    <s v="2393 cc "/>
    <s v="148 bhp @ 3400 rpm  "/>
    <n v="148"/>
    <n v="4.7350000000000003"/>
    <n v="1.83"/>
    <n v="1.7949999999999999"/>
    <n v="8"/>
    <x v="1"/>
    <n v="55"/>
  </r>
  <r>
    <x v="20"/>
    <x v="760"/>
    <x v="1463"/>
    <n v="1900000"/>
    <x v="374"/>
    <x v="14"/>
    <x v="655"/>
    <x v="2"/>
    <x v="1"/>
    <x v="2"/>
    <s v="First            "/>
    <s v="1956 cc "/>
    <s v="171 bhp @ 3750 rpm  "/>
    <n v="171"/>
    <n v="4.3949999999999996"/>
    <n v="1.8180000000000001"/>
    <n v="1.64"/>
    <n v="5"/>
    <x v="1"/>
    <n v="60"/>
  </r>
  <r>
    <x v="1"/>
    <x v="761"/>
    <x v="1464"/>
    <n v="1911000"/>
    <x v="375"/>
    <x v="16"/>
    <x v="617"/>
    <x v="0"/>
    <x v="1"/>
    <x v="8"/>
    <s v="First            "/>
    <s v="1353 cc "/>
    <s v="138 bhp @ 6000 rpm  "/>
    <n v="138"/>
    <n v="4.3"/>
    <n v="1.79"/>
    <n v="1.635"/>
    <n v="5"/>
    <x v="1"/>
    <n v="50"/>
  </r>
  <r>
    <x v="1"/>
    <x v="762"/>
    <x v="1465"/>
    <n v="1925000"/>
    <x v="376"/>
    <x v="16"/>
    <x v="656"/>
    <x v="0"/>
    <x v="1"/>
    <x v="0"/>
    <s v="First            "/>
    <s v="1497 cc "/>
    <s v="113 bhp @ 6300 rpm  "/>
    <n v="113"/>
    <n v="4.3"/>
    <n v="1.79"/>
    <n v="1.635"/>
    <n v="5"/>
    <x v="1"/>
    <n v="50"/>
  </r>
  <r>
    <x v="23"/>
    <x v="763"/>
    <x v="1466"/>
    <n v="1925000"/>
    <x v="376"/>
    <x v="15"/>
    <x v="116"/>
    <x v="0"/>
    <x v="1"/>
    <x v="1"/>
    <s v="First            "/>
    <s v="1451 cc "/>
    <s v="141 bhp @ 5000 rpm  "/>
    <n v="141"/>
    <n v="4.72"/>
    <n v="1.835"/>
    <n v="1.76"/>
    <n v="6"/>
    <x v="1"/>
    <n v="60"/>
  </r>
  <r>
    <x v="0"/>
    <x v="764"/>
    <x v="1467"/>
    <n v="1930000"/>
    <x v="377"/>
    <x v="15"/>
    <x v="385"/>
    <x v="2"/>
    <x v="0"/>
    <x v="8"/>
    <s v="First            "/>
    <s v="1956 cc "/>
    <s v="168 bhp @ 3750 rpm  "/>
    <n v="168"/>
    <n v="4.5979999999999999"/>
    <n v="1.8939999999999999"/>
    <n v="1.706"/>
    <n v="5"/>
    <x v="1"/>
    <n v="50"/>
  </r>
  <r>
    <x v="22"/>
    <x v="765"/>
    <x v="1468"/>
    <n v="1950000"/>
    <x v="378"/>
    <x v="6"/>
    <x v="35"/>
    <x v="2"/>
    <x v="1"/>
    <x v="4"/>
    <s v="Second           "/>
    <s v="1496 cc "/>
    <s v="114 bhp @ 4000 rpm  "/>
    <n v="114"/>
    <n v="3.9820000000000002"/>
    <n v="1.7270000000000001"/>
    <n v="1.425"/>
    <n v="5"/>
    <x v="1"/>
    <n v="44"/>
  </r>
  <r>
    <x v="8"/>
    <x v="722"/>
    <x v="1469"/>
    <n v="1950000"/>
    <x v="378"/>
    <x v="16"/>
    <x v="657"/>
    <x v="2"/>
    <x v="1"/>
    <x v="8"/>
    <s v="First            "/>
    <s v="2184 cc "/>
    <s v="130 bhp @ 3750 rpm  "/>
    <n v="130"/>
    <n v="3.9849999999999999"/>
    <n v="1.82"/>
    <n v="1.8440000000000001"/>
    <n v="4"/>
    <x v="0"/>
    <n v="57"/>
  </r>
  <r>
    <x v="23"/>
    <x v="756"/>
    <x v="1470"/>
    <n v="1950000"/>
    <x v="378"/>
    <x v="14"/>
    <x v="658"/>
    <x v="0"/>
    <x v="1"/>
    <x v="8"/>
    <s v="First            "/>
    <s v="1451 cc "/>
    <s v="141 bhp @ 5000 rpm  "/>
    <n v="141"/>
    <n v="4.72"/>
    <n v="1.835"/>
    <n v="1.76"/>
    <n v="6"/>
    <x v="1"/>
    <n v="60"/>
  </r>
  <r>
    <x v="4"/>
    <x v="667"/>
    <x v="1471"/>
    <n v="1950000"/>
    <x v="378"/>
    <x v="12"/>
    <x v="46"/>
    <x v="2"/>
    <x v="0"/>
    <x v="2"/>
    <s v="First            "/>
    <s v="2393 cc "/>
    <s v="148 bhp @ 3400 rpm  "/>
    <n v="148"/>
    <n v="4.7350000000000003"/>
    <n v="1.83"/>
    <n v="1.7949999999999999"/>
    <n v="7"/>
    <x v="1"/>
    <n v="55"/>
  </r>
  <r>
    <x v="4"/>
    <x v="691"/>
    <x v="1472"/>
    <n v="1950000"/>
    <x v="378"/>
    <x v="14"/>
    <x v="114"/>
    <x v="2"/>
    <x v="0"/>
    <x v="2"/>
    <s v="First            "/>
    <s v="2393 cc "/>
    <s v="148 bhp @ 3400 rpm  "/>
    <n v="148"/>
    <n v="4.7350000000000003"/>
    <n v="1.83"/>
    <n v="1.7949999999999999"/>
    <n v="7"/>
    <x v="1"/>
    <n v="55"/>
  </r>
  <r>
    <x v="4"/>
    <x v="766"/>
    <x v="1473"/>
    <n v="1950000"/>
    <x v="378"/>
    <x v="12"/>
    <x v="43"/>
    <x v="0"/>
    <x v="1"/>
    <x v="1"/>
    <s v="First            "/>
    <s v="2694 cc "/>
    <s v="164 bhp @ 5200 rpm  "/>
    <n v="164"/>
    <n v="4.7350000000000003"/>
    <n v="1.83"/>
    <n v="1.7949999999999999"/>
    <n v="7"/>
    <x v="1"/>
    <n v="65"/>
  </r>
  <r>
    <x v="18"/>
    <x v="712"/>
    <x v="1474"/>
    <n v="1950000"/>
    <x v="378"/>
    <x v="11"/>
    <x v="659"/>
    <x v="2"/>
    <x v="1"/>
    <x v="0"/>
    <s v="Second           "/>
    <s v="1968 cc "/>
    <s v="174 bhp @ 4200 rpm  "/>
    <n v="174"/>
    <n v="4.3849999999999998"/>
    <n v="1.831"/>
    <n v="1.6080000000000001"/>
    <n v="5"/>
    <x v="1"/>
    <n v="64"/>
  </r>
  <r>
    <x v="18"/>
    <x v="767"/>
    <x v="1475"/>
    <n v="1950000"/>
    <x v="378"/>
    <x v="11"/>
    <x v="660"/>
    <x v="2"/>
    <x v="1"/>
    <x v="0"/>
    <s v="First            "/>
    <s v="1968 cc "/>
    <s v="177 bhp @ 4200 rpm  "/>
    <n v="177"/>
    <n v="4.7009999999999996"/>
    <n v="1.8260000000000001"/>
    <n v="1.427"/>
    <n v="5"/>
    <x v="1"/>
    <n v="63"/>
  </r>
  <r>
    <x v="17"/>
    <x v="599"/>
    <x v="1476"/>
    <n v="1950000"/>
    <x v="378"/>
    <x v="6"/>
    <x v="58"/>
    <x v="2"/>
    <x v="1"/>
    <x v="0"/>
    <s v="Second           "/>
    <s v="1995 cc "/>
    <s v="184 bhp @ 4000 rpm  "/>
    <n v="184"/>
    <n v="4.6479999999999997"/>
    <n v="1.881"/>
    <n v="1.661"/>
    <n v="5"/>
    <x v="1"/>
    <n v="67"/>
  </r>
  <r>
    <x v="19"/>
    <x v="768"/>
    <x v="1477"/>
    <n v="1950000"/>
    <x v="378"/>
    <x v="11"/>
    <x v="65"/>
    <x v="2"/>
    <x v="1"/>
    <x v="0"/>
    <s v="First            "/>
    <s v="2400 cc "/>
    <s v="215 bhp @ 4000 rpm  "/>
    <n v="215"/>
    <n v="4.6440000000000001"/>
    <n v="1.891"/>
    <n v="1.7130000000000001"/>
    <n v="5"/>
    <x v="1"/>
    <n v="70"/>
  </r>
  <r>
    <x v="4"/>
    <x v="769"/>
    <x v="1478"/>
    <n v="1964999"/>
    <x v="379"/>
    <x v="14"/>
    <x v="50"/>
    <x v="0"/>
    <x v="0"/>
    <x v="1"/>
    <s v="First            "/>
    <s v="2694 cc "/>
    <s v="164 bhp @ 5200 rpm  "/>
    <n v="164"/>
    <n v="4.7350000000000003"/>
    <n v="1.83"/>
    <n v="1.7949999999999999"/>
    <n v="7"/>
    <x v="1"/>
    <n v="65"/>
  </r>
  <r>
    <x v="18"/>
    <x v="770"/>
    <x v="1479"/>
    <n v="1970000"/>
    <x v="380"/>
    <x v="9"/>
    <x v="21"/>
    <x v="2"/>
    <x v="1"/>
    <x v="7"/>
    <s v="Second           "/>
    <s v="1968 cc "/>
    <s v="150 bhp @ 3500 rpm  "/>
    <n v="150"/>
    <n v="4.3849999999999998"/>
    <n v="1.831"/>
    <n v="1.6080000000000001"/>
    <n v="5"/>
    <x v="1"/>
    <n v="64"/>
  </r>
  <r>
    <x v="21"/>
    <x v="681"/>
    <x v="1480"/>
    <n v="1975000"/>
    <x v="381"/>
    <x v="15"/>
    <x v="362"/>
    <x v="0"/>
    <x v="1"/>
    <x v="2"/>
    <s v="First            "/>
    <s v="1353 cc "/>
    <s v="138 bhp @ 6000 rpm  "/>
    <n v="138"/>
    <n v="4.3150000000000004"/>
    <n v="1.8"/>
    <n v="1.645"/>
    <n v="5"/>
    <x v="1"/>
    <n v="50"/>
  </r>
  <r>
    <x v="23"/>
    <x v="741"/>
    <x v="1481"/>
    <n v="1975000"/>
    <x v="381"/>
    <x v="15"/>
    <x v="18"/>
    <x v="2"/>
    <x v="0"/>
    <x v="4"/>
    <s v="First            "/>
    <s v="1956 cc "/>
    <s v="169 bhp @ 3750 rpm  "/>
    <n v="169"/>
    <n v="4.6550000000000002"/>
    <n v="1.835"/>
    <n v="1.76"/>
    <n v="5"/>
    <x v="1"/>
    <n v="60"/>
  </r>
  <r>
    <x v="4"/>
    <x v="627"/>
    <x v="1482"/>
    <n v="1975000"/>
    <x v="381"/>
    <x v="6"/>
    <x v="661"/>
    <x v="2"/>
    <x v="0"/>
    <x v="0"/>
    <s v="Second           "/>
    <s v="2982 cc "/>
    <s v="169 bhp @ 3600 rpm  "/>
    <n v="169"/>
    <n v="4.7050000000000001"/>
    <n v="1.84"/>
    <n v="1.85"/>
    <n v="7"/>
    <x v="1"/>
    <n v="80"/>
  </r>
  <r>
    <x v="4"/>
    <x v="753"/>
    <x v="1483"/>
    <n v="1975000"/>
    <x v="381"/>
    <x v="12"/>
    <x v="33"/>
    <x v="2"/>
    <x v="1"/>
    <x v="2"/>
    <s v="First            "/>
    <s v="2755 cc "/>
    <s v="172 bhp @ 3400 rpm  "/>
    <n v="172"/>
    <n v="4.7350000000000003"/>
    <n v="1.83"/>
    <n v="1.7949999999999999"/>
    <n v="7"/>
    <x v="1"/>
    <n v="55"/>
  </r>
  <r>
    <x v="18"/>
    <x v="771"/>
    <x v="1484"/>
    <n v="1975000"/>
    <x v="381"/>
    <x v="10"/>
    <x v="27"/>
    <x v="2"/>
    <x v="1"/>
    <x v="0"/>
    <s v="Second           "/>
    <s v="1968 cc "/>
    <s v="190 bhp @ 3800 rpm  "/>
    <n v="190"/>
    <n v="4.9329999999999998"/>
    <n v="1.8740000000000001"/>
    <n v="1.4550000000000001"/>
    <n v="5"/>
    <x v="1"/>
    <n v="75"/>
  </r>
  <r>
    <x v="1"/>
    <x v="772"/>
    <x v="1485"/>
    <n v="1989999"/>
    <x v="382"/>
    <x v="16"/>
    <x v="662"/>
    <x v="2"/>
    <x v="1"/>
    <x v="0"/>
    <s v="First            "/>
    <s v="1493 cc "/>
    <s v="113 bhp @ 4000 rpm  "/>
    <n v="113"/>
    <n v="4.3"/>
    <n v="1.79"/>
    <n v="1.635"/>
    <n v="5"/>
    <x v="1"/>
    <n v="50"/>
  </r>
  <r>
    <x v="4"/>
    <x v="667"/>
    <x v="1486"/>
    <n v="1989999"/>
    <x v="382"/>
    <x v="12"/>
    <x v="17"/>
    <x v="2"/>
    <x v="0"/>
    <x v="5"/>
    <s v="First            "/>
    <s v="2393 cc "/>
    <s v="148 bhp @ 3400 rpm  "/>
    <n v="148"/>
    <n v="4.7350000000000003"/>
    <n v="1.83"/>
    <n v="1.7949999999999999"/>
    <n v="7"/>
    <x v="1"/>
    <n v="55"/>
  </r>
  <r>
    <x v="4"/>
    <x v="773"/>
    <x v="1487"/>
    <n v="1995000"/>
    <x v="383"/>
    <x v="12"/>
    <x v="663"/>
    <x v="2"/>
    <x v="0"/>
    <x v="0"/>
    <s v="First            "/>
    <s v="2393 cc "/>
    <s v="148 bhp @ 3400 rpm  "/>
    <n v="148"/>
    <n v="4.7350000000000003"/>
    <n v="1.83"/>
    <n v="1.7949999999999999"/>
    <n v="8"/>
    <x v="1"/>
    <n v="55"/>
  </r>
  <r>
    <x v="0"/>
    <x v="774"/>
    <x v="1488"/>
    <n v="1995000"/>
    <x v="383"/>
    <x v="14"/>
    <x v="414"/>
    <x v="2"/>
    <x v="1"/>
    <x v="8"/>
    <s v="First            "/>
    <s v="1956 cc "/>
    <s v="168 bhp @ 3750 rpm  "/>
    <n v="168"/>
    <n v="4.5979999999999999"/>
    <n v="1.8939999999999999"/>
    <n v="1.706"/>
    <n v="5"/>
    <x v="1"/>
    <n v="50"/>
  </r>
  <r>
    <x v="15"/>
    <x v="775"/>
    <x v="1489"/>
    <n v="1995000"/>
    <x v="383"/>
    <x v="12"/>
    <x v="85"/>
    <x v="2"/>
    <x v="1"/>
    <x v="1"/>
    <s v="First            "/>
    <s v="2477 cc "/>
    <s v="176 bhp @ 4000 rpm  "/>
    <n v="176"/>
    <n v="4.6950000000000003"/>
    <n v="1.8149999999999999"/>
    <n v="1.84"/>
    <n v="7"/>
    <x v="1"/>
    <n v="70"/>
  </r>
  <r>
    <x v="14"/>
    <x v="776"/>
    <x v="1490"/>
    <n v="1998999"/>
    <x v="384"/>
    <x v="9"/>
    <x v="664"/>
    <x v="2"/>
    <x v="1"/>
    <x v="1"/>
    <s v="First            "/>
    <s v="2143 cc "/>
    <s v="134 bhp @ 3600 rpm  "/>
    <n v="134"/>
    <n v="4.63"/>
    <n v="1.7769999999999999"/>
    <n v="1.4319999999999999"/>
    <n v="5"/>
    <x v="1"/>
    <n v="56"/>
  </r>
  <r>
    <x v="4"/>
    <x v="773"/>
    <x v="1491"/>
    <n v="1998999"/>
    <x v="384"/>
    <x v="13"/>
    <x v="665"/>
    <x v="2"/>
    <x v="0"/>
    <x v="1"/>
    <s v="First            "/>
    <s v="2393 cc "/>
    <s v="148 bhp @ 3400 rpm  "/>
    <n v="148"/>
    <n v="4.7350000000000003"/>
    <n v="1.83"/>
    <n v="1.7949999999999999"/>
    <n v="8"/>
    <x v="1"/>
    <n v="55"/>
  </r>
  <r>
    <x v="19"/>
    <x v="719"/>
    <x v="1492"/>
    <n v="2000000"/>
    <x v="385"/>
    <x v="11"/>
    <x v="148"/>
    <x v="2"/>
    <x v="1"/>
    <x v="4"/>
    <s v="First            "/>
    <s v="1984 cc "/>
    <s v="150 bhp @ 3500 rpm  "/>
    <n v="150"/>
    <n v="4.37"/>
    <n v="1.7829999999999999"/>
    <n v="1.458"/>
    <n v="5"/>
    <x v="1"/>
    <n v="60"/>
  </r>
  <r>
    <x v="3"/>
    <x v="777"/>
    <x v="1493"/>
    <n v="2000000"/>
    <x v="385"/>
    <x v="9"/>
    <x v="1"/>
    <x v="2"/>
    <x v="1"/>
    <x v="0"/>
    <s v="First            "/>
    <s v="3198 cc "/>
    <s v="197 bhp @ 3000 rpm  "/>
    <n v="197"/>
    <n v="4.8920000000000003"/>
    <n v="1.86"/>
    <n v="1.837"/>
    <n v="7"/>
    <x v="1"/>
    <n v="80"/>
  </r>
  <r>
    <x v="4"/>
    <x v="753"/>
    <x v="1494"/>
    <n v="2039999"/>
    <x v="386"/>
    <x v="12"/>
    <x v="68"/>
    <x v="2"/>
    <x v="1"/>
    <x v="12"/>
    <s v="First            "/>
    <s v="2755 cc "/>
    <s v="172 bhp @ 3400 rpm  "/>
    <n v="172"/>
    <n v="4.7350000000000003"/>
    <n v="1.83"/>
    <n v="1.7949999999999999"/>
    <n v="7"/>
    <x v="1"/>
    <n v="55"/>
  </r>
  <r>
    <x v="8"/>
    <x v="698"/>
    <x v="1495"/>
    <n v="2048999"/>
    <x v="387"/>
    <x v="14"/>
    <x v="666"/>
    <x v="2"/>
    <x v="1"/>
    <x v="0"/>
    <s v="First            "/>
    <s v="2179 cc "/>
    <s v="153 bhp @ 3750 rpm  "/>
    <n v="153"/>
    <n v="4.585"/>
    <n v="1.89"/>
    <n v="1.7849999999999999"/>
    <n v="7"/>
    <x v="1"/>
    <n v="70"/>
  </r>
  <r>
    <x v="13"/>
    <x v="778"/>
    <x v="1496"/>
    <n v="2050000"/>
    <x v="388"/>
    <x v="12"/>
    <x v="62"/>
    <x v="2"/>
    <x v="1"/>
    <x v="0"/>
    <s v="Second           "/>
    <s v="1968 cc "/>
    <s v="141 bhp @ 4000 rpm  "/>
    <n v="141"/>
    <n v="4.4859999999999998"/>
    <n v="1.839"/>
    <n v="1.6719999999999999"/>
    <n v="5"/>
    <x v="1"/>
    <n v="71"/>
  </r>
  <r>
    <x v="19"/>
    <x v="719"/>
    <x v="1497"/>
    <n v="2050000"/>
    <x v="388"/>
    <x v="9"/>
    <x v="73"/>
    <x v="2"/>
    <x v="1"/>
    <x v="0"/>
    <s v="Second           "/>
    <s v="1984 cc "/>
    <s v="150 bhp @ 3500 rpm  "/>
    <n v="150"/>
    <n v="4.37"/>
    <n v="1.7829999999999999"/>
    <n v="1.458"/>
    <n v="5"/>
    <x v="1"/>
    <n v="60"/>
  </r>
  <r>
    <x v="18"/>
    <x v="779"/>
    <x v="1498"/>
    <n v="2089999"/>
    <x v="389"/>
    <x v="12"/>
    <x v="667"/>
    <x v="0"/>
    <x v="1"/>
    <x v="0"/>
    <s v="First            "/>
    <s v="1395 cc "/>
    <s v="148 bhp @ 5000 rpm  "/>
    <n v="148"/>
    <n v="4.4560000000000004"/>
    <n v="1.796"/>
    <n v="1.4159999999999999"/>
    <n v="5"/>
    <x v="1"/>
    <n v="50"/>
  </r>
  <r>
    <x v="1"/>
    <x v="780"/>
    <x v="1499"/>
    <n v="2089999"/>
    <x v="389"/>
    <x v="13"/>
    <x v="106"/>
    <x v="2"/>
    <x v="1"/>
    <x v="0"/>
    <s v="First            "/>
    <s v="1995 cc "/>
    <s v="182 bhp @ 4000 rpm  "/>
    <n v="182"/>
    <n v="4.4749999999999996"/>
    <n v="1.85"/>
    <n v="1.66"/>
    <n v="5"/>
    <x v="1"/>
    <n v="62"/>
  </r>
  <r>
    <x v="0"/>
    <x v="734"/>
    <x v="1500"/>
    <n v="2095000"/>
    <x v="390"/>
    <x v="15"/>
    <x v="20"/>
    <x v="2"/>
    <x v="0"/>
    <x v="4"/>
    <s v="First            "/>
    <s v="1956 cc "/>
    <s v="168 bhp @ 3750 rpm  "/>
    <n v="168"/>
    <n v="4.5979999999999999"/>
    <n v="1.8939999999999999"/>
    <n v="1.706"/>
    <n v="5"/>
    <x v="1"/>
    <n v="50"/>
  </r>
  <r>
    <x v="4"/>
    <x v="667"/>
    <x v="1501"/>
    <n v="2100000"/>
    <x v="391"/>
    <x v="9"/>
    <x v="203"/>
    <x v="2"/>
    <x v="0"/>
    <x v="12"/>
    <s v="First            "/>
    <s v="2393 cc "/>
    <s v="148 bhp @ 3400 rpm  "/>
    <n v="148"/>
    <n v="4.7350000000000003"/>
    <n v="1.83"/>
    <n v="1.7949999999999999"/>
    <n v="7"/>
    <x v="1"/>
    <n v="55"/>
  </r>
  <r>
    <x v="19"/>
    <x v="719"/>
    <x v="1502"/>
    <n v="2100000"/>
    <x v="391"/>
    <x v="12"/>
    <x v="61"/>
    <x v="2"/>
    <x v="1"/>
    <x v="4"/>
    <s v="First            "/>
    <s v="1984 cc "/>
    <s v="150 bhp @ 3500 rpm  "/>
    <n v="150"/>
    <n v="4.37"/>
    <n v="1.7829999999999999"/>
    <n v="1.458"/>
    <n v="5"/>
    <x v="1"/>
    <n v="60"/>
  </r>
  <r>
    <x v="24"/>
    <x v="744"/>
    <x v="1503"/>
    <n v="2100000"/>
    <x v="391"/>
    <x v="12"/>
    <x v="668"/>
    <x v="2"/>
    <x v="1"/>
    <x v="0"/>
    <s v="First            "/>
    <s v="2999 cc "/>
    <s v="174 bhp @ 3600 rpm  "/>
    <n v="174"/>
    <n v="4.8250000000000002"/>
    <n v="1.86"/>
    <n v="1.84"/>
    <n v="7"/>
    <x v="1"/>
    <n v="65"/>
  </r>
  <r>
    <x v="18"/>
    <x v="781"/>
    <x v="1504"/>
    <n v="2100000"/>
    <x v="391"/>
    <x v="9"/>
    <x v="61"/>
    <x v="2"/>
    <x v="1"/>
    <x v="1"/>
    <s v="First            "/>
    <s v="1968 cc "/>
    <s v="184 bhp @ 3500 rpm  "/>
    <n v="184"/>
    <n v="4.3849999999999998"/>
    <n v="1.831"/>
    <n v="1.6080000000000001"/>
    <n v="5"/>
    <x v="1"/>
    <n v="64"/>
  </r>
  <r>
    <x v="1"/>
    <x v="782"/>
    <x v="1505"/>
    <n v="2140000"/>
    <x v="392"/>
    <x v="15"/>
    <x v="35"/>
    <x v="0"/>
    <x v="1"/>
    <x v="2"/>
    <s v="First            "/>
    <s v="1999 cc "/>
    <s v="157 bhp @ 6500 rpm  "/>
    <n v="157"/>
    <n v="4.5"/>
    <n v="1.79"/>
    <n v="1.675"/>
    <n v="6"/>
    <x v="1"/>
    <n v="50"/>
  </r>
  <r>
    <x v="14"/>
    <x v="710"/>
    <x v="1506"/>
    <n v="2145000"/>
    <x v="393"/>
    <x v="11"/>
    <x v="17"/>
    <x v="2"/>
    <x v="1"/>
    <x v="0"/>
    <s v="Second           "/>
    <s v="2143 cc "/>
    <s v="134 bhp @ 3600 rpm  "/>
    <n v="134"/>
    <n v="4.4169999999999998"/>
    <n v="1.804"/>
    <n v="1.494"/>
    <n v="5"/>
    <x v="1"/>
    <n v="50"/>
  </r>
  <r>
    <x v="0"/>
    <x v="783"/>
    <x v="1507"/>
    <n v="2145000"/>
    <x v="393"/>
    <x v="14"/>
    <x v="669"/>
    <x v="2"/>
    <x v="0"/>
    <x v="4"/>
    <s v="First            "/>
    <s v="1956 cc "/>
    <s v="168 bhp @ 3750 rpm  "/>
    <n v="168"/>
    <n v="4.5979999999999999"/>
    <n v="1.8939999999999999"/>
    <n v="1.706"/>
    <n v="5"/>
    <x v="1"/>
    <n v="50"/>
  </r>
  <r>
    <x v="17"/>
    <x v="784"/>
    <x v="1508"/>
    <n v="2149000"/>
    <x v="394"/>
    <x v="10"/>
    <x v="46"/>
    <x v="2"/>
    <x v="1"/>
    <x v="1"/>
    <s v="First            "/>
    <s v="1995 cc "/>
    <s v="188 bhp @ 4000 rpm  "/>
    <n v="188"/>
    <n v="4.9359999999999999"/>
    <n v="1.8680000000000001"/>
    <n v="1.4790000000000001"/>
    <n v="5"/>
    <x v="1"/>
    <n v="65"/>
  </r>
  <r>
    <x v="4"/>
    <x v="753"/>
    <x v="1509"/>
    <n v="2150000"/>
    <x v="395"/>
    <x v="9"/>
    <x v="114"/>
    <x v="2"/>
    <x v="1"/>
    <x v="2"/>
    <s v="First            "/>
    <s v="2755 cc "/>
    <s v="172 bhp @ 3400 rpm  "/>
    <n v="172"/>
    <n v="4.7350000000000003"/>
    <n v="1.83"/>
    <n v="1.7949999999999999"/>
    <n v="7"/>
    <x v="1"/>
    <n v="55"/>
  </r>
  <r>
    <x v="18"/>
    <x v="785"/>
    <x v="1510"/>
    <n v="2150000"/>
    <x v="395"/>
    <x v="11"/>
    <x v="670"/>
    <x v="2"/>
    <x v="1"/>
    <x v="8"/>
    <s v="First            "/>
    <s v="1968 cc "/>
    <s v="174 bhp @ 4200 rpm  "/>
    <n v="174"/>
    <n v="4.3849999999999998"/>
    <n v="1.831"/>
    <n v="1.6080000000000001"/>
    <n v="5"/>
    <x v="1"/>
    <n v="64"/>
  </r>
  <r>
    <x v="25"/>
    <x v="786"/>
    <x v="1511"/>
    <n v="2150000"/>
    <x v="395"/>
    <x v="1"/>
    <x v="63"/>
    <x v="2"/>
    <x v="1"/>
    <x v="0"/>
    <s v="First            "/>
    <s v="2179 cc "/>
    <s v="190 bhp @ 3500 rpm  "/>
    <n v="190"/>
    <n v="4.3550000000000004"/>
    <n v="2.12"/>
    <n v="1.635"/>
    <n v="5"/>
    <x v="1"/>
    <n v="57"/>
  </r>
  <r>
    <x v="14"/>
    <x v="787"/>
    <x v="1512"/>
    <n v="2150000"/>
    <x v="395"/>
    <x v="6"/>
    <x v="187"/>
    <x v="2"/>
    <x v="1"/>
    <x v="2"/>
    <s v="First            "/>
    <s v="2987 cc "/>
    <s v="234  bhp @3800            "/>
    <n v="234"/>
    <n v="4.7809999999999997"/>
    <n v="1.911"/>
    <n v="1.774"/>
    <n v="5"/>
    <x v="1"/>
    <n v="95"/>
  </r>
  <r>
    <x v="4"/>
    <x v="667"/>
    <x v="1513"/>
    <n v="2175000"/>
    <x v="396"/>
    <x v="9"/>
    <x v="313"/>
    <x v="2"/>
    <x v="0"/>
    <x v="12"/>
    <s v="First            "/>
    <s v="2393 cc "/>
    <s v="148 bhp @ 3400 rpm  "/>
    <n v="148"/>
    <n v="4.7350000000000003"/>
    <n v="1.83"/>
    <n v="1.7949999999999999"/>
    <n v="7"/>
    <x v="1"/>
    <n v="55"/>
  </r>
  <r>
    <x v="4"/>
    <x v="753"/>
    <x v="1514"/>
    <n v="2175000"/>
    <x v="396"/>
    <x v="12"/>
    <x v="122"/>
    <x v="2"/>
    <x v="1"/>
    <x v="12"/>
    <s v="First            "/>
    <s v="2755 cc "/>
    <s v="172 bhp @ 3400 rpm  "/>
    <n v="172"/>
    <n v="4.7350000000000003"/>
    <n v="1.83"/>
    <n v="1.7949999999999999"/>
    <n v="7"/>
    <x v="1"/>
    <n v="55"/>
  </r>
  <r>
    <x v="18"/>
    <x v="725"/>
    <x v="1515"/>
    <n v="2175000"/>
    <x v="396"/>
    <x v="10"/>
    <x v="671"/>
    <x v="2"/>
    <x v="1"/>
    <x v="0"/>
    <s v="First            "/>
    <s v="1968 cc "/>
    <s v="174 bhp @ 4200 rpm  "/>
    <n v="174"/>
    <n v="4.6289999999999996"/>
    <n v="1.8979999999999999"/>
    <n v="1.653"/>
    <n v="5"/>
    <x v="1"/>
    <n v="75"/>
  </r>
  <r>
    <x v="18"/>
    <x v="779"/>
    <x v="1516"/>
    <n v="2180000"/>
    <x v="397"/>
    <x v="12"/>
    <x v="672"/>
    <x v="0"/>
    <x v="1"/>
    <x v="7"/>
    <s v="First            "/>
    <s v="1395 cc "/>
    <s v="148 bhp @ 5000 rpm  "/>
    <n v="148"/>
    <n v="4.4560000000000004"/>
    <n v="1.796"/>
    <n v="1.4159999999999999"/>
    <n v="5"/>
    <x v="1"/>
    <n v="50"/>
  </r>
  <r>
    <x v="4"/>
    <x v="726"/>
    <x v="1517"/>
    <n v="2190000"/>
    <x v="398"/>
    <x v="9"/>
    <x v="83"/>
    <x v="2"/>
    <x v="0"/>
    <x v="6"/>
    <s v="First            "/>
    <s v="2393 cc "/>
    <s v="148 bhp @ 3400 rpm  "/>
    <n v="148"/>
    <n v="4.7350000000000003"/>
    <n v="1.83"/>
    <n v="1.7949999999999999"/>
    <n v="7"/>
    <x v="1"/>
    <n v="55"/>
  </r>
  <r>
    <x v="4"/>
    <x v="788"/>
    <x v="1518"/>
    <n v="2196000"/>
    <x v="399"/>
    <x v="13"/>
    <x v="673"/>
    <x v="2"/>
    <x v="1"/>
    <x v="0"/>
    <s v="First            "/>
    <s v="2755 cc "/>
    <s v="172 bhp @ 3400 rpm  "/>
    <n v="172"/>
    <n v="4.7350000000000003"/>
    <n v="1.83"/>
    <n v="1.7949999999999999"/>
    <n v="8"/>
    <x v="1"/>
    <n v="55"/>
  </r>
  <r>
    <x v="17"/>
    <x v="789"/>
    <x v="1519"/>
    <n v="2199000"/>
    <x v="400"/>
    <x v="11"/>
    <x v="82"/>
    <x v="2"/>
    <x v="1"/>
    <x v="8"/>
    <s v="First            "/>
    <s v="1995 cc "/>
    <s v="184 bhp @ 4000 rpm  "/>
    <n v="184"/>
    <n v="4.4539999999999997"/>
    <n v="2.044"/>
    <n v="1.5449999999999999"/>
    <n v="5"/>
    <x v="1"/>
    <n v="63"/>
  </r>
  <r>
    <x v="0"/>
    <x v="790"/>
    <x v="1520"/>
    <n v="2200000"/>
    <x v="401"/>
    <x v="15"/>
    <x v="34"/>
    <x v="2"/>
    <x v="0"/>
    <x v="11"/>
    <s v="First            "/>
    <s v="2179 cc "/>
    <s v="154 bhp @ 4000 rpm  "/>
    <n v="154"/>
    <n v="4.6550000000000002"/>
    <n v="1.9650000000000001"/>
    <n v="1.9219999999999999"/>
    <n v="7"/>
    <x v="1"/>
    <n v="63"/>
  </r>
  <r>
    <x v="4"/>
    <x v="753"/>
    <x v="1521"/>
    <n v="2200000"/>
    <x v="401"/>
    <x v="12"/>
    <x v="38"/>
    <x v="2"/>
    <x v="1"/>
    <x v="2"/>
    <s v="First            "/>
    <s v="2755 cc "/>
    <s v="172 bhp @ 3400 rpm  "/>
    <n v="172"/>
    <n v="4.7350000000000003"/>
    <n v="1.83"/>
    <n v="1.7949999999999999"/>
    <n v="7"/>
    <x v="1"/>
    <n v="55"/>
  </r>
  <r>
    <x v="18"/>
    <x v="791"/>
    <x v="1522"/>
    <n v="2200000"/>
    <x v="401"/>
    <x v="6"/>
    <x v="63"/>
    <x v="2"/>
    <x v="1"/>
    <x v="0"/>
    <s v="First            "/>
    <s v="2967 cc "/>
    <s v="241 bhp @ 3800 rpm  "/>
    <n v="241"/>
    <n v="5.0890000000000004"/>
    <n v="1.9830000000000001"/>
    <n v="1.7370000000000001"/>
    <n v="7"/>
    <x v="1"/>
    <n v="100"/>
  </r>
  <r>
    <x v="18"/>
    <x v="792"/>
    <x v="1523"/>
    <n v="2225000"/>
    <x v="402"/>
    <x v="11"/>
    <x v="674"/>
    <x v="2"/>
    <x v="1"/>
    <x v="0"/>
    <s v="First            "/>
    <s v="1968 cc "/>
    <s v="141 bhp @ 3500 rpm  "/>
    <n v="141"/>
    <n v="4.4560000000000004"/>
    <n v="1.796"/>
    <n v="1.4159999999999999"/>
    <n v="5"/>
    <x v="1"/>
    <n v="50"/>
  </r>
  <r>
    <x v="14"/>
    <x v="793"/>
    <x v="1524"/>
    <n v="2225000"/>
    <x v="402"/>
    <x v="10"/>
    <x v="106"/>
    <x v="0"/>
    <x v="1"/>
    <x v="7"/>
    <s v="First            "/>
    <s v="1991 cc "/>
    <s v="181 bhp @ 5500 rpm  "/>
    <n v="181"/>
    <n v="4.6859999999999999"/>
    <n v="1.81"/>
    <n v="1.4419999999999999"/>
    <n v="5"/>
    <x v="1"/>
    <n v="66"/>
  </r>
  <r>
    <x v="18"/>
    <x v="689"/>
    <x v="1525"/>
    <n v="2250000"/>
    <x v="403"/>
    <x v="11"/>
    <x v="674"/>
    <x v="2"/>
    <x v="1"/>
    <x v="0"/>
    <s v="First            "/>
    <s v="1968 cc "/>
    <s v="141 bhp @ 3500 rpm  "/>
    <n v="141"/>
    <n v="4.4560000000000004"/>
    <n v="1.796"/>
    <n v="1.4159999999999999"/>
    <n v="5"/>
    <x v="1"/>
    <n v="50"/>
  </r>
  <r>
    <x v="4"/>
    <x v="691"/>
    <x v="1526"/>
    <n v="2250000"/>
    <x v="403"/>
    <x v="14"/>
    <x v="675"/>
    <x v="2"/>
    <x v="0"/>
    <x v="2"/>
    <s v="Second           "/>
    <s v="2393 cc "/>
    <s v="148 bhp @ 3400 rpm  "/>
    <n v="148"/>
    <n v="4.7350000000000003"/>
    <n v="1.83"/>
    <n v="1.7949999999999999"/>
    <n v="7"/>
    <x v="1"/>
    <n v="55"/>
  </r>
  <r>
    <x v="4"/>
    <x v="773"/>
    <x v="1527"/>
    <n v="2250000"/>
    <x v="403"/>
    <x v="13"/>
    <x v="191"/>
    <x v="2"/>
    <x v="0"/>
    <x v="6"/>
    <s v="First            "/>
    <s v="2393 cc "/>
    <s v="148 bhp @ 3400 rpm  "/>
    <n v="148"/>
    <n v="4.7350000000000003"/>
    <n v="1.83"/>
    <n v="1.7949999999999999"/>
    <n v="8"/>
    <x v="1"/>
    <n v="55"/>
  </r>
  <r>
    <x v="14"/>
    <x v="794"/>
    <x v="1528"/>
    <n v="2250000"/>
    <x v="403"/>
    <x v="11"/>
    <x v="65"/>
    <x v="2"/>
    <x v="1"/>
    <x v="4"/>
    <s v="First            "/>
    <s v="2143 cc "/>
    <s v="168 bhp @ 3400 rpm  "/>
    <n v="168"/>
    <n v="4.4169999999999998"/>
    <n v="1.804"/>
    <n v="1.494"/>
    <n v="5"/>
    <x v="1"/>
    <n v="50"/>
  </r>
  <r>
    <x v="14"/>
    <x v="720"/>
    <x v="1529"/>
    <n v="2250000"/>
    <x v="403"/>
    <x v="10"/>
    <x v="676"/>
    <x v="0"/>
    <x v="1"/>
    <x v="1"/>
    <s v="First            "/>
    <s v="1991 cc "/>
    <s v="181 bhp @ 5500 rpm  "/>
    <n v="181"/>
    <n v="4.4240000000000004"/>
    <n v="1.804"/>
    <n v="1.494"/>
    <n v="5"/>
    <x v="1"/>
    <n v="50"/>
  </r>
  <r>
    <x v="14"/>
    <x v="795"/>
    <x v="1530"/>
    <n v="2250000"/>
    <x v="403"/>
    <x v="6"/>
    <x v="21"/>
    <x v="2"/>
    <x v="1"/>
    <x v="0"/>
    <s v="Second           "/>
    <s v="2143 cc "/>
    <s v="203 bhp @ 4200 rpm  "/>
    <n v="203"/>
    <n v="4.8040000000000003"/>
    <n v="2.141"/>
    <n v="1.796"/>
    <n v="5"/>
    <x v="1"/>
    <n v="70"/>
  </r>
  <r>
    <x v="14"/>
    <x v="796"/>
    <x v="1531"/>
    <n v="2250000"/>
    <x v="403"/>
    <x v="10"/>
    <x v="22"/>
    <x v="2"/>
    <x v="1"/>
    <x v="0"/>
    <s v="First            "/>
    <s v="2143 cc "/>
    <s v="204 bhp @ 4200 rpm  "/>
    <n v="204"/>
    <n v="4.8789999999999996"/>
    <n v="1.8540000000000001"/>
    <n v="1.474"/>
    <n v="5"/>
    <x v="1"/>
    <n v="80"/>
  </r>
  <r>
    <x v="0"/>
    <x v="797"/>
    <x v="1532"/>
    <n v="2251000"/>
    <x v="404"/>
    <x v="15"/>
    <x v="677"/>
    <x v="2"/>
    <x v="1"/>
    <x v="0"/>
    <s v="First            "/>
    <s v="1956 cc "/>
    <s v="168 bhp @ 3750 rpm  "/>
    <n v="168"/>
    <n v="4.5979999999999999"/>
    <n v="1.8939999999999999"/>
    <n v="1.706"/>
    <n v="5"/>
    <x v="1"/>
    <n v="50"/>
  </r>
  <r>
    <x v="14"/>
    <x v="746"/>
    <x v="1533"/>
    <n v="2275000"/>
    <x v="405"/>
    <x v="11"/>
    <x v="678"/>
    <x v="2"/>
    <x v="1"/>
    <x v="10"/>
    <s v="Second           "/>
    <s v="2143 cc "/>
    <s v="134 bhp @ 3600 rpm  "/>
    <n v="134"/>
    <n v="4.4240000000000004"/>
    <n v="1.804"/>
    <n v="1.494"/>
    <n v="5"/>
    <x v="1"/>
    <n v="50"/>
  </r>
  <r>
    <x v="20"/>
    <x v="798"/>
    <x v="1534"/>
    <n v="2275000"/>
    <x v="405"/>
    <x v="16"/>
    <x v="609"/>
    <x v="0"/>
    <x v="1"/>
    <x v="11"/>
    <s v="First            "/>
    <s v="1368 cc "/>
    <s v="161 bhp @ 5500 rpm  "/>
    <n v="161"/>
    <n v="4.4050000000000002"/>
    <n v="1.8180000000000001"/>
    <n v="1.64"/>
    <n v="5"/>
    <x v="1"/>
    <n v="60"/>
  </r>
  <r>
    <x v="0"/>
    <x v="799"/>
    <x v="1535"/>
    <n v="2275000"/>
    <x v="405"/>
    <x v="16"/>
    <x v="194"/>
    <x v="2"/>
    <x v="1"/>
    <x v="8"/>
    <s v="First            "/>
    <s v="1956 cc "/>
    <s v="168 bhp @ 3750 rpm  "/>
    <n v="168"/>
    <n v="4.5979999999999999"/>
    <n v="1.8939999999999999"/>
    <n v="1.706"/>
    <n v="5"/>
    <x v="1"/>
    <n v="50"/>
  </r>
  <r>
    <x v="17"/>
    <x v="665"/>
    <x v="1536"/>
    <n v="2275000"/>
    <x v="405"/>
    <x v="10"/>
    <x v="679"/>
    <x v="2"/>
    <x v="1"/>
    <x v="4"/>
    <s v="First            "/>
    <s v="1995 cc "/>
    <s v="184 bhp @ 4000 rpm  "/>
    <n v="184"/>
    <n v="4.6239999999999997"/>
    <n v="2.0310000000000001"/>
    <n v="1.429"/>
    <n v="5"/>
    <x v="1"/>
    <n v="60"/>
  </r>
  <r>
    <x v="4"/>
    <x v="753"/>
    <x v="1537"/>
    <n v="2295000"/>
    <x v="406"/>
    <x v="13"/>
    <x v="50"/>
    <x v="2"/>
    <x v="1"/>
    <x v="1"/>
    <s v="First            "/>
    <s v="2755 cc "/>
    <s v="172 bhp @ 3400 rpm  "/>
    <n v="172"/>
    <n v="4.7350000000000003"/>
    <n v="1.83"/>
    <n v="1.7949999999999999"/>
    <n v="7"/>
    <x v="1"/>
    <n v="55"/>
  </r>
  <r>
    <x v="25"/>
    <x v="800"/>
    <x v="1538"/>
    <n v="2300000"/>
    <x v="407"/>
    <x v="8"/>
    <x v="68"/>
    <x v="2"/>
    <x v="1"/>
    <x v="4"/>
    <s v="Second           "/>
    <s v="2179 cc "/>
    <s v="190 bhp @ 3500 rpm  "/>
    <n v="190"/>
    <n v="4.3550000000000004"/>
    <n v="2.12"/>
    <n v="1.635"/>
    <n v="5"/>
    <x v="1"/>
    <n v="57"/>
  </r>
  <r>
    <x v="14"/>
    <x v="795"/>
    <x v="1539"/>
    <n v="2300000"/>
    <x v="407"/>
    <x v="6"/>
    <x v="680"/>
    <x v="2"/>
    <x v="1"/>
    <x v="0"/>
    <s v="First            "/>
    <s v="2143 cc "/>
    <s v="203 bhp @ 4200 rpm  "/>
    <n v="203"/>
    <n v="4.8040000000000003"/>
    <n v="2.141"/>
    <n v="1.796"/>
    <n v="5"/>
    <x v="1"/>
    <n v="70"/>
  </r>
  <r>
    <x v="4"/>
    <x v="801"/>
    <x v="1540"/>
    <n v="2345000"/>
    <x v="408"/>
    <x v="9"/>
    <x v="119"/>
    <x v="0"/>
    <x v="1"/>
    <x v="10"/>
    <s v="First            "/>
    <s v="2494 cc "/>
    <s v="179 bhp @ 6000 rpm  "/>
    <n v="179"/>
    <n v="4.8250000000000002"/>
    <n v="1.825"/>
    <n v="1.48"/>
    <n v="5"/>
    <x v="1"/>
    <n v="70"/>
  </r>
  <r>
    <x v="3"/>
    <x v="802"/>
    <x v="1541"/>
    <n v="2350000"/>
    <x v="409"/>
    <x v="11"/>
    <x v="33"/>
    <x v="2"/>
    <x v="1"/>
    <x v="0"/>
    <s v="Second           "/>
    <s v="2198 cc "/>
    <s v="158 bhp @ 3200 rpm  "/>
    <n v="158"/>
    <n v="4.8920000000000003"/>
    <n v="1.86"/>
    <n v="1.837"/>
    <n v="7"/>
    <x v="1"/>
    <n v="80"/>
  </r>
  <r>
    <x v="9"/>
    <x v="686"/>
    <x v="1542"/>
    <n v="2350000"/>
    <x v="409"/>
    <x v="12"/>
    <x v="681"/>
    <x v="0"/>
    <x v="1"/>
    <x v="10"/>
    <s v="First            "/>
    <s v="1798 cc "/>
    <s v="177 bhp @ 5100 rpm  "/>
    <n v="177"/>
    <n v="4.8609999999999998"/>
    <n v="1.8640000000000001"/>
    <n v="1.4830000000000001"/>
    <n v="5"/>
    <x v="1"/>
    <n v="66"/>
  </r>
  <r>
    <x v="18"/>
    <x v="712"/>
    <x v="1543"/>
    <n v="2375000"/>
    <x v="410"/>
    <x v="9"/>
    <x v="682"/>
    <x v="2"/>
    <x v="1"/>
    <x v="7"/>
    <s v="First            "/>
    <s v="1968 cc "/>
    <s v="174 bhp @ 4200 rpm  "/>
    <n v="174"/>
    <n v="4.3849999999999998"/>
    <n v="1.831"/>
    <n v="1.6080000000000001"/>
    <n v="5"/>
    <x v="1"/>
    <n v="64"/>
  </r>
  <r>
    <x v="18"/>
    <x v="792"/>
    <x v="1544"/>
    <n v="2380000"/>
    <x v="411"/>
    <x v="13"/>
    <x v="318"/>
    <x v="2"/>
    <x v="1"/>
    <x v="0"/>
    <s v="Second           "/>
    <s v="1968 cc "/>
    <s v="141 bhp @ 3500 rpm  "/>
    <n v="141"/>
    <n v="4.4560000000000004"/>
    <n v="1.796"/>
    <n v="1.4159999999999999"/>
    <n v="5"/>
    <x v="1"/>
    <n v="50"/>
  </r>
  <r>
    <x v="14"/>
    <x v="793"/>
    <x v="1545"/>
    <n v="2385000"/>
    <x v="412"/>
    <x v="10"/>
    <x v="683"/>
    <x v="0"/>
    <x v="1"/>
    <x v="8"/>
    <s v="Second           "/>
    <s v="1991 cc "/>
    <s v="181 bhp @ 5500 rpm  "/>
    <n v="181"/>
    <n v="4.6859999999999999"/>
    <n v="1.81"/>
    <n v="1.4419999999999999"/>
    <n v="5"/>
    <x v="1"/>
    <n v="66"/>
  </r>
  <r>
    <x v="17"/>
    <x v="803"/>
    <x v="1546"/>
    <n v="2385000"/>
    <x v="412"/>
    <x v="9"/>
    <x v="684"/>
    <x v="2"/>
    <x v="1"/>
    <x v="0"/>
    <s v="First            "/>
    <s v="1995 cc "/>
    <s v="188 bhp @ 4000 rpm  "/>
    <n v="188"/>
    <n v="4.4390000000000001"/>
    <n v="1.821"/>
    <n v="1.6120000000000001"/>
    <n v="5"/>
    <x v="1"/>
    <n v="51"/>
  </r>
  <r>
    <x v="14"/>
    <x v="804"/>
    <x v="1547"/>
    <n v="2390000"/>
    <x v="413"/>
    <x v="8"/>
    <x v="685"/>
    <x v="2"/>
    <x v="1"/>
    <x v="0"/>
    <s v="Second           "/>
    <s v="2987 cc "/>
    <s v="258 bhp @ 3600 rpm  "/>
    <n v="258"/>
    <n v="5.12"/>
    <n v="1.9339999999999999"/>
    <n v="1.85"/>
    <n v="7"/>
    <x v="1"/>
    <n v="100"/>
  </r>
  <r>
    <x v="0"/>
    <x v="805"/>
    <x v="1548"/>
    <n v="2395000"/>
    <x v="414"/>
    <x v="15"/>
    <x v="686"/>
    <x v="2"/>
    <x v="1"/>
    <x v="7"/>
    <s v="First            "/>
    <s v="1956 cc "/>
    <s v="168 bhp @ 3750 rpm  "/>
    <n v="168"/>
    <n v="4.6609999999999996"/>
    <n v="1.8939999999999999"/>
    <n v="1.786"/>
    <n v="6"/>
    <x v="1"/>
    <n v="50"/>
  </r>
  <r>
    <x v="1"/>
    <x v="780"/>
    <x v="1549"/>
    <n v="2395000"/>
    <x v="414"/>
    <x v="13"/>
    <x v="687"/>
    <x v="2"/>
    <x v="1"/>
    <x v="0"/>
    <s v="First            "/>
    <s v="1995 cc "/>
    <s v="182 bhp @ 4000 rpm  "/>
    <n v="182"/>
    <n v="4.4749999999999996"/>
    <n v="1.85"/>
    <n v="1.66"/>
    <n v="5"/>
    <x v="1"/>
    <n v="62"/>
  </r>
  <r>
    <x v="1"/>
    <x v="806"/>
    <x v="1550"/>
    <n v="2400000"/>
    <x v="415"/>
    <x v="16"/>
    <x v="414"/>
    <x v="2"/>
    <x v="1"/>
    <x v="0"/>
    <s v="First            "/>
    <s v="1493 cc "/>
    <s v="113 bhp @ 4000 rpm  "/>
    <n v="113"/>
    <n v="4.5"/>
    <n v="1.79"/>
    <n v="1.675"/>
    <n v="7"/>
    <x v="1"/>
    <n v="50"/>
  </r>
  <r>
    <x v="14"/>
    <x v="807"/>
    <x v="1551"/>
    <n v="2400000"/>
    <x v="415"/>
    <x v="0"/>
    <x v="688"/>
    <x v="0"/>
    <x v="1"/>
    <x v="2"/>
    <s v="First            "/>
    <s v="1796 cc "/>
    <s v="165  bhp @5500            "/>
    <n v="165"/>
    <n v="4.0819999999999999"/>
    <n v="1.7769999999999999"/>
    <n v="1.2969999999999999"/>
    <n v="2"/>
    <x v="0"/>
    <n v="70"/>
  </r>
  <r>
    <x v="14"/>
    <x v="808"/>
    <x v="1552"/>
    <n v="2400000"/>
    <x v="415"/>
    <x v="11"/>
    <x v="689"/>
    <x v="0"/>
    <x v="1"/>
    <x v="8"/>
    <s v="Second           "/>
    <s v="1991 cc "/>
    <s v="184 bhp @ 5500 rpm  "/>
    <n v="184"/>
    <n v="4.8789999999999996"/>
    <n v="1.8540000000000001"/>
    <n v="1.474"/>
    <n v="5"/>
    <x v="1"/>
    <n v="80"/>
  </r>
  <r>
    <x v="14"/>
    <x v="808"/>
    <x v="1553"/>
    <n v="2400000"/>
    <x v="415"/>
    <x v="11"/>
    <x v="0"/>
    <x v="0"/>
    <x v="1"/>
    <x v="8"/>
    <s v="Second           "/>
    <s v="1991 cc "/>
    <s v="184 bhp @ 5500 rpm  "/>
    <n v="184"/>
    <n v="4.8789999999999996"/>
    <n v="1.8540000000000001"/>
    <n v="1.474"/>
    <n v="5"/>
    <x v="1"/>
    <n v="80"/>
  </r>
  <r>
    <x v="18"/>
    <x v="809"/>
    <x v="1554"/>
    <n v="2400000"/>
    <x v="415"/>
    <x v="9"/>
    <x v="690"/>
    <x v="2"/>
    <x v="1"/>
    <x v="1"/>
    <s v="First            "/>
    <s v="1968 cc "/>
    <s v="188 bhp @ 4200 rpm  "/>
    <n v="188"/>
    <n v="4.726"/>
    <n v="1.8420000000000001"/>
    <n v="1.427"/>
    <n v="5"/>
    <x v="1"/>
    <n v="54"/>
  </r>
  <r>
    <x v="18"/>
    <x v="771"/>
    <x v="1555"/>
    <n v="2400000"/>
    <x v="415"/>
    <x v="9"/>
    <x v="691"/>
    <x v="2"/>
    <x v="1"/>
    <x v="7"/>
    <s v="Second           "/>
    <s v="1968 cc "/>
    <s v="190 bhp @ 3800 rpm  "/>
    <n v="190"/>
    <n v="4.9329999999999998"/>
    <n v="1.8740000000000001"/>
    <n v="1.4550000000000001"/>
    <n v="5"/>
    <x v="1"/>
    <n v="75"/>
  </r>
  <r>
    <x v="18"/>
    <x v="771"/>
    <x v="1556"/>
    <n v="2400000"/>
    <x v="415"/>
    <x v="10"/>
    <x v="386"/>
    <x v="2"/>
    <x v="1"/>
    <x v="7"/>
    <s v="First            "/>
    <s v="1968 cc "/>
    <s v="190 bhp @ 3800 rpm  "/>
    <n v="190"/>
    <n v="4.9329999999999998"/>
    <n v="1.8740000000000001"/>
    <n v="1.4550000000000001"/>
    <n v="5"/>
    <x v="1"/>
    <n v="75"/>
  </r>
  <r>
    <x v="18"/>
    <x v="791"/>
    <x v="1557"/>
    <n v="2400000"/>
    <x v="415"/>
    <x v="6"/>
    <x v="692"/>
    <x v="2"/>
    <x v="1"/>
    <x v="7"/>
    <s v="First            "/>
    <s v="2967 cc "/>
    <s v="241 bhp @ 3800 rpm  "/>
    <n v="241"/>
    <n v="5.0890000000000004"/>
    <n v="1.9830000000000001"/>
    <n v="1.7370000000000001"/>
    <n v="7"/>
    <x v="1"/>
    <n v="100"/>
  </r>
  <r>
    <x v="4"/>
    <x v="810"/>
    <x v="1558"/>
    <n v="2425000"/>
    <x v="416"/>
    <x v="16"/>
    <x v="421"/>
    <x v="2"/>
    <x v="1"/>
    <x v="8"/>
    <s v="First            "/>
    <s v="2393 cc "/>
    <s v="148 bhp @ 3400 rpm  "/>
    <n v="148"/>
    <n v="4.7350000000000003"/>
    <n v="1.83"/>
    <n v="1.7949999999999999"/>
    <n v="7"/>
    <x v="1"/>
    <n v="55"/>
  </r>
  <r>
    <x v="18"/>
    <x v="771"/>
    <x v="1559"/>
    <n v="2425000"/>
    <x v="416"/>
    <x v="11"/>
    <x v="0"/>
    <x v="2"/>
    <x v="1"/>
    <x v="0"/>
    <s v="First            "/>
    <s v="1968 cc "/>
    <s v="190 bhp @ 3800 rpm  "/>
    <n v="190"/>
    <n v="4.9329999999999998"/>
    <n v="1.8740000000000001"/>
    <n v="1.4550000000000001"/>
    <n v="5"/>
    <x v="1"/>
    <n v="75"/>
  </r>
  <r>
    <x v="14"/>
    <x v="746"/>
    <x v="1560"/>
    <n v="2450000"/>
    <x v="417"/>
    <x v="12"/>
    <x v="27"/>
    <x v="2"/>
    <x v="1"/>
    <x v="5"/>
    <s v="Second           "/>
    <s v="2143 cc "/>
    <s v="134 bhp @ 3600 rpm  "/>
    <n v="134"/>
    <n v="4.4240000000000004"/>
    <n v="1.804"/>
    <n v="1.494"/>
    <n v="5"/>
    <x v="1"/>
    <n v="50"/>
  </r>
  <r>
    <x v="14"/>
    <x v="710"/>
    <x v="1561"/>
    <n v="2450000"/>
    <x v="417"/>
    <x v="9"/>
    <x v="71"/>
    <x v="2"/>
    <x v="1"/>
    <x v="0"/>
    <s v="Second           "/>
    <s v="2143 cc "/>
    <s v="134 bhp @ 3600 rpm  "/>
    <n v="134"/>
    <n v="4.4169999999999998"/>
    <n v="1.804"/>
    <n v="1.494"/>
    <n v="5"/>
    <x v="1"/>
    <n v="50"/>
  </r>
  <r>
    <x v="14"/>
    <x v="811"/>
    <x v="1562"/>
    <n v="2450000"/>
    <x v="417"/>
    <x v="6"/>
    <x v="3"/>
    <x v="2"/>
    <x v="1"/>
    <x v="0"/>
    <s v="First            "/>
    <s v="2143 cc "/>
    <s v="168 bhp @ 3000 rpm  "/>
    <n v="168"/>
    <n v="4.6859999999999999"/>
    <n v="1.81"/>
    <n v="1.4419999999999999"/>
    <n v="5"/>
    <x v="1"/>
    <n v="66"/>
  </r>
  <r>
    <x v="18"/>
    <x v="812"/>
    <x v="1563"/>
    <n v="2450000"/>
    <x v="417"/>
    <x v="12"/>
    <x v="693"/>
    <x v="0"/>
    <x v="1"/>
    <x v="7"/>
    <s v="First            "/>
    <s v="1798 cc "/>
    <s v="178 bhp @ 5100 rpm  "/>
    <n v="178"/>
    <n v="4.4560000000000004"/>
    <n v="1.796"/>
    <n v="1.4159999999999999"/>
    <n v="5"/>
    <x v="1"/>
    <n v="50"/>
  </r>
  <r>
    <x v="14"/>
    <x v="795"/>
    <x v="1564"/>
    <n v="2450000"/>
    <x v="417"/>
    <x v="10"/>
    <x v="694"/>
    <x v="2"/>
    <x v="1"/>
    <x v="0"/>
    <s v="First            "/>
    <s v="2143 cc "/>
    <s v="203 bhp @ 4200 rpm  "/>
    <n v="203"/>
    <n v="4.8040000000000003"/>
    <n v="2.141"/>
    <n v="1.796"/>
    <n v="5"/>
    <x v="1"/>
    <n v="70"/>
  </r>
  <r>
    <x v="18"/>
    <x v="813"/>
    <x v="1565"/>
    <n v="2450000"/>
    <x v="417"/>
    <x v="6"/>
    <x v="695"/>
    <x v="2"/>
    <x v="1"/>
    <x v="7"/>
    <s v="Second           "/>
    <s v="2967 cc "/>
    <s v="241 bhp @ 3800 rpm  "/>
    <n v="241"/>
    <n v="5.0890000000000004"/>
    <n v="1.9830000000000001"/>
    <n v="1.7370000000000001"/>
    <n v="6"/>
    <x v="1"/>
    <n v="100"/>
  </r>
  <r>
    <x v="14"/>
    <x v="814"/>
    <x v="1566"/>
    <n v="2450000"/>
    <x v="417"/>
    <x v="6"/>
    <x v="6"/>
    <x v="2"/>
    <x v="1"/>
    <x v="0"/>
    <s v="Second           "/>
    <s v="2997 cc "/>
    <s v="254 bhp @ 3600 rpm  "/>
    <n v="254"/>
    <n v="4.8040000000000003"/>
    <n v="2.141"/>
    <n v="1.796"/>
    <n v="5"/>
    <x v="1"/>
    <n v="70"/>
  </r>
  <r>
    <x v="20"/>
    <x v="815"/>
    <x v="1567"/>
    <n v="2475000"/>
    <x v="418"/>
    <x v="14"/>
    <x v="696"/>
    <x v="2"/>
    <x v="1"/>
    <x v="0"/>
    <s v="First            "/>
    <s v="1956 cc "/>
    <s v="171 bhp @ 3750 rpm  "/>
    <n v="171"/>
    <n v="4.3949999999999996"/>
    <n v="1.8180000000000001"/>
    <n v="1.64"/>
    <n v="5"/>
    <x v="1"/>
    <n v="60"/>
  </r>
  <r>
    <x v="18"/>
    <x v="781"/>
    <x v="1568"/>
    <n v="2475000"/>
    <x v="418"/>
    <x v="12"/>
    <x v="194"/>
    <x v="2"/>
    <x v="1"/>
    <x v="4"/>
    <s v="First            "/>
    <s v="1968 cc "/>
    <s v="184 bhp @ 3500 rpm  "/>
    <n v="184"/>
    <n v="4.3849999999999998"/>
    <n v="1.831"/>
    <n v="1.6080000000000001"/>
    <n v="5"/>
    <x v="1"/>
    <n v="64"/>
  </r>
  <r>
    <x v="18"/>
    <x v="816"/>
    <x v="1569"/>
    <n v="2475000"/>
    <x v="418"/>
    <x v="1"/>
    <x v="132"/>
    <x v="2"/>
    <x v="1"/>
    <x v="8"/>
    <s v="First            "/>
    <s v="2967 cc "/>
    <s v="241 bhp @ 3800 rpm  "/>
    <n v="241"/>
    <n v="5.0890000000000004"/>
    <n v="1.9830000000000001"/>
    <n v="1.7370000000000001"/>
    <n v="7"/>
    <x v="1"/>
    <n v="100"/>
  </r>
  <r>
    <x v="14"/>
    <x v="817"/>
    <x v="1570"/>
    <n v="2485000"/>
    <x v="419"/>
    <x v="1"/>
    <x v="697"/>
    <x v="0"/>
    <x v="1"/>
    <x v="0"/>
    <s v="First            "/>
    <s v="3496 cc "/>
    <s v="272 bhp @ 6000 rpm  "/>
    <n v="272"/>
    <n v="5.157"/>
    <n v="2.1829999999999998"/>
    <n v="1.659"/>
    <n v="7"/>
    <x v="1"/>
    <n v="80"/>
  </r>
  <r>
    <x v="25"/>
    <x v="818"/>
    <x v="1571"/>
    <n v="2499000"/>
    <x v="420"/>
    <x v="10"/>
    <x v="698"/>
    <x v="2"/>
    <x v="1"/>
    <x v="5"/>
    <s v="Second           "/>
    <s v="2179 cc "/>
    <s v="188 bhp @ 3500 rpm  "/>
    <n v="188"/>
    <n v="4.4649999999999999"/>
    <n v="1.9"/>
    <n v="1.635"/>
    <n v="5"/>
    <x v="1"/>
    <n v="57"/>
  </r>
  <r>
    <x v="22"/>
    <x v="765"/>
    <x v="1572"/>
    <n v="2500000"/>
    <x v="421"/>
    <x v="10"/>
    <x v="699"/>
    <x v="2"/>
    <x v="1"/>
    <x v="16"/>
    <s v="Second           "/>
    <s v="1496 cc "/>
    <s v="114 bhp @ 4000 rpm  "/>
    <n v="114"/>
    <n v="3.9820000000000002"/>
    <n v="1.7270000000000001"/>
    <n v="1.425"/>
    <n v="5"/>
    <x v="1"/>
    <n v="44"/>
  </r>
  <r>
    <x v="14"/>
    <x v="819"/>
    <x v="1573"/>
    <n v="2500000"/>
    <x v="421"/>
    <x v="12"/>
    <x v="14"/>
    <x v="2"/>
    <x v="1"/>
    <x v="12"/>
    <s v="Second           "/>
    <s v="2143 cc "/>
    <s v="134 bhp @ 3600 rpm  "/>
    <n v="134"/>
    <n v="4.4240000000000004"/>
    <n v="1.804"/>
    <n v="1.494"/>
    <n v="5"/>
    <x v="1"/>
    <n v="50"/>
  </r>
  <r>
    <x v="9"/>
    <x v="820"/>
    <x v="1574"/>
    <n v="2500000"/>
    <x v="421"/>
    <x v="9"/>
    <x v="700"/>
    <x v="2"/>
    <x v="1"/>
    <x v="10"/>
    <s v="First            "/>
    <s v="1968 cc "/>
    <s v="174 bhp @ 3600 rpm  "/>
    <n v="174"/>
    <n v="4.8609999999999998"/>
    <n v="1.8640000000000001"/>
    <n v="1.4830000000000001"/>
    <n v="5"/>
    <x v="1"/>
    <n v="66"/>
  </r>
  <r>
    <x v="8"/>
    <x v="821"/>
    <x v="1575"/>
    <n v="2540000"/>
    <x v="422"/>
    <x v="16"/>
    <x v="185"/>
    <x v="2"/>
    <x v="1"/>
    <x v="0"/>
    <s v="First            "/>
    <s v="2184 cc "/>
    <s v="182 bhp @ 3500 rpm  "/>
    <n v="182"/>
    <n v="4.6950000000000003"/>
    <n v="1.89"/>
    <n v="1.7549999999999999"/>
    <n v="7"/>
    <x v="1"/>
    <n v="60"/>
  </r>
  <r>
    <x v="4"/>
    <x v="822"/>
    <x v="1576"/>
    <n v="2550000"/>
    <x v="423"/>
    <x v="9"/>
    <x v="265"/>
    <x v="2"/>
    <x v="1"/>
    <x v="8"/>
    <s v="Second           "/>
    <s v="2755 cc "/>
    <s v="174 bhp @ 3400 rpm  "/>
    <n v="174"/>
    <n v="4.7949999999999999"/>
    <n v="1.855"/>
    <n v="1.835"/>
    <n v="7"/>
    <x v="1"/>
    <n v="80"/>
  </r>
  <r>
    <x v="18"/>
    <x v="781"/>
    <x v="1577"/>
    <n v="2550000"/>
    <x v="423"/>
    <x v="9"/>
    <x v="318"/>
    <x v="2"/>
    <x v="1"/>
    <x v="7"/>
    <s v="First            "/>
    <s v="1968 cc "/>
    <s v="184 bhp @ 3500 rpm  "/>
    <n v="184"/>
    <n v="4.3849999999999998"/>
    <n v="1.831"/>
    <n v="1.6080000000000001"/>
    <n v="5"/>
    <x v="1"/>
    <n v="64"/>
  </r>
  <r>
    <x v="17"/>
    <x v="736"/>
    <x v="1578"/>
    <n v="2550000"/>
    <x v="423"/>
    <x v="10"/>
    <x v="26"/>
    <x v="2"/>
    <x v="1"/>
    <x v="7"/>
    <s v="Second           "/>
    <s v="1995 cc "/>
    <s v="190 bhp @ 4000 rpm  "/>
    <n v="190"/>
    <n v="4.899"/>
    <n v="2.0939999999999999"/>
    <n v="1.464"/>
    <n v="5"/>
    <x v="1"/>
    <n v="65"/>
  </r>
  <r>
    <x v="18"/>
    <x v="771"/>
    <x v="1579"/>
    <n v="2550000"/>
    <x v="423"/>
    <x v="10"/>
    <x v="596"/>
    <x v="2"/>
    <x v="1"/>
    <x v="0"/>
    <s v="Second           "/>
    <s v="1968 cc "/>
    <s v="190 bhp @ 3800 rpm  "/>
    <n v="190"/>
    <n v="4.9329999999999998"/>
    <n v="1.8740000000000001"/>
    <n v="1.4550000000000001"/>
    <n v="5"/>
    <x v="1"/>
    <n v="75"/>
  </r>
  <r>
    <x v="26"/>
    <x v="823"/>
    <x v="1580"/>
    <n v="2550000"/>
    <x v="423"/>
    <x v="8"/>
    <x v="6"/>
    <x v="0"/>
    <x v="1"/>
    <x v="0"/>
    <s v="Second           "/>
    <s v="2995 cc "/>
    <s v="335 bhp @ 6500 rpm  "/>
    <n v="335"/>
    <n v="5.2469999999999999"/>
    <n v="2.11"/>
    <n v="1.448"/>
    <n v="5"/>
    <x v="1"/>
    <n v="83"/>
  </r>
  <r>
    <x v="18"/>
    <x v="663"/>
    <x v="1581"/>
    <n v="2590000"/>
    <x v="424"/>
    <x v="14"/>
    <x v="701"/>
    <x v="2"/>
    <x v="1"/>
    <x v="7"/>
    <s v="Second           "/>
    <s v="1968 cc "/>
    <s v="141 bhp @ 3500 rpm  "/>
    <n v="141"/>
    <n v="4.4560000000000004"/>
    <n v="1.796"/>
    <n v="1.4159999999999999"/>
    <n v="5"/>
    <x v="1"/>
    <n v="50"/>
  </r>
  <r>
    <x v="4"/>
    <x v="824"/>
    <x v="1582"/>
    <n v="2598000"/>
    <x v="425"/>
    <x v="16"/>
    <x v="702"/>
    <x v="0"/>
    <x v="1"/>
    <x v="8"/>
    <s v="First            "/>
    <s v="2694 cc "/>
    <s v="164 bhp @ 5200 rpm  "/>
    <n v="164"/>
    <n v="4.7350000000000003"/>
    <n v="1.83"/>
    <n v="1.7949999999999999"/>
    <n v="7"/>
    <x v="1"/>
    <n v="65"/>
  </r>
  <r>
    <x v="18"/>
    <x v="745"/>
    <x v="1583"/>
    <n v="2600000"/>
    <x v="426"/>
    <x v="9"/>
    <x v="23"/>
    <x v="2"/>
    <x v="1"/>
    <x v="7"/>
    <s v="First            "/>
    <s v="1968 cc "/>
    <s v="141 bhp @ 3500 rpm  "/>
    <n v="141"/>
    <n v="4.4560000000000004"/>
    <n v="1.796"/>
    <n v="1.4159999999999999"/>
    <n v="5"/>
    <x v="1"/>
    <n v="50"/>
  </r>
  <r>
    <x v="17"/>
    <x v="803"/>
    <x v="1584"/>
    <n v="2600000"/>
    <x v="426"/>
    <x v="9"/>
    <x v="37"/>
    <x v="2"/>
    <x v="1"/>
    <x v="7"/>
    <s v="First            "/>
    <s v="1995 cc "/>
    <s v="188 bhp @ 4000 rpm  "/>
    <n v="188"/>
    <n v="4.4390000000000001"/>
    <n v="1.821"/>
    <n v="1.6120000000000001"/>
    <n v="5"/>
    <x v="1"/>
    <n v="51"/>
  </r>
  <r>
    <x v="17"/>
    <x v="825"/>
    <x v="1585"/>
    <n v="2600000"/>
    <x v="426"/>
    <x v="11"/>
    <x v="170"/>
    <x v="2"/>
    <x v="1"/>
    <x v="0"/>
    <s v="First            "/>
    <s v="1995 cc "/>
    <s v="190 bhp @ 4000 rpm  "/>
    <n v="190"/>
    <n v="4.899"/>
    <n v="2.0939999999999999"/>
    <n v="1.464"/>
    <n v="5"/>
    <x v="1"/>
    <n v="65"/>
  </r>
  <r>
    <x v="18"/>
    <x v="791"/>
    <x v="1586"/>
    <n v="2600000"/>
    <x v="426"/>
    <x v="10"/>
    <x v="117"/>
    <x v="2"/>
    <x v="1"/>
    <x v="8"/>
    <s v="First            "/>
    <s v="2967 cc "/>
    <s v="241 bhp @ 3800 rpm  "/>
    <n v="241"/>
    <n v="5.0890000000000004"/>
    <n v="1.9830000000000001"/>
    <n v="1.7370000000000001"/>
    <n v="7"/>
    <x v="1"/>
    <n v="100"/>
  </r>
  <r>
    <x v="18"/>
    <x v="826"/>
    <x v="1587"/>
    <n v="2600000"/>
    <x v="426"/>
    <x v="1"/>
    <x v="61"/>
    <x v="2"/>
    <x v="1"/>
    <x v="0"/>
    <s v="First            "/>
    <s v="2967 cc "/>
    <s v="241 bhp @ 4000 rpm  "/>
    <n v="241"/>
    <n v="4.9690000000000003"/>
    <n v="2.1389999999999998"/>
    <n v="1.42"/>
    <n v="5"/>
    <x v="1"/>
    <n v="65"/>
  </r>
  <r>
    <x v="14"/>
    <x v="814"/>
    <x v="1588"/>
    <n v="2600000"/>
    <x v="426"/>
    <x v="6"/>
    <x v="703"/>
    <x v="2"/>
    <x v="1"/>
    <x v="0"/>
    <s v="First            "/>
    <s v="2997 cc "/>
    <s v="254 bhp @ 3600 rpm  "/>
    <n v="254"/>
    <n v="4.8040000000000003"/>
    <n v="2.141"/>
    <n v="1.796"/>
    <n v="5"/>
    <x v="1"/>
    <n v="70"/>
  </r>
  <r>
    <x v="14"/>
    <x v="746"/>
    <x v="1589"/>
    <n v="2650000"/>
    <x v="427"/>
    <x v="12"/>
    <x v="195"/>
    <x v="2"/>
    <x v="1"/>
    <x v="2"/>
    <s v="Second           "/>
    <s v="2143 cc "/>
    <s v="134 bhp @ 3600 rpm  "/>
    <n v="134"/>
    <n v="4.4240000000000004"/>
    <n v="1.804"/>
    <n v="1.494"/>
    <n v="5"/>
    <x v="1"/>
    <n v="50"/>
  </r>
  <r>
    <x v="14"/>
    <x v="811"/>
    <x v="1590"/>
    <n v="2650000"/>
    <x v="427"/>
    <x v="9"/>
    <x v="26"/>
    <x v="2"/>
    <x v="1"/>
    <x v="10"/>
    <s v="Second           "/>
    <s v="2143 cc "/>
    <s v="168 bhp @ 3000 rpm  "/>
    <n v="168"/>
    <n v="4.6859999999999999"/>
    <n v="1.81"/>
    <n v="1.4419999999999999"/>
    <n v="5"/>
    <x v="1"/>
    <n v="66"/>
  </r>
  <r>
    <x v="17"/>
    <x v="789"/>
    <x v="1591"/>
    <n v="2650000"/>
    <x v="427"/>
    <x v="12"/>
    <x v="15"/>
    <x v="2"/>
    <x v="1"/>
    <x v="7"/>
    <s v="Second           "/>
    <s v="1995 cc "/>
    <s v="184 bhp @ 4000 rpm  "/>
    <n v="184"/>
    <n v="4.4539999999999997"/>
    <n v="2.044"/>
    <n v="1.5449999999999999"/>
    <n v="5"/>
    <x v="1"/>
    <n v="63"/>
  </r>
  <r>
    <x v="17"/>
    <x v="789"/>
    <x v="1592"/>
    <n v="2650000"/>
    <x v="427"/>
    <x v="12"/>
    <x v="75"/>
    <x v="2"/>
    <x v="1"/>
    <x v="7"/>
    <s v="Second           "/>
    <s v="1995 cc "/>
    <s v="184 bhp @ 4000 rpm  "/>
    <n v="184"/>
    <n v="4.4539999999999997"/>
    <n v="2.044"/>
    <n v="1.5449999999999999"/>
    <n v="5"/>
    <x v="1"/>
    <n v="63"/>
  </r>
  <r>
    <x v="17"/>
    <x v="827"/>
    <x v="1593"/>
    <n v="2650000"/>
    <x v="427"/>
    <x v="9"/>
    <x v="33"/>
    <x v="2"/>
    <x v="1"/>
    <x v="0"/>
    <s v="Second           "/>
    <s v="1995 cc "/>
    <s v="188 bhp @ 4000 rpm  "/>
    <n v="188"/>
    <n v="4.4390000000000001"/>
    <n v="1.821"/>
    <n v="1.6120000000000001"/>
    <n v="5"/>
    <x v="1"/>
    <n v="51"/>
  </r>
  <r>
    <x v="14"/>
    <x v="793"/>
    <x v="1594"/>
    <n v="2675000"/>
    <x v="428"/>
    <x v="11"/>
    <x v="191"/>
    <x v="0"/>
    <x v="1"/>
    <x v="1"/>
    <s v="First            "/>
    <s v="1991 cc "/>
    <s v="181 bhp @ 5500 rpm  "/>
    <n v="181"/>
    <n v="4.6859999999999999"/>
    <n v="1.81"/>
    <n v="1.4419999999999999"/>
    <n v="5"/>
    <x v="1"/>
    <n v="66"/>
  </r>
  <r>
    <x v="14"/>
    <x v="814"/>
    <x v="1595"/>
    <n v="2682000"/>
    <x v="429"/>
    <x v="10"/>
    <x v="704"/>
    <x v="2"/>
    <x v="1"/>
    <x v="0"/>
    <s v="First            "/>
    <s v="2997 cc "/>
    <s v="254 bhp @ 3600 rpm  "/>
    <n v="254"/>
    <n v="4.8040000000000003"/>
    <n v="2.141"/>
    <n v="1.796"/>
    <n v="5"/>
    <x v="1"/>
    <n v="70"/>
  </r>
  <r>
    <x v="4"/>
    <x v="828"/>
    <x v="1596"/>
    <n v="2690000"/>
    <x v="430"/>
    <x v="9"/>
    <x v="6"/>
    <x v="2"/>
    <x v="1"/>
    <x v="2"/>
    <s v="First            "/>
    <s v="2755 cc "/>
    <s v="174 bhp @ 3400 rpm  "/>
    <n v="174"/>
    <n v="4.7949999999999999"/>
    <n v="1.855"/>
    <n v="1.835"/>
    <n v="7"/>
    <x v="1"/>
    <n v="80"/>
  </r>
  <r>
    <x v="18"/>
    <x v="829"/>
    <x v="1597"/>
    <n v="2690000"/>
    <x v="430"/>
    <x v="11"/>
    <x v="38"/>
    <x v="2"/>
    <x v="1"/>
    <x v="0"/>
    <s v="First            "/>
    <s v="1968 cc "/>
    <s v="174 bhp @ 4200 rpm  "/>
    <n v="174"/>
    <n v="4.6289999999999996"/>
    <n v="1.8979999999999999"/>
    <n v="1.653"/>
    <n v="5"/>
    <x v="1"/>
    <n v="75"/>
  </r>
  <r>
    <x v="17"/>
    <x v="717"/>
    <x v="1598"/>
    <n v="2690000"/>
    <x v="430"/>
    <x v="13"/>
    <x v="705"/>
    <x v="2"/>
    <x v="1"/>
    <x v="7"/>
    <s v="First            "/>
    <s v="1995 cc "/>
    <s v="188 bhp @ 4000 rpm  "/>
    <n v="188"/>
    <n v="4.633"/>
    <n v="1.8109999999999999"/>
    <n v="1.429"/>
    <n v="5"/>
    <x v="1"/>
    <n v="57"/>
  </r>
  <r>
    <x v="14"/>
    <x v="796"/>
    <x v="1599"/>
    <n v="2690000"/>
    <x v="430"/>
    <x v="11"/>
    <x v="706"/>
    <x v="2"/>
    <x v="1"/>
    <x v="1"/>
    <s v="Second           "/>
    <s v="2143 cc "/>
    <s v="204 bhp @ 4200 rpm  "/>
    <n v="204"/>
    <n v="4.8789999999999996"/>
    <n v="1.8540000000000001"/>
    <n v="1.474"/>
    <n v="5"/>
    <x v="1"/>
    <n v="80"/>
  </r>
  <r>
    <x v="20"/>
    <x v="830"/>
    <x v="1600"/>
    <n v="2700000"/>
    <x v="431"/>
    <x v="15"/>
    <x v="79"/>
    <x v="0"/>
    <x v="1"/>
    <x v="7"/>
    <s v="First            "/>
    <s v="1368 cc "/>
    <s v="161 bhp @ 5500 rpm  "/>
    <n v="161"/>
    <n v="4.4050000000000002"/>
    <n v="1.8180000000000001"/>
    <n v="1.64"/>
    <n v="5"/>
    <x v="1"/>
    <n v="60"/>
  </r>
  <r>
    <x v="26"/>
    <x v="831"/>
    <x v="1601"/>
    <n v="2700000"/>
    <x v="431"/>
    <x v="12"/>
    <x v="707"/>
    <x v="2"/>
    <x v="1"/>
    <x v="4"/>
    <s v="Second           "/>
    <s v="1999 cc "/>
    <s v="177 bhp @ 4000 rpm  "/>
    <n v="177"/>
    <n v="4.7949999999999999"/>
    <n v="1.9670000000000001"/>
    <n v="1.4159999999999999"/>
    <n v="5"/>
    <x v="1"/>
    <n v="56"/>
  </r>
  <r>
    <x v="4"/>
    <x v="832"/>
    <x v="1602"/>
    <n v="2725000"/>
    <x v="432"/>
    <x v="14"/>
    <x v="708"/>
    <x v="2"/>
    <x v="1"/>
    <x v="12"/>
    <s v="First            "/>
    <s v="2393 cc "/>
    <s v="148 bhp @ 3400 rpm  "/>
    <n v="148"/>
    <n v="4.7350000000000003"/>
    <n v="1.83"/>
    <n v="1.7949999999999999"/>
    <n v="7"/>
    <x v="1"/>
    <n v="55"/>
  </r>
  <r>
    <x v="4"/>
    <x v="828"/>
    <x v="1603"/>
    <n v="2749000"/>
    <x v="433"/>
    <x v="9"/>
    <x v="171"/>
    <x v="2"/>
    <x v="1"/>
    <x v="0"/>
    <s v="First            "/>
    <s v="2755 cc "/>
    <s v="174 bhp @ 3400 rpm  "/>
    <n v="174"/>
    <n v="4.7949999999999999"/>
    <n v="1.855"/>
    <n v="1.835"/>
    <n v="7"/>
    <x v="1"/>
    <n v="80"/>
  </r>
  <r>
    <x v="14"/>
    <x v="746"/>
    <x v="1604"/>
    <n v="2750000"/>
    <x v="434"/>
    <x v="13"/>
    <x v="590"/>
    <x v="2"/>
    <x v="1"/>
    <x v="0"/>
    <s v="First            "/>
    <s v="2143 cc "/>
    <s v="134 bhp @ 3600 rpm  "/>
    <n v="134"/>
    <n v="4.4240000000000004"/>
    <n v="1.804"/>
    <n v="1.494"/>
    <n v="5"/>
    <x v="1"/>
    <n v="50"/>
  </r>
  <r>
    <x v="4"/>
    <x v="773"/>
    <x v="1605"/>
    <n v="2750000"/>
    <x v="434"/>
    <x v="15"/>
    <x v="709"/>
    <x v="2"/>
    <x v="0"/>
    <x v="0"/>
    <s v="First            "/>
    <s v="2393 cc "/>
    <s v="148 bhp @ 3400 rpm  "/>
    <n v="148"/>
    <n v="4.7350000000000003"/>
    <n v="1.83"/>
    <n v="1.7949999999999999"/>
    <n v="8"/>
    <x v="1"/>
    <n v="55"/>
  </r>
  <r>
    <x v="4"/>
    <x v="828"/>
    <x v="1606"/>
    <n v="2750000"/>
    <x v="434"/>
    <x v="9"/>
    <x v="710"/>
    <x v="2"/>
    <x v="1"/>
    <x v="0"/>
    <s v="Second           "/>
    <s v="2755 cc "/>
    <s v="174 bhp @ 3400 rpm  "/>
    <n v="174"/>
    <n v="4.7949999999999999"/>
    <n v="1.855"/>
    <n v="1.835"/>
    <n v="7"/>
    <x v="1"/>
    <n v="80"/>
  </r>
  <r>
    <x v="8"/>
    <x v="833"/>
    <x v="1607"/>
    <n v="2750000"/>
    <x v="434"/>
    <x v="16"/>
    <x v="106"/>
    <x v="2"/>
    <x v="1"/>
    <x v="8"/>
    <s v="First            "/>
    <s v="2184 cc "/>
    <s v="182 bhp @ 3500 rpm  "/>
    <n v="182"/>
    <n v="4.6950000000000003"/>
    <n v="1.89"/>
    <n v="1.7549999999999999"/>
    <n v="7"/>
    <x v="1"/>
    <n v="60"/>
  </r>
  <r>
    <x v="17"/>
    <x v="784"/>
    <x v="1608"/>
    <n v="2750000"/>
    <x v="434"/>
    <x v="9"/>
    <x v="711"/>
    <x v="2"/>
    <x v="1"/>
    <x v="8"/>
    <s v="Second           "/>
    <s v="1995 cc "/>
    <s v="188 bhp @ 4000 rpm  "/>
    <n v="188"/>
    <n v="4.9359999999999999"/>
    <n v="1.8680000000000001"/>
    <n v="1.4790000000000001"/>
    <n v="5"/>
    <x v="1"/>
    <n v="65"/>
  </r>
  <r>
    <x v="8"/>
    <x v="834"/>
    <x v="1609"/>
    <n v="2765000"/>
    <x v="435"/>
    <x v="16"/>
    <x v="712"/>
    <x v="0"/>
    <x v="1"/>
    <x v="7"/>
    <s v="First            "/>
    <s v="1997 cc "/>
    <s v="197 bhp @ 5000 rpm  "/>
    <n v="197"/>
    <n v="4.6950000000000003"/>
    <n v="1.89"/>
    <n v="1.7549999999999999"/>
    <n v="7"/>
    <x v="1"/>
    <n v="60"/>
  </r>
  <r>
    <x v="8"/>
    <x v="835"/>
    <x v="1610"/>
    <n v="2770000"/>
    <x v="436"/>
    <x v="13"/>
    <x v="34"/>
    <x v="2"/>
    <x v="1"/>
    <x v="8"/>
    <s v="First            "/>
    <s v="2157 cc "/>
    <s v="178 bhp @ 4000 rpm  "/>
    <n v="178"/>
    <n v="4.8499999999999996"/>
    <n v="1.96"/>
    <n v="1.845"/>
    <n v="7"/>
    <x v="1"/>
    <n v="70"/>
  </r>
  <r>
    <x v="17"/>
    <x v="660"/>
    <x v="1611"/>
    <n v="2775000"/>
    <x v="437"/>
    <x v="12"/>
    <x v="713"/>
    <x v="2"/>
    <x v="1"/>
    <x v="10"/>
    <s v="First            "/>
    <s v="1995 cc "/>
    <s v="188 bhp @ 4000 rpm  "/>
    <n v="188"/>
    <n v="4.633"/>
    <n v="1.8109999999999999"/>
    <n v="1.429"/>
    <n v="5"/>
    <x v="1"/>
    <n v="57"/>
  </r>
  <r>
    <x v="14"/>
    <x v="836"/>
    <x v="1612"/>
    <n v="2775000"/>
    <x v="437"/>
    <x v="11"/>
    <x v="22"/>
    <x v="2"/>
    <x v="1"/>
    <x v="8"/>
    <s v="First            "/>
    <s v="2143 cc "/>
    <s v="204 bhp @ 3800 rpm  "/>
    <n v="204"/>
    <n v="4.6859999999999999"/>
    <n v="1.81"/>
    <n v="1.4419999999999999"/>
    <n v="5"/>
    <x v="1"/>
    <n v="66"/>
  </r>
  <r>
    <x v="25"/>
    <x v="837"/>
    <x v="1613"/>
    <n v="2785000"/>
    <x v="438"/>
    <x v="11"/>
    <x v="171"/>
    <x v="2"/>
    <x v="1"/>
    <x v="7"/>
    <s v="First            "/>
    <s v="2993 cc "/>
    <s v="245 bhp @ 4000 rpm  "/>
    <n v="245"/>
    <n v="4.8380000000000001"/>
    <n v="1.915"/>
    <n v="1.837"/>
    <n v="7"/>
    <x v="1"/>
    <n v="82"/>
  </r>
  <r>
    <x v="17"/>
    <x v="803"/>
    <x v="1614"/>
    <n v="2790000"/>
    <x v="439"/>
    <x v="12"/>
    <x v="71"/>
    <x v="2"/>
    <x v="1"/>
    <x v="0"/>
    <s v="First            "/>
    <s v="1995 cc "/>
    <s v="188 bhp @ 4000 rpm  "/>
    <n v="188"/>
    <n v="4.4390000000000001"/>
    <n v="1.821"/>
    <n v="1.6120000000000001"/>
    <n v="5"/>
    <x v="1"/>
    <n v="51"/>
  </r>
  <r>
    <x v="4"/>
    <x v="822"/>
    <x v="1615"/>
    <n v="2799000"/>
    <x v="440"/>
    <x v="13"/>
    <x v="596"/>
    <x v="2"/>
    <x v="1"/>
    <x v="0"/>
    <s v="Second           "/>
    <s v="2755 cc "/>
    <s v="174 bhp @ 3400 rpm  "/>
    <n v="174"/>
    <n v="4.7949999999999999"/>
    <n v="1.855"/>
    <n v="1.835"/>
    <n v="7"/>
    <x v="1"/>
    <n v="80"/>
  </r>
  <r>
    <x v="18"/>
    <x v="809"/>
    <x v="1616"/>
    <n v="2799000"/>
    <x v="440"/>
    <x v="9"/>
    <x v="714"/>
    <x v="2"/>
    <x v="1"/>
    <x v="0"/>
    <s v="First            "/>
    <s v="1968 cc "/>
    <s v="188 bhp @ 4200 rpm  "/>
    <n v="188"/>
    <n v="4.726"/>
    <n v="1.8420000000000001"/>
    <n v="1.427"/>
    <n v="5"/>
    <x v="1"/>
    <n v="54"/>
  </r>
  <r>
    <x v="14"/>
    <x v="838"/>
    <x v="1617"/>
    <n v="2800000"/>
    <x v="441"/>
    <x v="12"/>
    <x v="42"/>
    <x v="2"/>
    <x v="1"/>
    <x v="4"/>
    <s v="First            "/>
    <s v="2143 cc "/>
    <s v="136 bhp @ 3200 rpm  "/>
    <n v="136"/>
    <n v="4.63"/>
    <n v="1.7769999999999999"/>
    <n v="1.4319999999999999"/>
    <n v="5"/>
    <x v="1"/>
    <n v="56"/>
  </r>
  <r>
    <x v="4"/>
    <x v="822"/>
    <x v="1618"/>
    <n v="2800000"/>
    <x v="441"/>
    <x v="11"/>
    <x v="1"/>
    <x v="2"/>
    <x v="1"/>
    <x v="0"/>
    <s v="First            "/>
    <s v="2755 cc "/>
    <s v="174 bhp @ 3400 rpm  "/>
    <n v="174"/>
    <n v="4.7949999999999999"/>
    <n v="1.855"/>
    <n v="1.835"/>
    <n v="7"/>
    <x v="1"/>
    <n v="80"/>
  </r>
  <r>
    <x v="4"/>
    <x v="828"/>
    <x v="1619"/>
    <n v="2800000"/>
    <x v="441"/>
    <x v="9"/>
    <x v="126"/>
    <x v="2"/>
    <x v="1"/>
    <x v="0"/>
    <s v="Second           "/>
    <s v="2755 cc "/>
    <s v="174 bhp @ 3400 rpm  "/>
    <n v="174"/>
    <n v="4.7949999999999999"/>
    <n v="1.855"/>
    <n v="1.835"/>
    <n v="7"/>
    <x v="1"/>
    <n v="80"/>
  </r>
  <r>
    <x v="17"/>
    <x v="839"/>
    <x v="1620"/>
    <n v="2800000"/>
    <x v="441"/>
    <x v="9"/>
    <x v="715"/>
    <x v="0"/>
    <x v="1"/>
    <x v="0"/>
    <s v="First            "/>
    <s v="1998 cc "/>
    <s v="181 bhp @ 5000 rpm  "/>
    <n v="181"/>
    <n v="4.633"/>
    <n v="1.8109999999999999"/>
    <n v="1.429"/>
    <n v="5"/>
    <x v="1"/>
    <n v="57"/>
  </r>
  <r>
    <x v="17"/>
    <x v="789"/>
    <x v="1621"/>
    <n v="2800000"/>
    <x v="441"/>
    <x v="9"/>
    <x v="313"/>
    <x v="2"/>
    <x v="1"/>
    <x v="10"/>
    <s v="Second           "/>
    <s v="1995 cc "/>
    <s v="184 bhp @ 4000 rpm  "/>
    <n v="184"/>
    <n v="4.4539999999999997"/>
    <n v="2.044"/>
    <n v="1.5449999999999999"/>
    <n v="5"/>
    <x v="1"/>
    <n v="63"/>
  </r>
  <r>
    <x v="4"/>
    <x v="822"/>
    <x v="1622"/>
    <n v="2811000"/>
    <x v="442"/>
    <x v="13"/>
    <x v="716"/>
    <x v="2"/>
    <x v="1"/>
    <x v="0"/>
    <s v="Second           "/>
    <s v="2755 cc "/>
    <s v="174 bhp @ 3400 rpm  "/>
    <n v="174"/>
    <n v="4.7949999999999999"/>
    <n v="1.855"/>
    <n v="1.835"/>
    <n v="7"/>
    <x v="1"/>
    <n v="80"/>
  </r>
  <r>
    <x v="4"/>
    <x v="840"/>
    <x v="1623"/>
    <n v="2850000"/>
    <x v="443"/>
    <x v="16"/>
    <x v="425"/>
    <x v="2"/>
    <x v="1"/>
    <x v="0"/>
    <s v="First            "/>
    <s v="2393 cc "/>
    <s v="148 bhp @ 3400 rpm  "/>
    <n v="148"/>
    <n v="4.7350000000000003"/>
    <n v="1.83"/>
    <n v="1.7949999999999999"/>
    <n v="7"/>
    <x v="1"/>
    <n v="55"/>
  </r>
  <r>
    <x v="14"/>
    <x v="811"/>
    <x v="1624"/>
    <n v="2850000"/>
    <x v="443"/>
    <x v="11"/>
    <x v="717"/>
    <x v="2"/>
    <x v="1"/>
    <x v="1"/>
    <s v="First            "/>
    <s v="2143 cc "/>
    <s v="168 bhp @ 3000 rpm  "/>
    <n v="168"/>
    <n v="4.6859999999999999"/>
    <n v="1.81"/>
    <n v="1.4419999999999999"/>
    <n v="5"/>
    <x v="1"/>
    <n v="66"/>
  </r>
  <r>
    <x v="14"/>
    <x v="811"/>
    <x v="1625"/>
    <n v="2850000"/>
    <x v="443"/>
    <x v="11"/>
    <x v="362"/>
    <x v="2"/>
    <x v="1"/>
    <x v="0"/>
    <s v="First            "/>
    <s v="2143 cc "/>
    <s v="168 bhp @ 3000 rpm  "/>
    <n v="168"/>
    <n v="4.6859999999999999"/>
    <n v="1.81"/>
    <n v="1.4419999999999999"/>
    <n v="5"/>
    <x v="1"/>
    <n v="66"/>
  </r>
  <r>
    <x v="26"/>
    <x v="831"/>
    <x v="1626"/>
    <n v="2850000"/>
    <x v="443"/>
    <x v="12"/>
    <x v="114"/>
    <x v="2"/>
    <x v="1"/>
    <x v="0"/>
    <s v="First            "/>
    <s v="1999 cc "/>
    <s v="177 bhp @ 4000 rpm  "/>
    <n v="177"/>
    <n v="4.7949999999999999"/>
    <n v="1.9670000000000001"/>
    <n v="1.4159999999999999"/>
    <n v="5"/>
    <x v="1"/>
    <n v="56"/>
  </r>
  <r>
    <x v="18"/>
    <x v="841"/>
    <x v="1627"/>
    <n v="2850000"/>
    <x v="443"/>
    <x v="9"/>
    <x v="133"/>
    <x v="0"/>
    <x v="1"/>
    <x v="8"/>
    <s v="First            "/>
    <s v="1798 cc "/>
    <s v="190 bhp @ 4200 rpm  "/>
    <n v="190"/>
    <n v="4.9329999999999998"/>
    <n v="1.8740000000000001"/>
    <n v="1.4550000000000001"/>
    <n v="5"/>
    <x v="1"/>
    <n v="75"/>
  </r>
  <r>
    <x v="18"/>
    <x v="655"/>
    <x v="1628"/>
    <n v="2900000"/>
    <x v="444"/>
    <x v="13"/>
    <x v="718"/>
    <x v="2"/>
    <x v="1"/>
    <x v="0"/>
    <s v="First            "/>
    <s v="1968 cc "/>
    <s v="141 bhp @ 3500 rpm  "/>
    <n v="141"/>
    <n v="4.4560000000000004"/>
    <n v="1.796"/>
    <n v="1.4159999999999999"/>
    <n v="5"/>
    <x v="1"/>
    <n v="50"/>
  </r>
  <r>
    <x v="18"/>
    <x v="745"/>
    <x v="1629"/>
    <n v="2900000"/>
    <x v="444"/>
    <x v="13"/>
    <x v="719"/>
    <x v="2"/>
    <x v="1"/>
    <x v="0"/>
    <s v="First            "/>
    <s v="1968 cc "/>
    <s v="141 bhp @ 3500 rpm  "/>
    <n v="141"/>
    <n v="4.4560000000000004"/>
    <n v="1.796"/>
    <n v="1.4159999999999999"/>
    <n v="5"/>
    <x v="1"/>
    <n v="50"/>
  </r>
  <r>
    <x v="18"/>
    <x v="770"/>
    <x v="1630"/>
    <n v="2900000"/>
    <x v="444"/>
    <x v="9"/>
    <x v="23"/>
    <x v="2"/>
    <x v="1"/>
    <x v="0"/>
    <s v="First            "/>
    <s v="1968 cc "/>
    <s v="150 bhp @ 3500 rpm  "/>
    <n v="150"/>
    <n v="4.3849999999999998"/>
    <n v="1.831"/>
    <n v="1.6080000000000001"/>
    <n v="5"/>
    <x v="1"/>
    <n v="64"/>
  </r>
  <r>
    <x v="4"/>
    <x v="822"/>
    <x v="1631"/>
    <n v="2900000"/>
    <x v="444"/>
    <x v="9"/>
    <x v="117"/>
    <x v="2"/>
    <x v="1"/>
    <x v="0"/>
    <s v="First            "/>
    <s v="2755 cc "/>
    <s v="174 bhp @ 3400 rpm  "/>
    <n v="174"/>
    <n v="4.7949999999999999"/>
    <n v="1.855"/>
    <n v="1.835"/>
    <n v="7"/>
    <x v="1"/>
    <n v="80"/>
  </r>
  <r>
    <x v="18"/>
    <x v="781"/>
    <x v="1632"/>
    <n v="2900000"/>
    <x v="444"/>
    <x v="12"/>
    <x v="56"/>
    <x v="2"/>
    <x v="1"/>
    <x v="0"/>
    <s v="First            "/>
    <s v="1968 cc "/>
    <s v="184 bhp @ 3500 rpm  "/>
    <n v="184"/>
    <n v="4.3849999999999998"/>
    <n v="1.831"/>
    <n v="1.6080000000000001"/>
    <n v="5"/>
    <x v="1"/>
    <n v="64"/>
  </r>
  <r>
    <x v="17"/>
    <x v="789"/>
    <x v="1633"/>
    <n v="2900000"/>
    <x v="444"/>
    <x v="13"/>
    <x v="71"/>
    <x v="2"/>
    <x v="1"/>
    <x v="0"/>
    <s v="First            "/>
    <s v="1995 cc "/>
    <s v="184 bhp @ 4000 rpm  "/>
    <n v="184"/>
    <n v="4.4539999999999997"/>
    <n v="2.044"/>
    <n v="1.5449999999999999"/>
    <n v="5"/>
    <x v="1"/>
    <n v="63"/>
  </r>
  <r>
    <x v="18"/>
    <x v="842"/>
    <x v="1634"/>
    <n v="2900000"/>
    <x v="444"/>
    <x v="4"/>
    <x v="40"/>
    <x v="0"/>
    <x v="1"/>
    <x v="4"/>
    <s v="Third            "/>
    <s v="4163 cc "/>
    <s v="444 bhp @ 8250 rpm  "/>
    <n v="444"/>
    <n v="4.649"/>
    <n v="1.86"/>
    <n v="1.3660000000000001"/>
    <n v="5"/>
    <x v="1"/>
    <n v="64"/>
  </r>
  <r>
    <x v="18"/>
    <x v="792"/>
    <x v="1635"/>
    <n v="2950000"/>
    <x v="445"/>
    <x v="12"/>
    <x v="720"/>
    <x v="2"/>
    <x v="1"/>
    <x v="4"/>
    <s v="First            "/>
    <s v="1968 cc "/>
    <s v="141 bhp @ 3500 rpm  "/>
    <n v="141"/>
    <n v="4.4560000000000004"/>
    <n v="1.796"/>
    <n v="1.4159999999999999"/>
    <n v="5"/>
    <x v="1"/>
    <n v="50"/>
  </r>
  <r>
    <x v="18"/>
    <x v="745"/>
    <x v="1636"/>
    <n v="2950000"/>
    <x v="445"/>
    <x v="14"/>
    <x v="421"/>
    <x v="2"/>
    <x v="1"/>
    <x v="0"/>
    <s v="First            "/>
    <s v="1968 cc "/>
    <s v="141 bhp @ 3500 rpm  "/>
    <n v="141"/>
    <n v="4.4560000000000004"/>
    <n v="1.796"/>
    <n v="1.4159999999999999"/>
    <n v="5"/>
    <x v="1"/>
    <n v="50"/>
  </r>
  <r>
    <x v="20"/>
    <x v="843"/>
    <x v="1637"/>
    <n v="2950000"/>
    <x v="445"/>
    <x v="15"/>
    <x v="194"/>
    <x v="2"/>
    <x v="1"/>
    <x v="0"/>
    <s v="First            "/>
    <s v="1956 cc "/>
    <s v="168 bhp @ 3750 rpm  "/>
    <n v="168"/>
    <n v="4.4050000000000002"/>
    <n v="1.8180000000000001"/>
    <n v="1.64"/>
    <n v="5"/>
    <x v="1"/>
    <n v="60"/>
  </r>
  <r>
    <x v="17"/>
    <x v="660"/>
    <x v="1638"/>
    <n v="2950000"/>
    <x v="445"/>
    <x v="12"/>
    <x v="33"/>
    <x v="2"/>
    <x v="1"/>
    <x v="0"/>
    <s v="First            "/>
    <s v="1995 cc "/>
    <s v="188 bhp @ 4000 rpm  "/>
    <n v="188"/>
    <n v="4.633"/>
    <n v="1.8109999999999999"/>
    <n v="1.429"/>
    <n v="5"/>
    <x v="1"/>
    <n v="57"/>
  </r>
  <r>
    <x v="18"/>
    <x v="844"/>
    <x v="1639"/>
    <n v="2950000"/>
    <x v="445"/>
    <x v="14"/>
    <x v="565"/>
    <x v="0"/>
    <x v="1"/>
    <x v="0"/>
    <s v="First            "/>
    <s v="1984 cc "/>
    <s v="188 bhp @ 4200 rpm  "/>
    <n v="188"/>
    <n v="4.3179999999999996"/>
    <n v="1.8049999999999999"/>
    <n v="1.548"/>
    <n v="5"/>
    <x v="1"/>
    <n v="55"/>
  </r>
  <r>
    <x v="21"/>
    <x v="845"/>
    <x v="1640"/>
    <n v="2950000"/>
    <x v="445"/>
    <x v="14"/>
    <x v="8"/>
    <x v="2"/>
    <x v="1"/>
    <x v="0"/>
    <s v="First            "/>
    <s v="2199 cc "/>
    <s v="197 bhp @ 3800 rpm  "/>
    <n v="197"/>
    <n v="5.1150000000000002"/>
    <n v="1.9850000000000001"/>
    <n v="1.7549999999999999"/>
    <n v="7"/>
    <x v="1"/>
    <n v="60"/>
  </r>
  <r>
    <x v="4"/>
    <x v="846"/>
    <x v="1641"/>
    <n v="2980000"/>
    <x v="446"/>
    <x v="13"/>
    <x v="115"/>
    <x v="2"/>
    <x v="0"/>
    <x v="8"/>
    <s v="First            "/>
    <s v="2755 cc "/>
    <s v="174 bhp @ 3400 rpm  "/>
    <n v="174"/>
    <n v="4.7949999999999999"/>
    <n v="1.855"/>
    <n v="1.835"/>
    <n v="7"/>
    <x v="1"/>
    <n v="80"/>
  </r>
  <r>
    <x v="13"/>
    <x v="778"/>
    <x v="1642"/>
    <n v="2990000"/>
    <x v="447"/>
    <x v="14"/>
    <x v="721"/>
    <x v="2"/>
    <x v="1"/>
    <x v="0"/>
    <s v="First            "/>
    <s v="1968 cc "/>
    <s v="141 bhp @ 4000 rpm  "/>
    <n v="141"/>
    <n v="4.4859999999999998"/>
    <n v="1.839"/>
    <n v="1.6719999999999999"/>
    <n v="5"/>
    <x v="1"/>
    <n v="71"/>
  </r>
  <r>
    <x v="17"/>
    <x v="789"/>
    <x v="1643"/>
    <n v="2990000"/>
    <x v="447"/>
    <x v="12"/>
    <x v="91"/>
    <x v="2"/>
    <x v="1"/>
    <x v="0"/>
    <s v="First            "/>
    <s v="1995 cc "/>
    <s v="184 bhp @ 4000 rpm  "/>
    <n v="184"/>
    <n v="4.4539999999999997"/>
    <n v="2.044"/>
    <n v="1.5449999999999999"/>
    <n v="5"/>
    <x v="1"/>
    <n v="63"/>
  </r>
  <r>
    <x v="17"/>
    <x v="847"/>
    <x v="1644"/>
    <n v="2990000"/>
    <x v="447"/>
    <x v="9"/>
    <x v="265"/>
    <x v="2"/>
    <x v="1"/>
    <x v="0"/>
    <s v="Second           "/>
    <s v="1995 cc "/>
    <s v="188 bhp @ 4000 rpm  "/>
    <n v="188"/>
    <n v="4.9359999999999999"/>
    <n v="1.8680000000000001"/>
    <n v="1.4790000000000001"/>
    <n v="5"/>
    <x v="1"/>
    <n v="57"/>
  </r>
  <r>
    <x v="4"/>
    <x v="840"/>
    <x v="1645"/>
    <n v="3000000"/>
    <x v="448"/>
    <x v="15"/>
    <x v="194"/>
    <x v="2"/>
    <x v="1"/>
    <x v="15"/>
    <s v="First            "/>
    <s v="2393 cc "/>
    <s v="148 bhp @ 3400 rpm  "/>
    <n v="148"/>
    <n v="4.7350000000000003"/>
    <n v="1.83"/>
    <n v="1.7949999999999999"/>
    <n v="7"/>
    <x v="1"/>
    <n v="55"/>
  </r>
  <r>
    <x v="18"/>
    <x v="848"/>
    <x v="1646"/>
    <n v="3000000"/>
    <x v="448"/>
    <x v="9"/>
    <x v="61"/>
    <x v="0"/>
    <x v="1"/>
    <x v="0"/>
    <s v="First            "/>
    <s v="1395 cc "/>
    <s v="148 bhp @ 5000 rpm  "/>
    <n v="148"/>
    <n v="4.726"/>
    <n v="1.8420000000000001"/>
    <n v="1.427"/>
    <n v="5"/>
    <x v="1"/>
    <n v="54"/>
  </r>
  <r>
    <x v="17"/>
    <x v="789"/>
    <x v="1647"/>
    <n v="3025000"/>
    <x v="449"/>
    <x v="13"/>
    <x v="4"/>
    <x v="2"/>
    <x v="1"/>
    <x v="7"/>
    <s v="First            "/>
    <s v="1995 cc "/>
    <s v="184 bhp @ 4000 rpm  "/>
    <n v="184"/>
    <n v="4.4539999999999997"/>
    <n v="2.044"/>
    <n v="1.5449999999999999"/>
    <n v="5"/>
    <x v="1"/>
    <n v="63"/>
  </r>
  <r>
    <x v="18"/>
    <x v="689"/>
    <x v="1648"/>
    <n v="3050000"/>
    <x v="450"/>
    <x v="14"/>
    <x v="722"/>
    <x v="2"/>
    <x v="1"/>
    <x v="0"/>
    <s v="First            "/>
    <s v="1968 cc "/>
    <s v="141 bhp @ 3500 rpm  "/>
    <n v="141"/>
    <n v="4.4560000000000004"/>
    <n v="1.796"/>
    <n v="1.4159999999999999"/>
    <n v="5"/>
    <x v="1"/>
    <n v="50"/>
  </r>
  <r>
    <x v="18"/>
    <x v="771"/>
    <x v="1649"/>
    <n v="3075000"/>
    <x v="451"/>
    <x v="9"/>
    <x v="79"/>
    <x v="2"/>
    <x v="1"/>
    <x v="0"/>
    <s v="First            "/>
    <s v="1968 cc "/>
    <s v="190 bhp @ 3800 rpm  "/>
    <n v="190"/>
    <n v="4.9329999999999998"/>
    <n v="1.8740000000000001"/>
    <n v="1.4550000000000001"/>
    <n v="5"/>
    <x v="1"/>
    <n v="75"/>
  </r>
  <r>
    <x v="4"/>
    <x v="822"/>
    <x v="1650"/>
    <n v="3090000"/>
    <x v="452"/>
    <x v="9"/>
    <x v="53"/>
    <x v="2"/>
    <x v="1"/>
    <x v="0"/>
    <s v="First            "/>
    <s v="2755 cc "/>
    <s v="174 bhp @ 3400 rpm  "/>
    <n v="174"/>
    <n v="4.7949999999999999"/>
    <n v="1.855"/>
    <n v="1.835"/>
    <n v="7"/>
    <x v="1"/>
    <n v="80"/>
  </r>
  <r>
    <x v="14"/>
    <x v="838"/>
    <x v="1651"/>
    <n v="3100000"/>
    <x v="453"/>
    <x v="13"/>
    <x v="79"/>
    <x v="2"/>
    <x v="1"/>
    <x v="4"/>
    <s v="First            "/>
    <s v="2143 cc "/>
    <s v="136 bhp @ 3200 rpm  "/>
    <n v="136"/>
    <n v="4.63"/>
    <n v="1.7769999999999999"/>
    <n v="1.4319999999999999"/>
    <n v="5"/>
    <x v="1"/>
    <n v="56"/>
  </r>
  <r>
    <x v="4"/>
    <x v="726"/>
    <x v="1652"/>
    <n v="3100000"/>
    <x v="453"/>
    <x v="15"/>
    <x v="313"/>
    <x v="2"/>
    <x v="0"/>
    <x v="0"/>
    <s v="First            "/>
    <s v="2393 cc "/>
    <s v="148 bhp @ 3400 rpm  "/>
    <n v="148"/>
    <n v="4.7350000000000003"/>
    <n v="1.83"/>
    <n v="1.7949999999999999"/>
    <n v="7"/>
    <x v="1"/>
    <n v="55"/>
  </r>
  <r>
    <x v="14"/>
    <x v="720"/>
    <x v="1653"/>
    <n v="3100000"/>
    <x v="453"/>
    <x v="13"/>
    <x v="35"/>
    <x v="0"/>
    <x v="1"/>
    <x v="4"/>
    <s v="First            "/>
    <s v="1991 cc "/>
    <s v="181 bhp @ 5500 rpm  "/>
    <n v="181"/>
    <n v="4.4240000000000004"/>
    <n v="1.804"/>
    <n v="1.494"/>
    <n v="5"/>
    <x v="1"/>
    <n v="50"/>
  </r>
  <r>
    <x v="18"/>
    <x v="573"/>
    <x v="1654"/>
    <n v="3125000"/>
    <x v="454"/>
    <x v="14"/>
    <x v="630"/>
    <x v="0"/>
    <x v="1"/>
    <x v="0"/>
    <s v="First            "/>
    <s v="1798 cc "/>
    <s v="170 bhp @ 3800 rpm  "/>
    <n v="170"/>
    <n v="4.7009999999999996"/>
    <n v="1.8260000000000001"/>
    <n v="1.427"/>
    <n v="5"/>
    <x v="1"/>
    <n v="63"/>
  </r>
  <r>
    <x v="17"/>
    <x v="789"/>
    <x v="1655"/>
    <n v="3125000"/>
    <x v="454"/>
    <x v="12"/>
    <x v="126"/>
    <x v="2"/>
    <x v="1"/>
    <x v="7"/>
    <s v="First            "/>
    <s v="1995 cc "/>
    <s v="184 bhp @ 4000 rpm  "/>
    <n v="184"/>
    <n v="4.4539999999999997"/>
    <n v="2.044"/>
    <n v="1.5449999999999999"/>
    <n v="5"/>
    <x v="1"/>
    <n v="63"/>
  </r>
  <r>
    <x v="26"/>
    <x v="849"/>
    <x v="1656"/>
    <n v="3150000"/>
    <x v="455"/>
    <x v="6"/>
    <x v="723"/>
    <x v="2"/>
    <x v="1"/>
    <x v="0"/>
    <s v="First            "/>
    <s v="2993 cc "/>
    <s v="271 bhp @ 4000 rpm  "/>
    <n v="271"/>
    <n v="5.2519999999999998"/>
    <n v="1.899"/>
    <n v="1.4570000000000001"/>
    <n v="5"/>
    <x v="1"/>
    <n v="83"/>
  </r>
  <r>
    <x v="9"/>
    <x v="686"/>
    <x v="1657"/>
    <n v="3195000"/>
    <x v="456"/>
    <x v="15"/>
    <x v="724"/>
    <x v="0"/>
    <x v="1"/>
    <x v="7"/>
    <s v="First            "/>
    <s v="1798 cc "/>
    <s v="177 bhp @ 5100 rpm  "/>
    <n v="177"/>
    <n v="4.8609999999999998"/>
    <n v="1.8640000000000001"/>
    <n v="1.4830000000000001"/>
    <n v="5"/>
    <x v="1"/>
    <n v="66"/>
  </r>
  <r>
    <x v="9"/>
    <x v="820"/>
    <x v="1658"/>
    <n v="3199000"/>
    <x v="457"/>
    <x v="13"/>
    <x v="725"/>
    <x v="2"/>
    <x v="1"/>
    <x v="2"/>
    <s v="First            "/>
    <s v="1968 cc "/>
    <s v="174 bhp @ 3600 rpm  "/>
    <n v="174"/>
    <n v="4.8609999999999998"/>
    <n v="1.8640000000000001"/>
    <n v="1.4830000000000001"/>
    <n v="5"/>
    <x v="1"/>
    <n v="66"/>
  </r>
  <r>
    <x v="9"/>
    <x v="686"/>
    <x v="1659"/>
    <n v="3199000"/>
    <x v="457"/>
    <x v="15"/>
    <x v="725"/>
    <x v="0"/>
    <x v="1"/>
    <x v="10"/>
    <s v="First            "/>
    <s v="1798 cc "/>
    <s v="177 bhp @ 5100 rpm  "/>
    <n v="177"/>
    <n v="4.8609999999999998"/>
    <n v="1.8640000000000001"/>
    <n v="1.4830000000000001"/>
    <n v="5"/>
    <x v="1"/>
    <n v="66"/>
  </r>
  <r>
    <x v="4"/>
    <x v="828"/>
    <x v="1660"/>
    <n v="3200000"/>
    <x v="458"/>
    <x v="9"/>
    <x v="68"/>
    <x v="2"/>
    <x v="1"/>
    <x v="2"/>
    <s v="First            "/>
    <s v="2755 cc "/>
    <s v="174 bhp @ 3400 rpm  "/>
    <n v="174"/>
    <n v="4.7949999999999999"/>
    <n v="1.855"/>
    <n v="1.835"/>
    <n v="7"/>
    <x v="1"/>
    <n v="80"/>
  </r>
  <r>
    <x v="25"/>
    <x v="850"/>
    <x v="1661"/>
    <n v="3200000"/>
    <x v="458"/>
    <x v="11"/>
    <x v="17"/>
    <x v="2"/>
    <x v="1"/>
    <x v="7"/>
    <s v="Second           "/>
    <s v="1999 cc "/>
    <s v="177 bhp @ 4000 rpm  "/>
    <n v="177"/>
    <n v="4.5999999999999996"/>
    <n v="2.069"/>
    <n v="1.69"/>
    <n v="7"/>
    <x v="1"/>
    <n v="65"/>
  </r>
  <r>
    <x v="22"/>
    <x v="851"/>
    <x v="1662"/>
    <n v="3200000"/>
    <x v="458"/>
    <x v="9"/>
    <x v="726"/>
    <x v="0"/>
    <x v="1"/>
    <x v="8"/>
    <s v="First            "/>
    <s v="1998 cc "/>
    <s v="189 bhp @           "/>
    <n v="189"/>
    <n v="3.85"/>
    <n v="1.7270000000000001"/>
    <n v="1.4139999999999999"/>
    <n v="4"/>
    <x v="0"/>
    <n v="44"/>
  </r>
  <r>
    <x v="14"/>
    <x v="787"/>
    <x v="1663"/>
    <n v="3200000"/>
    <x v="458"/>
    <x v="6"/>
    <x v="727"/>
    <x v="2"/>
    <x v="1"/>
    <x v="1"/>
    <s v="First            "/>
    <s v="2987 cc "/>
    <s v="234  bhp @3800            "/>
    <n v="234"/>
    <n v="4.7809999999999997"/>
    <n v="1.911"/>
    <n v="1.774"/>
    <n v="5"/>
    <x v="1"/>
    <n v="95"/>
  </r>
  <r>
    <x v="14"/>
    <x v="814"/>
    <x v="1664"/>
    <n v="3200000"/>
    <x v="458"/>
    <x v="6"/>
    <x v="728"/>
    <x v="2"/>
    <x v="1"/>
    <x v="1"/>
    <s v="First            "/>
    <s v="2997 cc "/>
    <s v="254 bhp @ 3600 rpm  "/>
    <n v="254"/>
    <n v="4.8040000000000003"/>
    <n v="2.141"/>
    <n v="1.796"/>
    <n v="5"/>
    <x v="1"/>
    <n v="70"/>
  </r>
  <r>
    <x v="4"/>
    <x v="822"/>
    <x v="1665"/>
    <n v="3210000"/>
    <x v="459"/>
    <x v="12"/>
    <x v="25"/>
    <x v="2"/>
    <x v="1"/>
    <x v="0"/>
    <s v="First            "/>
    <s v="2755 cc "/>
    <s v="174 bhp @ 3400 rpm  "/>
    <n v="174"/>
    <n v="4.7949999999999999"/>
    <n v="1.855"/>
    <n v="1.835"/>
    <n v="7"/>
    <x v="1"/>
    <n v="80"/>
  </r>
  <r>
    <x v="4"/>
    <x v="846"/>
    <x v="1666"/>
    <n v="3250000"/>
    <x v="460"/>
    <x v="12"/>
    <x v="729"/>
    <x v="2"/>
    <x v="0"/>
    <x v="0"/>
    <s v="First            "/>
    <s v="2755 cc "/>
    <s v="174 bhp @ 3400 rpm  "/>
    <n v="174"/>
    <n v="4.7949999999999999"/>
    <n v="1.855"/>
    <n v="1.835"/>
    <n v="7"/>
    <x v="1"/>
    <n v="80"/>
  </r>
  <r>
    <x v="17"/>
    <x v="852"/>
    <x v="1667"/>
    <n v="3250000"/>
    <x v="460"/>
    <x v="14"/>
    <x v="730"/>
    <x v="2"/>
    <x v="1"/>
    <x v="7"/>
    <s v="Second           "/>
    <s v="1995 cc "/>
    <s v="184 bhp @ 4000 rpm  "/>
    <n v="184"/>
    <n v="4.4539999999999997"/>
    <n v="1.798"/>
    <n v="1.5449999999999999"/>
    <n v="5"/>
    <x v="1"/>
    <n v="61"/>
  </r>
  <r>
    <x v="18"/>
    <x v="853"/>
    <x v="1668"/>
    <n v="3250000"/>
    <x v="460"/>
    <x v="13"/>
    <x v="37"/>
    <x v="2"/>
    <x v="1"/>
    <x v="0"/>
    <s v="Second           "/>
    <s v="1968 cc "/>
    <s v="184 bhp @ 3500 rpm  "/>
    <n v="184"/>
    <n v="4.3849999999999998"/>
    <n v="1.831"/>
    <n v="1.6080000000000001"/>
    <n v="5"/>
    <x v="1"/>
    <n v="64"/>
  </r>
  <r>
    <x v="3"/>
    <x v="854"/>
    <x v="1669"/>
    <n v="3250000"/>
    <x v="460"/>
    <x v="13"/>
    <x v="91"/>
    <x v="2"/>
    <x v="1"/>
    <x v="0"/>
    <s v="First            "/>
    <s v="3198 cc "/>
    <s v="197 bhp @ 3000 rpm  "/>
    <n v="197"/>
    <n v="4.9029999999999996"/>
    <n v="1.869"/>
    <n v="1.837"/>
    <n v="7"/>
    <x v="1"/>
    <n v="80"/>
  </r>
  <r>
    <x v="4"/>
    <x v="822"/>
    <x v="1670"/>
    <n v="3290000"/>
    <x v="461"/>
    <x v="12"/>
    <x v="39"/>
    <x v="2"/>
    <x v="1"/>
    <x v="0"/>
    <s v="First            "/>
    <s v="2755 cc "/>
    <s v="174 bhp @ 3400 rpm  "/>
    <n v="174"/>
    <n v="4.7949999999999999"/>
    <n v="1.855"/>
    <n v="1.835"/>
    <n v="7"/>
    <x v="1"/>
    <n v="80"/>
  </r>
  <r>
    <x v="26"/>
    <x v="831"/>
    <x v="1671"/>
    <n v="3299000"/>
    <x v="462"/>
    <x v="9"/>
    <x v="731"/>
    <x v="2"/>
    <x v="1"/>
    <x v="7"/>
    <s v="First            "/>
    <s v="1999 cc "/>
    <s v="177 bhp @ 4000 rpm  "/>
    <n v="177"/>
    <n v="4.7949999999999999"/>
    <n v="1.9670000000000001"/>
    <n v="1.4159999999999999"/>
    <n v="5"/>
    <x v="1"/>
    <n v="56"/>
  </r>
  <r>
    <x v="22"/>
    <x v="855"/>
    <x v="1672"/>
    <n v="3300000"/>
    <x v="463"/>
    <x v="12"/>
    <x v="79"/>
    <x v="2"/>
    <x v="1"/>
    <x v="11"/>
    <s v="First            "/>
    <s v="1496 cc "/>
    <s v="114 bhp @ 4000 rpm  "/>
    <n v="114"/>
    <n v="3.8210000000000002"/>
    <n v="1.7270000000000001"/>
    <n v="1.4139999999999999"/>
    <n v="5"/>
    <x v="1"/>
    <n v="44"/>
  </r>
  <r>
    <x v="22"/>
    <x v="855"/>
    <x v="1673"/>
    <n v="3300000"/>
    <x v="463"/>
    <x v="13"/>
    <x v="732"/>
    <x v="2"/>
    <x v="1"/>
    <x v="4"/>
    <s v="First            "/>
    <s v="1496 cc "/>
    <s v="114 bhp @ 4000 rpm  "/>
    <n v="114"/>
    <n v="3.8210000000000002"/>
    <n v="1.7270000000000001"/>
    <n v="1.4139999999999999"/>
    <n v="5"/>
    <x v="1"/>
    <n v="44"/>
  </r>
  <r>
    <x v="17"/>
    <x v="825"/>
    <x v="1674"/>
    <n v="3300000"/>
    <x v="463"/>
    <x v="9"/>
    <x v="733"/>
    <x v="2"/>
    <x v="1"/>
    <x v="7"/>
    <s v="First            "/>
    <s v="1995 cc "/>
    <s v="190 bhp @ 4000 rpm  "/>
    <n v="190"/>
    <n v="4.899"/>
    <n v="2.0939999999999999"/>
    <n v="1.464"/>
    <n v="5"/>
    <x v="1"/>
    <n v="65"/>
  </r>
  <r>
    <x v="3"/>
    <x v="854"/>
    <x v="1675"/>
    <n v="3300000"/>
    <x v="463"/>
    <x v="13"/>
    <x v="734"/>
    <x v="2"/>
    <x v="1"/>
    <x v="1"/>
    <s v="First            "/>
    <s v="3198 cc "/>
    <s v="197 bhp @ 3000 rpm  "/>
    <n v="197"/>
    <n v="4.9029999999999996"/>
    <n v="1.869"/>
    <n v="1.837"/>
    <n v="7"/>
    <x v="1"/>
    <n v="80"/>
  </r>
  <r>
    <x v="18"/>
    <x v="856"/>
    <x v="1676"/>
    <n v="3300000"/>
    <x v="463"/>
    <x v="6"/>
    <x v="71"/>
    <x v="2"/>
    <x v="1"/>
    <x v="10"/>
    <s v="Second           "/>
    <s v="2967 cc "/>
    <s v="241 bhp @ 3800 rpm  "/>
    <n v="241"/>
    <n v="5.0890000000000004"/>
    <n v="1.9830000000000001"/>
    <n v="1.7370000000000001"/>
    <n v="6"/>
    <x v="1"/>
    <n v="100"/>
  </r>
  <r>
    <x v="9"/>
    <x v="857"/>
    <x v="1677"/>
    <n v="3325000"/>
    <x v="464"/>
    <x v="15"/>
    <x v="735"/>
    <x v="0"/>
    <x v="1"/>
    <x v="0"/>
    <s v="First            "/>
    <s v="1984 cc "/>
    <s v="188 bhp @ 4200 rpm  "/>
    <n v="188"/>
    <n v="4.8689999999999998"/>
    <n v="1.8640000000000001"/>
    <n v="1.4690000000000001"/>
    <n v="5"/>
    <x v="1"/>
    <n v="66"/>
  </r>
  <r>
    <x v="4"/>
    <x v="822"/>
    <x v="1678"/>
    <n v="3350000"/>
    <x v="465"/>
    <x v="12"/>
    <x v="71"/>
    <x v="2"/>
    <x v="1"/>
    <x v="0"/>
    <s v="First            "/>
    <s v="2755 cc "/>
    <s v="174 bhp @ 3400 rpm  "/>
    <n v="174"/>
    <n v="4.7949999999999999"/>
    <n v="1.855"/>
    <n v="1.835"/>
    <n v="7"/>
    <x v="1"/>
    <n v="80"/>
  </r>
  <r>
    <x v="13"/>
    <x v="858"/>
    <x v="1679"/>
    <n v="3375000"/>
    <x v="466"/>
    <x v="15"/>
    <x v="71"/>
    <x v="0"/>
    <x v="1"/>
    <x v="1"/>
    <s v="First            "/>
    <s v="1984 cc "/>
    <s v="188 bhp @ 4200 rpm  "/>
    <n v="188"/>
    <n v="4.7009999999999996"/>
    <n v="1.839"/>
    <n v="1.6739999999999999"/>
    <n v="7"/>
    <x v="1"/>
    <n v="60"/>
  </r>
  <r>
    <x v="14"/>
    <x v="804"/>
    <x v="1680"/>
    <n v="3390000"/>
    <x v="467"/>
    <x v="10"/>
    <x v="736"/>
    <x v="2"/>
    <x v="1"/>
    <x v="1"/>
    <s v="First            "/>
    <s v="2987 cc "/>
    <s v="258 bhp @ 3600 rpm  "/>
    <n v="258"/>
    <n v="5.12"/>
    <n v="1.9339999999999999"/>
    <n v="1.85"/>
    <n v="7"/>
    <x v="1"/>
    <n v="100"/>
  </r>
  <r>
    <x v="14"/>
    <x v="859"/>
    <x v="1681"/>
    <n v="3400000"/>
    <x v="468"/>
    <x v="12"/>
    <x v="15"/>
    <x v="2"/>
    <x v="1"/>
    <x v="7"/>
    <s v="First            "/>
    <s v="2143 cc "/>
    <s v="168 bhp @ 3000 rpm  "/>
    <n v="168"/>
    <n v="4.6559999999999997"/>
    <n v="1.89"/>
    <n v="1.639"/>
    <n v="5"/>
    <x v="1"/>
    <n v="66"/>
  </r>
  <r>
    <x v="17"/>
    <x v="789"/>
    <x v="1682"/>
    <n v="3400000"/>
    <x v="468"/>
    <x v="13"/>
    <x v="421"/>
    <x v="2"/>
    <x v="1"/>
    <x v="8"/>
    <s v="First            "/>
    <s v="1995 cc "/>
    <s v="184 bhp @ 4000 rpm  "/>
    <n v="184"/>
    <n v="4.4539999999999997"/>
    <n v="2.044"/>
    <n v="1.5449999999999999"/>
    <n v="5"/>
    <x v="1"/>
    <n v="63"/>
  </r>
  <r>
    <x v="18"/>
    <x v="860"/>
    <x v="1683"/>
    <n v="3400000"/>
    <x v="468"/>
    <x v="13"/>
    <x v="22"/>
    <x v="2"/>
    <x v="1"/>
    <x v="0"/>
    <s v="First            "/>
    <s v="1968 cc "/>
    <s v="188 bhp @ 4200 rpm  "/>
    <n v="188"/>
    <n v="4.726"/>
    <n v="1.8420000000000001"/>
    <n v="1.427"/>
    <n v="5"/>
    <x v="1"/>
    <n v="54"/>
  </r>
  <r>
    <x v="17"/>
    <x v="784"/>
    <x v="1684"/>
    <n v="3400000"/>
    <x v="468"/>
    <x v="11"/>
    <x v="194"/>
    <x v="2"/>
    <x v="1"/>
    <x v="0"/>
    <s v="Second           "/>
    <s v="1995 cc "/>
    <s v="188 bhp @ 4000 rpm  "/>
    <n v="188"/>
    <n v="4.9359999999999999"/>
    <n v="1.8680000000000001"/>
    <n v="1.4790000000000001"/>
    <n v="5"/>
    <x v="1"/>
    <n v="65"/>
  </r>
  <r>
    <x v="18"/>
    <x v="771"/>
    <x v="1685"/>
    <n v="3400000"/>
    <x v="468"/>
    <x v="12"/>
    <x v="39"/>
    <x v="2"/>
    <x v="1"/>
    <x v="4"/>
    <s v="First            "/>
    <s v="1968 cc "/>
    <s v="190 bhp @ 3800 rpm  "/>
    <n v="190"/>
    <n v="4.9329999999999998"/>
    <n v="1.8740000000000001"/>
    <n v="1.4550000000000001"/>
    <n v="5"/>
    <x v="1"/>
    <n v="75"/>
  </r>
  <r>
    <x v="14"/>
    <x v="861"/>
    <x v="1686"/>
    <n v="3400000"/>
    <x v="468"/>
    <x v="12"/>
    <x v="73"/>
    <x v="2"/>
    <x v="1"/>
    <x v="0"/>
    <s v="First            "/>
    <s v="1950 cc "/>
    <s v="192 bhp @ 3800 rpm  "/>
    <n v="192"/>
    <n v="4.6859999999999999"/>
    <n v="1.81"/>
    <n v="1.4419999999999999"/>
    <n v="5"/>
    <x v="1"/>
    <n v="66"/>
  </r>
  <r>
    <x v="9"/>
    <x v="862"/>
    <x v="1687"/>
    <n v="3400000"/>
    <x v="468"/>
    <x v="13"/>
    <x v="737"/>
    <x v="0"/>
    <x v="1"/>
    <x v="4"/>
    <s v="First            "/>
    <s v="1984 cc "/>
    <s v="227 bhp @ 5500 rpm  "/>
    <n v="227"/>
    <n v="4.6890000000000001"/>
    <n v="1.8140000000000001"/>
    <n v="1.496"/>
    <n v="5"/>
    <x v="1"/>
    <n v="50"/>
  </r>
  <r>
    <x v="25"/>
    <x v="863"/>
    <x v="1688"/>
    <n v="3450000"/>
    <x v="469"/>
    <x v="11"/>
    <x v="313"/>
    <x v="2"/>
    <x v="1"/>
    <x v="7"/>
    <s v="First            "/>
    <s v="2179 cc "/>
    <s v="188 bhp @ 3500 rpm  "/>
    <n v="188"/>
    <n v="4.4649999999999999"/>
    <n v="1.9"/>
    <n v="1.635"/>
    <n v="5"/>
    <x v="1"/>
    <n v="57"/>
  </r>
  <r>
    <x v="18"/>
    <x v="864"/>
    <x v="1689"/>
    <n v="3450000"/>
    <x v="469"/>
    <x v="16"/>
    <x v="738"/>
    <x v="0"/>
    <x v="1"/>
    <x v="7"/>
    <s v="First            "/>
    <s v="1984 cc "/>
    <s v="188 bhp @ 4200 rpm  "/>
    <n v="188"/>
    <n v="4.3179999999999996"/>
    <n v="1.8049999999999999"/>
    <n v="1.548"/>
    <n v="5"/>
    <x v="1"/>
    <n v="55"/>
  </r>
  <r>
    <x v="3"/>
    <x v="777"/>
    <x v="1690"/>
    <n v="3450000"/>
    <x v="469"/>
    <x v="13"/>
    <x v="739"/>
    <x v="2"/>
    <x v="1"/>
    <x v="1"/>
    <s v="First            "/>
    <s v="3198 cc "/>
    <s v="197 bhp @ 3000 rpm  "/>
    <n v="197"/>
    <n v="4.8920000000000003"/>
    <n v="1.86"/>
    <n v="1.837"/>
    <n v="7"/>
    <x v="1"/>
    <n v="80"/>
  </r>
  <r>
    <x v="3"/>
    <x v="777"/>
    <x v="1691"/>
    <n v="3450000"/>
    <x v="469"/>
    <x v="12"/>
    <x v="56"/>
    <x v="2"/>
    <x v="1"/>
    <x v="0"/>
    <s v="First            "/>
    <s v="3198 cc "/>
    <s v="197 bhp @ 3000 rpm  "/>
    <n v="197"/>
    <n v="4.8920000000000003"/>
    <n v="1.86"/>
    <n v="1.837"/>
    <n v="7"/>
    <x v="1"/>
    <n v="80"/>
  </r>
  <r>
    <x v="4"/>
    <x v="828"/>
    <x v="1692"/>
    <n v="3470000"/>
    <x v="470"/>
    <x v="12"/>
    <x v="740"/>
    <x v="2"/>
    <x v="1"/>
    <x v="1"/>
    <s v="First            "/>
    <s v="2755 cc "/>
    <s v="174 bhp @ 3400 rpm  "/>
    <n v="174"/>
    <n v="4.7949999999999999"/>
    <n v="1.855"/>
    <n v="1.835"/>
    <n v="7"/>
    <x v="1"/>
    <n v="80"/>
  </r>
  <r>
    <x v="4"/>
    <x v="822"/>
    <x v="1693"/>
    <n v="3499000"/>
    <x v="471"/>
    <x v="13"/>
    <x v="62"/>
    <x v="2"/>
    <x v="1"/>
    <x v="0"/>
    <s v="First            "/>
    <s v="2755 cc "/>
    <s v="174 bhp @ 3400 rpm  "/>
    <n v="174"/>
    <n v="4.7949999999999999"/>
    <n v="1.855"/>
    <n v="1.835"/>
    <n v="7"/>
    <x v="1"/>
    <n v="80"/>
  </r>
  <r>
    <x v="18"/>
    <x v="848"/>
    <x v="1694"/>
    <n v="3500000"/>
    <x v="472"/>
    <x v="12"/>
    <x v="185"/>
    <x v="0"/>
    <x v="1"/>
    <x v="0"/>
    <s v="First            "/>
    <s v="1395 cc "/>
    <s v="148 bhp @ 5000 rpm  "/>
    <n v="148"/>
    <n v="4.726"/>
    <n v="1.8420000000000001"/>
    <n v="1.427"/>
    <n v="5"/>
    <x v="1"/>
    <n v="54"/>
  </r>
  <r>
    <x v="14"/>
    <x v="859"/>
    <x v="1695"/>
    <n v="3500000"/>
    <x v="472"/>
    <x v="9"/>
    <x v="8"/>
    <x v="2"/>
    <x v="1"/>
    <x v="0"/>
    <s v="First            "/>
    <s v="2143 cc "/>
    <s v="168 bhp @ 3000 rpm  "/>
    <n v="168"/>
    <n v="4.6559999999999997"/>
    <n v="1.89"/>
    <n v="1.639"/>
    <n v="5"/>
    <x v="1"/>
    <n v="66"/>
  </r>
  <r>
    <x v="25"/>
    <x v="850"/>
    <x v="1696"/>
    <n v="3500000"/>
    <x v="472"/>
    <x v="11"/>
    <x v="101"/>
    <x v="2"/>
    <x v="1"/>
    <x v="4"/>
    <s v="First            "/>
    <s v="1999 cc "/>
    <s v="177 bhp @ 4000 rpm  "/>
    <n v="177"/>
    <n v="4.5999999999999996"/>
    <n v="2.069"/>
    <n v="1.69"/>
    <n v="7"/>
    <x v="1"/>
    <n v="65"/>
  </r>
  <r>
    <x v="14"/>
    <x v="861"/>
    <x v="1697"/>
    <n v="3500000"/>
    <x v="472"/>
    <x v="13"/>
    <x v="17"/>
    <x v="2"/>
    <x v="1"/>
    <x v="8"/>
    <s v="Second           "/>
    <s v="1950 cc "/>
    <s v="192 bhp @ 3800 rpm  "/>
    <n v="192"/>
    <n v="4.6859999999999999"/>
    <n v="1.81"/>
    <n v="1.4419999999999999"/>
    <n v="5"/>
    <x v="1"/>
    <n v="66"/>
  </r>
  <r>
    <x v="23"/>
    <x v="865"/>
    <x v="1698"/>
    <n v="3500000"/>
    <x v="472"/>
    <x v="15"/>
    <x v="622"/>
    <x v="2"/>
    <x v="1"/>
    <x v="8"/>
    <s v="First            "/>
    <s v="1996 cc "/>
    <s v="215 bhp @ 4000 rpm  "/>
    <n v="215"/>
    <n v="4.9850000000000003"/>
    <n v="1.9259999999999999"/>
    <n v="1.867"/>
    <n v="6"/>
    <x v="1"/>
    <n v="75"/>
  </r>
  <r>
    <x v="27"/>
    <x v="866"/>
    <x v="1699"/>
    <n v="3500000"/>
    <x v="472"/>
    <x v="6"/>
    <x v="741"/>
    <x v="0"/>
    <x v="1"/>
    <x v="7"/>
    <s v="First            "/>
    <s v="4806 cc "/>
    <s v="500 bhp @ 6500 rpm  "/>
    <n v="500"/>
    <n v="4.8460000000000001"/>
    <n v="1.9390000000000001"/>
    <n v="1.702"/>
    <n v="5"/>
    <x v="1"/>
    <n v="100"/>
  </r>
  <r>
    <x v="4"/>
    <x v="822"/>
    <x v="1700"/>
    <n v="3550000"/>
    <x v="473"/>
    <x v="14"/>
    <x v="17"/>
    <x v="2"/>
    <x v="1"/>
    <x v="8"/>
    <s v="First            "/>
    <s v="2755 cc "/>
    <s v="174 bhp @ 3400 rpm  "/>
    <n v="174"/>
    <n v="4.7949999999999999"/>
    <n v="1.855"/>
    <n v="1.835"/>
    <n v="7"/>
    <x v="1"/>
    <n v="80"/>
  </r>
  <r>
    <x v="22"/>
    <x v="765"/>
    <x v="1701"/>
    <n v="3590000"/>
    <x v="474"/>
    <x v="14"/>
    <x v="28"/>
    <x v="2"/>
    <x v="1"/>
    <x v="7"/>
    <s v="First            "/>
    <s v="1496 cc "/>
    <s v="114 bhp @ 4000 rpm  "/>
    <n v="114"/>
    <n v="3.9820000000000002"/>
    <n v="1.7270000000000001"/>
    <n v="1.425"/>
    <n v="5"/>
    <x v="1"/>
    <n v="44"/>
  </r>
  <r>
    <x v="4"/>
    <x v="822"/>
    <x v="1702"/>
    <n v="3600000"/>
    <x v="475"/>
    <x v="12"/>
    <x v="742"/>
    <x v="2"/>
    <x v="1"/>
    <x v="0"/>
    <s v="First            "/>
    <s v="2755 cc "/>
    <s v="174 bhp @ 3400 rpm  "/>
    <n v="174"/>
    <n v="4.7949999999999999"/>
    <n v="1.855"/>
    <n v="1.835"/>
    <n v="7"/>
    <x v="1"/>
    <n v="80"/>
  </r>
  <r>
    <x v="25"/>
    <x v="818"/>
    <x v="1703"/>
    <n v="3600000"/>
    <x v="475"/>
    <x v="12"/>
    <x v="114"/>
    <x v="2"/>
    <x v="1"/>
    <x v="7"/>
    <s v="First            "/>
    <s v="1999 cc "/>
    <s v="177 bhp @ 4000 rpm  "/>
    <n v="177"/>
    <n v="4.3600000000000003"/>
    <n v="2.12"/>
    <n v="1.635"/>
    <n v="5"/>
    <x v="1"/>
    <n v="57"/>
  </r>
  <r>
    <x v="26"/>
    <x v="849"/>
    <x v="1704"/>
    <n v="3600000"/>
    <x v="475"/>
    <x v="6"/>
    <x v="34"/>
    <x v="2"/>
    <x v="1"/>
    <x v="10"/>
    <s v="Second           "/>
    <s v="2993 cc "/>
    <s v="271 bhp @ 4000 rpm  "/>
    <n v="271"/>
    <n v="5.2519999999999998"/>
    <n v="1.899"/>
    <n v="1.4570000000000001"/>
    <n v="5"/>
    <x v="1"/>
    <n v="83"/>
  </r>
  <r>
    <x v="3"/>
    <x v="777"/>
    <x v="1705"/>
    <n v="3650000"/>
    <x v="476"/>
    <x v="13"/>
    <x v="91"/>
    <x v="2"/>
    <x v="1"/>
    <x v="8"/>
    <s v="First            "/>
    <s v="3198 cc "/>
    <s v="197 bhp @ 3000 rpm  "/>
    <n v="197"/>
    <n v="4.8920000000000003"/>
    <n v="1.86"/>
    <n v="1.837"/>
    <n v="7"/>
    <x v="1"/>
    <n v="80"/>
  </r>
  <r>
    <x v="17"/>
    <x v="867"/>
    <x v="1706"/>
    <n v="3650000"/>
    <x v="476"/>
    <x v="13"/>
    <x v="148"/>
    <x v="0"/>
    <x v="1"/>
    <x v="0"/>
    <s v="First            "/>
    <s v="1998 cc "/>
    <s v="248 bhp @ 5200 rpm  "/>
    <n v="248"/>
    <n v="4.633"/>
    <n v="1.8109999999999999"/>
    <n v="1.429"/>
    <n v="5"/>
    <x v="1"/>
    <n v="57"/>
  </r>
  <r>
    <x v="18"/>
    <x v="842"/>
    <x v="1707"/>
    <n v="3650000"/>
    <x v="476"/>
    <x v="1"/>
    <x v="475"/>
    <x v="0"/>
    <x v="1"/>
    <x v="7"/>
    <s v="Second           "/>
    <s v="4163 cc "/>
    <s v="444 bhp @ 8250 rpm  "/>
    <n v="444"/>
    <n v="4.649"/>
    <n v="1.86"/>
    <n v="1.3660000000000001"/>
    <n v="5"/>
    <x v="1"/>
    <n v="64"/>
  </r>
  <r>
    <x v="17"/>
    <x v="789"/>
    <x v="1708"/>
    <n v="3675000"/>
    <x v="477"/>
    <x v="14"/>
    <x v="743"/>
    <x v="2"/>
    <x v="1"/>
    <x v="0"/>
    <s v="First            "/>
    <s v="1995 cc "/>
    <s v="184 bhp @ 4000 rpm  "/>
    <n v="184"/>
    <n v="4.4539999999999997"/>
    <n v="2.044"/>
    <n v="1.5449999999999999"/>
    <n v="5"/>
    <x v="1"/>
    <n v="63"/>
  </r>
  <r>
    <x v="18"/>
    <x v="771"/>
    <x v="1709"/>
    <n v="3675000"/>
    <x v="477"/>
    <x v="13"/>
    <x v="91"/>
    <x v="2"/>
    <x v="1"/>
    <x v="8"/>
    <s v="First            "/>
    <s v="1968 cc "/>
    <s v="190 bhp @ 3800 rpm  "/>
    <n v="190"/>
    <n v="4.9329999999999998"/>
    <n v="1.8740000000000001"/>
    <n v="1.4550000000000001"/>
    <n v="5"/>
    <x v="1"/>
    <n v="75"/>
  </r>
  <r>
    <x v="14"/>
    <x v="804"/>
    <x v="1710"/>
    <n v="3700000"/>
    <x v="478"/>
    <x v="10"/>
    <x v="744"/>
    <x v="2"/>
    <x v="1"/>
    <x v="8"/>
    <s v="Second           "/>
    <s v="2987 cc "/>
    <s v="258 bhp @ 3600 rpm  "/>
    <n v="258"/>
    <n v="5.12"/>
    <n v="1.9339999999999999"/>
    <n v="1.85"/>
    <n v="7"/>
    <x v="1"/>
    <n v="100"/>
  </r>
  <r>
    <x v="26"/>
    <x v="868"/>
    <x v="1711"/>
    <n v="3750000"/>
    <x v="479"/>
    <x v="13"/>
    <x v="745"/>
    <x v="2"/>
    <x v="1"/>
    <x v="1"/>
    <s v="Second           "/>
    <s v="1999 cc "/>
    <s v="177 bhp @ 4000 rpm  "/>
    <n v="177"/>
    <n v="5.0670000000000002"/>
    <n v="2.0910000000000002"/>
    <n v="1.4570000000000001"/>
    <n v="5"/>
    <x v="1"/>
    <n v="66"/>
  </r>
  <r>
    <x v="18"/>
    <x v="869"/>
    <x v="1712"/>
    <n v="3750000"/>
    <x v="479"/>
    <x v="11"/>
    <x v="10"/>
    <x v="2"/>
    <x v="1"/>
    <x v="0"/>
    <s v="Second           "/>
    <s v="2967 cc "/>
    <s v="245 bhp @ 2910 rpm  "/>
    <n v="245"/>
    <n v="5.0519999999999996"/>
    <n v="1.968"/>
    <n v="1.74"/>
    <n v="7"/>
    <x v="1"/>
    <n v="75"/>
  </r>
  <r>
    <x v="4"/>
    <x v="822"/>
    <x v="1713"/>
    <n v="3775000"/>
    <x v="480"/>
    <x v="14"/>
    <x v="15"/>
    <x v="2"/>
    <x v="1"/>
    <x v="0"/>
    <s v="First            "/>
    <s v="2755 cc "/>
    <s v="174 bhp @ 3400 rpm  "/>
    <n v="174"/>
    <n v="4.7949999999999999"/>
    <n v="1.855"/>
    <n v="1.835"/>
    <n v="7"/>
    <x v="1"/>
    <n v="80"/>
  </r>
  <r>
    <x v="17"/>
    <x v="789"/>
    <x v="1714"/>
    <n v="3775000"/>
    <x v="480"/>
    <x v="13"/>
    <x v="746"/>
    <x v="2"/>
    <x v="1"/>
    <x v="8"/>
    <s v="First            "/>
    <s v="1995 cc "/>
    <s v="184 bhp @ 4000 rpm  "/>
    <n v="184"/>
    <n v="4.4539999999999997"/>
    <n v="2.044"/>
    <n v="1.5449999999999999"/>
    <n v="5"/>
    <x v="1"/>
    <n v="63"/>
  </r>
  <r>
    <x v="17"/>
    <x v="789"/>
    <x v="1715"/>
    <n v="3785000"/>
    <x v="481"/>
    <x v="13"/>
    <x v="747"/>
    <x v="2"/>
    <x v="1"/>
    <x v="7"/>
    <s v="First            "/>
    <s v="1995 cc "/>
    <s v="184 bhp @ 4000 rpm  "/>
    <n v="184"/>
    <n v="4.4539999999999997"/>
    <n v="2.044"/>
    <n v="1.5449999999999999"/>
    <n v="5"/>
    <x v="1"/>
    <n v="63"/>
  </r>
  <r>
    <x v="3"/>
    <x v="870"/>
    <x v="1716"/>
    <n v="3800000"/>
    <x v="482"/>
    <x v="14"/>
    <x v="42"/>
    <x v="2"/>
    <x v="1"/>
    <x v="8"/>
    <s v="First            "/>
    <s v="1996 cc "/>
    <s v="168 bhp @ 3500 rpm  "/>
    <n v="168"/>
    <n v="4.9029999999999996"/>
    <n v="1.869"/>
    <n v="1.837"/>
    <n v="7"/>
    <x v="1"/>
    <n v="80"/>
  </r>
  <r>
    <x v="25"/>
    <x v="871"/>
    <x v="1717"/>
    <n v="3800000"/>
    <x v="482"/>
    <x v="9"/>
    <x v="15"/>
    <x v="2"/>
    <x v="1"/>
    <x v="0"/>
    <s v="First            "/>
    <s v="1999 cc "/>
    <s v="177 bhp @ 4000 rpm  "/>
    <n v="177"/>
    <n v="4.3600000000000003"/>
    <n v="2.12"/>
    <n v="1.635"/>
    <n v="5"/>
    <x v="1"/>
    <n v="57"/>
  </r>
  <r>
    <x v="17"/>
    <x v="872"/>
    <x v="1718"/>
    <n v="3800000"/>
    <x v="482"/>
    <x v="12"/>
    <x v="748"/>
    <x v="2"/>
    <x v="1"/>
    <x v="7"/>
    <s v="First            "/>
    <s v="1995 cc "/>
    <s v="190 bhp @ 4000 rpm  "/>
    <n v="190"/>
    <n v="4.657"/>
    <n v="1.881"/>
    <n v="1.6779999999999999"/>
    <n v="5"/>
    <x v="1"/>
    <n v="67"/>
  </r>
  <r>
    <x v="17"/>
    <x v="872"/>
    <x v="1719"/>
    <n v="3800000"/>
    <x v="482"/>
    <x v="12"/>
    <x v="48"/>
    <x v="2"/>
    <x v="1"/>
    <x v="7"/>
    <s v="First            "/>
    <s v="1995 cc "/>
    <s v="190 bhp @ 4000 rpm  "/>
    <n v="190"/>
    <n v="4.657"/>
    <n v="1.881"/>
    <n v="1.6779999999999999"/>
    <n v="5"/>
    <x v="1"/>
    <n v="67"/>
  </r>
  <r>
    <x v="14"/>
    <x v="859"/>
    <x v="1720"/>
    <n v="3850000"/>
    <x v="483"/>
    <x v="9"/>
    <x v="97"/>
    <x v="2"/>
    <x v="1"/>
    <x v="8"/>
    <s v="Second           "/>
    <s v="2143 cc "/>
    <s v="168 bhp @ 3000 rpm  "/>
    <n v="168"/>
    <n v="4.6559999999999997"/>
    <n v="1.89"/>
    <n v="1.639"/>
    <n v="5"/>
    <x v="1"/>
    <n v="66"/>
  </r>
  <r>
    <x v="22"/>
    <x v="873"/>
    <x v="1721"/>
    <n v="3875000"/>
    <x v="484"/>
    <x v="15"/>
    <x v="335"/>
    <x v="0"/>
    <x v="1"/>
    <x v="11"/>
    <s v="First            "/>
    <s v="1998 cc "/>
    <s v="189 bhp @ 4400 rpm  "/>
    <n v="189"/>
    <n v="4.2990000000000004"/>
    <n v="1.8220000000000001"/>
    <n v="1.5569999999999999"/>
    <n v="5"/>
    <x v="1"/>
    <n v="47"/>
  </r>
  <r>
    <x v="3"/>
    <x v="874"/>
    <x v="1722"/>
    <n v="3900000"/>
    <x v="485"/>
    <x v="15"/>
    <x v="749"/>
    <x v="2"/>
    <x v="1"/>
    <x v="0"/>
    <s v="Second           "/>
    <s v="1996 cc "/>
    <s v="168 bhp @ 3500 rpm  "/>
    <n v="168"/>
    <n v="4.9029999999999996"/>
    <n v="1.869"/>
    <n v="1.837"/>
    <n v="7"/>
    <x v="1"/>
    <n v="80"/>
  </r>
  <r>
    <x v="25"/>
    <x v="850"/>
    <x v="1723"/>
    <n v="3900000"/>
    <x v="485"/>
    <x v="11"/>
    <x v="42"/>
    <x v="2"/>
    <x v="1"/>
    <x v="2"/>
    <s v="First            "/>
    <s v="1999 cc "/>
    <s v="177 bhp @ 4000 rpm  "/>
    <n v="177"/>
    <n v="4.5999999999999996"/>
    <n v="2.069"/>
    <n v="1.69"/>
    <n v="7"/>
    <x v="1"/>
    <n v="65"/>
  </r>
  <r>
    <x v="17"/>
    <x v="789"/>
    <x v="1724"/>
    <n v="3900000"/>
    <x v="485"/>
    <x v="15"/>
    <x v="414"/>
    <x v="2"/>
    <x v="1"/>
    <x v="8"/>
    <s v="First            "/>
    <s v="1995 cc "/>
    <s v="184 bhp @ 4000 rpm  "/>
    <n v="184"/>
    <n v="4.4539999999999997"/>
    <n v="2.044"/>
    <n v="1.5449999999999999"/>
    <n v="5"/>
    <x v="1"/>
    <n v="63"/>
  </r>
  <r>
    <x v="22"/>
    <x v="851"/>
    <x v="1725"/>
    <n v="3900000"/>
    <x v="485"/>
    <x v="14"/>
    <x v="324"/>
    <x v="0"/>
    <x v="1"/>
    <x v="8"/>
    <s v="First            "/>
    <s v="1998 cc "/>
    <s v="189 bhp @           "/>
    <n v="189"/>
    <n v="3.85"/>
    <n v="1.7270000000000001"/>
    <n v="1.4139999999999999"/>
    <n v="4"/>
    <x v="0"/>
    <n v="44"/>
  </r>
  <r>
    <x v="18"/>
    <x v="771"/>
    <x v="1726"/>
    <n v="3900000"/>
    <x v="485"/>
    <x v="12"/>
    <x v="750"/>
    <x v="2"/>
    <x v="1"/>
    <x v="8"/>
    <s v="First            "/>
    <s v="1968 cc "/>
    <s v="190 bhp @ 3800 rpm  "/>
    <n v="190"/>
    <n v="4.9329999999999998"/>
    <n v="1.8740000000000001"/>
    <n v="1.4550000000000001"/>
    <n v="5"/>
    <x v="1"/>
    <n v="75"/>
  </r>
  <r>
    <x v="14"/>
    <x v="861"/>
    <x v="1727"/>
    <n v="3900000"/>
    <x v="485"/>
    <x v="13"/>
    <x v="109"/>
    <x v="2"/>
    <x v="1"/>
    <x v="13"/>
    <s v="First            "/>
    <s v="1950 cc "/>
    <s v="192 bhp @ 3800 rpm  "/>
    <n v="192"/>
    <n v="4.6859999999999999"/>
    <n v="1.81"/>
    <n v="1.4419999999999999"/>
    <n v="5"/>
    <x v="1"/>
    <n v="66"/>
  </r>
  <r>
    <x v="28"/>
    <x v="875"/>
    <x v="1728"/>
    <n v="3900000"/>
    <x v="485"/>
    <x v="9"/>
    <x v="751"/>
    <x v="0"/>
    <x v="1"/>
    <x v="12"/>
    <s v="First            "/>
    <s v="2494 cc "/>
    <s v="202 bhp @ 5700 rpm  "/>
    <n v="202"/>
    <n v="4.915"/>
    <n v="1.82"/>
    <n v="1.45"/>
    <n v="5"/>
    <x v="1"/>
    <n v="65"/>
  </r>
  <r>
    <x v="26"/>
    <x v="849"/>
    <x v="1729"/>
    <n v="3900000"/>
    <x v="485"/>
    <x v="10"/>
    <x v="170"/>
    <x v="2"/>
    <x v="1"/>
    <x v="8"/>
    <s v="First            "/>
    <s v="2993 cc "/>
    <s v="271 bhp @ 4000 rpm  "/>
    <n v="271"/>
    <n v="5.2519999999999998"/>
    <n v="1.899"/>
    <n v="1.4570000000000001"/>
    <n v="5"/>
    <x v="1"/>
    <n v="83"/>
  </r>
  <r>
    <x v="19"/>
    <x v="876"/>
    <x v="1730"/>
    <n v="3950000"/>
    <x v="486"/>
    <x v="12"/>
    <x v="53"/>
    <x v="2"/>
    <x v="1"/>
    <x v="0"/>
    <s v="First            "/>
    <s v="1969 cc "/>
    <s v="190 bhp @ 4000 rpm  "/>
    <n v="190"/>
    <n v="4.4249999999999998"/>
    <n v="1.863"/>
    <n v="1.6519999999999999"/>
    <n v="5"/>
    <x v="1"/>
    <n v="54"/>
  </r>
  <r>
    <x v="14"/>
    <x v="861"/>
    <x v="1731"/>
    <n v="3950000"/>
    <x v="486"/>
    <x v="13"/>
    <x v="109"/>
    <x v="2"/>
    <x v="1"/>
    <x v="0"/>
    <s v="First            "/>
    <s v="1950 cc "/>
    <s v="192 bhp @ 3800 rpm  "/>
    <n v="192"/>
    <n v="4.6859999999999999"/>
    <n v="1.81"/>
    <n v="1.4419999999999999"/>
    <n v="5"/>
    <x v="1"/>
    <n v="66"/>
  </r>
  <r>
    <x v="23"/>
    <x v="877"/>
    <x v="1732"/>
    <n v="3950000"/>
    <x v="486"/>
    <x v="15"/>
    <x v="122"/>
    <x v="2"/>
    <x v="1"/>
    <x v="1"/>
    <s v="First            "/>
    <s v="1996 cc "/>
    <s v="215 bhp @ 4000 rpm  "/>
    <n v="215"/>
    <n v="4.9850000000000003"/>
    <n v="1.9259999999999999"/>
    <n v="1.867"/>
    <n v="6"/>
    <x v="1"/>
    <n v="75"/>
  </r>
  <r>
    <x v="3"/>
    <x v="870"/>
    <x v="1733"/>
    <n v="3975000"/>
    <x v="487"/>
    <x v="15"/>
    <x v="752"/>
    <x v="2"/>
    <x v="1"/>
    <x v="8"/>
    <s v="First            "/>
    <s v="1996 cc "/>
    <s v="168 bhp @ 3500 rpm  "/>
    <n v="168"/>
    <n v="4.9029999999999996"/>
    <n v="1.869"/>
    <n v="1.837"/>
    <n v="7"/>
    <x v="1"/>
    <n v="80"/>
  </r>
  <r>
    <x v="17"/>
    <x v="878"/>
    <x v="1734"/>
    <n v="3990000"/>
    <x v="488"/>
    <x v="15"/>
    <x v="753"/>
    <x v="0"/>
    <x v="1"/>
    <x v="0"/>
    <s v="First            "/>
    <s v="1998 cc "/>
    <s v="189 bhp @ 5000 rpm  "/>
    <n v="189"/>
    <n v="4.4470000000000001"/>
    <n v="1.821"/>
    <n v="1.5980000000000001"/>
    <n v="5"/>
    <x v="1"/>
    <n v="51"/>
  </r>
  <r>
    <x v="25"/>
    <x v="818"/>
    <x v="1735"/>
    <n v="4000000"/>
    <x v="489"/>
    <x v="9"/>
    <x v="475"/>
    <x v="2"/>
    <x v="1"/>
    <x v="0"/>
    <s v="Second           "/>
    <s v="1999 cc "/>
    <s v="177 bhp @ 4000 rpm  "/>
    <n v="177"/>
    <n v="4.3600000000000003"/>
    <n v="2.12"/>
    <n v="1.635"/>
    <n v="5"/>
    <x v="1"/>
    <n v="57"/>
  </r>
  <r>
    <x v="18"/>
    <x v="879"/>
    <x v="1736"/>
    <n v="4000000"/>
    <x v="489"/>
    <x v="6"/>
    <x v="754"/>
    <x v="0"/>
    <x v="1"/>
    <x v="0"/>
    <s v="Second           "/>
    <s v="1984 cc "/>
    <s v="208 bhp @ 4300 rpm  "/>
    <n v="208"/>
    <n v="4.1980000000000004"/>
    <n v="1.8420000000000001"/>
    <n v="1.353"/>
    <n v="2"/>
    <x v="0"/>
    <n v="60"/>
  </r>
  <r>
    <x v="14"/>
    <x v="880"/>
    <x v="1737"/>
    <n v="4100000"/>
    <x v="490"/>
    <x v="16"/>
    <x v="755"/>
    <x v="2"/>
    <x v="1"/>
    <x v="0"/>
    <s v="UnRegistered Car "/>
    <s v="1950 cc "/>
    <s v="147 bhp @ 3400 rpm  "/>
    <n v="147"/>
    <n v="4.5490000000000004"/>
    <n v="1.796"/>
    <n v="1.446"/>
    <n v="5"/>
    <x v="1"/>
    <n v="43"/>
  </r>
  <r>
    <x v="14"/>
    <x v="881"/>
    <x v="1738"/>
    <n v="4100000"/>
    <x v="490"/>
    <x v="15"/>
    <x v="393"/>
    <x v="0"/>
    <x v="1"/>
    <x v="7"/>
    <s v="First            "/>
    <s v="1332 cc "/>
    <s v="161 bhp @ 5500 rpm  "/>
    <n v="161"/>
    <n v="4.5490000000000004"/>
    <n v="1.796"/>
    <n v="1.446"/>
    <n v="5"/>
    <x v="1"/>
    <n v="43"/>
  </r>
  <r>
    <x v="3"/>
    <x v="874"/>
    <x v="1739"/>
    <n v="4100000"/>
    <x v="490"/>
    <x v="15"/>
    <x v="116"/>
    <x v="2"/>
    <x v="1"/>
    <x v="0"/>
    <s v="First            "/>
    <s v="1996 cc "/>
    <s v="168 bhp @ 3500 rpm  "/>
    <n v="168"/>
    <n v="4.9029999999999996"/>
    <n v="1.869"/>
    <n v="1.837"/>
    <n v="7"/>
    <x v="1"/>
    <n v="80"/>
  </r>
  <r>
    <x v="17"/>
    <x v="882"/>
    <x v="1740"/>
    <n v="4100000"/>
    <x v="490"/>
    <x v="14"/>
    <x v="756"/>
    <x v="2"/>
    <x v="1"/>
    <x v="7"/>
    <s v="First            "/>
    <s v="1995 cc "/>
    <s v="188 bhp @ 4000 rpm  "/>
    <n v="188"/>
    <n v="4.5259999999999998"/>
    <n v="1.8"/>
    <n v="1.42"/>
    <n v="5"/>
    <x v="1"/>
    <n v="50"/>
  </r>
  <r>
    <x v="14"/>
    <x v="881"/>
    <x v="1741"/>
    <n v="4150000"/>
    <x v="491"/>
    <x v="15"/>
    <x v="148"/>
    <x v="0"/>
    <x v="1"/>
    <x v="0"/>
    <s v="First            "/>
    <s v="1332 cc "/>
    <s v="161 bhp @ 5500 rpm  "/>
    <n v="161"/>
    <n v="4.5490000000000004"/>
    <n v="1.796"/>
    <n v="1.446"/>
    <n v="5"/>
    <x v="1"/>
    <n v="43"/>
  </r>
  <r>
    <x v="17"/>
    <x v="660"/>
    <x v="1742"/>
    <n v="4150000"/>
    <x v="491"/>
    <x v="13"/>
    <x v="313"/>
    <x v="2"/>
    <x v="1"/>
    <x v="7"/>
    <s v="First            "/>
    <s v="1995 cc "/>
    <s v="188 bhp @ 4000 rpm  "/>
    <n v="188"/>
    <n v="4.633"/>
    <n v="1.8109999999999999"/>
    <n v="1.429"/>
    <n v="5"/>
    <x v="1"/>
    <n v="57"/>
  </r>
  <r>
    <x v="18"/>
    <x v="883"/>
    <x v="1743"/>
    <n v="4150000"/>
    <x v="491"/>
    <x v="16"/>
    <x v="197"/>
    <x v="0"/>
    <x v="1"/>
    <x v="0"/>
    <s v="First            "/>
    <s v="1984 cc "/>
    <s v="188 bhp @ 4200 rpm  "/>
    <n v="188"/>
    <n v="4.7619999999999996"/>
    <n v="1.847"/>
    <n v="1.4330000000000001"/>
    <n v="5"/>
    <x v="1"/>
    <n v="54"/>
  </r>
  <r>
    <x v="14"/>
    <x v="884"/>
    <x v="1744"/>
    <n v="4150000"/>
    <x v="491"/>
    <x v="9"/>
    <x v="22"/>
    <x v="2"/>
    <x v="1"/>
    <x v="8"/>
    <s v="Second           "/>
    <s v="1950 cc "/>
    <s v="192 bhp @ 3800 rpm  "/>
    <n v="192"/>
    <n v="5.0629999999999997"/>
    <n v="1.86"/>
    <n v="1.494"/>
    <n v="5"/>
    <x v="1"/>
    <n v="80"/>
  </r>
  <r>
    <x v="14"/>
    <x v="861"/>
    <x v="1745"/>
    <n v="4150000"/>
    <x v="491"/>
    <x v="13"/>
    <x v="414"/>
    <x v="2"/>
    <x v="1"/>
    <x v="7"/>
    <s v="First            "/>
    <s v="1950 cc "/>
    <s v="192 bhp @ 3800 rpm  "/>
    <n v="192"/>
    <n v="4.6859999999999999"/>
    <n v="1.81"/>
    <n v="1.4419999999999999"/>
    <n v="5"/>
    <x v="1"/>
    <n v="66"/>
  </r>
  <r>
    <x v="18"/>
    <x v="883"/>
    <x v="1746"/>
    <n v="4151000"/>
    <x v="492"/>
    <x v="16"/>
    <x v="757"/>
    <x v="0"/>
    <x v="1"/>
    <x v="8"/>
    <s v="UnRegistered Car "/>
    <s v="1984 cc "/>
    <s v="188 bhp @ 4200 rpm  "/>
    <n v="188"/>
    <n v="4.7619999999999996"/>
    <n v="1.847"/>
    <n v="1.4330000000000001"/>
    <n v="5"/>
    <x v="1"/>
    <n v="54"/>
  </r>
  <r>
    <x v="19"/>
    <x v="885"/>
    <x v="1747"/>
    <n v="4175000"/>
    <x v="493"/>
    <x v="12"/>
    <x v="42"/>
    <x v="2"/>
    <x v="1"/>
    <x v="0"/>
    <s v="First            "/>
    <s v="1969 cc "/>
    <s v="190 bhp @ 4250 rpm  "/>
    <n v="190"/>
    <n v="4.9630000000000001"/>
    <n v="1.879"/>
    <n v="1.4430000000000001"/>
    <n v="5"/>
    <x v="1"/>
    <n v="55"/>
  </r>
  <r>
    <x v="14"/>
    <x v="886"/>
    <x v="1748"/>
    <n v="4190000"/>
    <x v="494"/>
    <x v="9"/>
    <x v="14"/>
    <x v="2"/>
    <x v="1"/>
    <x v="8"/>
    <s v="First            "/>
    <s v="2143 cc "/>
    <s v="201 bhp @ 3800 rpm  "/>
    <n v="201"/>
    <n v="4.819"/>
    <n v="2.141"/>
    <n v="1.796"/>
    <n v="5"/>
    <x v="1"/>
    <n v="93"/>
  </r>
  <r>
    <x v="17"/>
    <x v="887"/>
    <x v="1749"/>
    <n v="4195000"/>
    <x v="495"/>
    <x v="9"/>
    <x v="758"/>
    <x v="2"/>
    <x v="1"/>
    <x v="0"/>
    <s v="First            "/>
    <s v="1995 cc "/>
    <s v="190 bhp @ 4000 rpm  "/>
    <n v="190"/>
    <n v="4.657"/>
    <n v="1.881"/>
    <n v="1.6779999999999999"/>
    <n v="5"/>
    <x v="1"/>
    <n v="67"/>
  </r>
  <r>
    <x v="14"/>
    <x v="880"/>
    <x v="1750"/>
    <n v="4200000"/>
    <x v="496"/>
    <x v="15"/>
    <x v="759"/>
    <x v="2"/>
    <x v="1"/>
    <x v="2"/>
    <s v="UnRegistered Car "/>
    <s v="1950 cc "/>
    <s v="147 bhp @ 3400 rpm  "/>
    <n v="147"/>
    <n v="4.5490000000000004"/>
    <n v="1.796"/>
    <n v="1.446"/>
    <n v="5"/>
    <x v="1"/>
    <n v="43"/>
  </r>
  <r>
    <x v="25"/>
    <x v="888"/>
    <x v="1751"/>
    <n v="4200000"/>
    <x v="496"/>
    <x v="12"/>
    <x v="318"/>
    <x v="2"/>
    <x v="1"/>
    <x v="0"/>
    <s v="Second           "/>
    <s v="2179 cc "/>
    <s v="148 bhp @ 4000 rpm  "/>
    <n v="148"/>
    <n v="4.5999999999999996"/>
    <n v="2.069"/>
    <n v="1.724"/>
    <n v="7"/>
    <x v="1"/>
    <n v="65"/>
  </r>
  <r>
    <x v="14"/>
    <x v="859"/>
    <x v="1752"/>
    <n v="4200000"/>
    <x v="496"/>
    <x v="9"/>
    <x v="82"/>
    <x v="2"/>
    <x v="1"/>
    <x v="0"/>
    <s v="First            "/>
    <s v="2143 cc "/>
    <s v="168 bhp @ 3000 rpm  "/>
    <n v="168"/>
    <n v="4.6559999999999997"/>
    <n v="1.89"/>
    <n v="1.639"/>
    <n v="5"/>
    <x v="1"/>
    <n v="66"/>
  </r>
  <r>
    <x v="26"/>
    <x v="889"/>
    <x v="1753"/>
    <n v="4200000"/>
    <x v="496"/>
    <x v="12"/>
    <x v="760"/>
    <x v="2"/>
    <x v="1"/>
    <x v="7"/>
    <s v="First            "/>
    <s v="1999 cc "/>
    <s v="177 bhp @ 4000 rpm  "/>
    <n v="177"/>
    <n v="4.7309999999999999"/>
    <n v="2.0710000000000002"/>
    <n v="1.651"/>
    <n v="5"/>
    <x v="1"/>
    <n v="82"/>
  </r>
  <r>
    <x v="18"/>
    <x v="883"/>
    <x v="1754"/>
    <n v="4200000"/>
    <x v="496"/>
    <x v="15"/>
    <x v="761"/>
    <x v="0"/>
    <x v="1"/>
    <x v="8"/>
    <s v="UnRegistered Car "/>
    <s v="1984 cc "/>
    <s v="188 bhp @ 4200 rpm  "/>
    <n v="188"/>
    <n v="4.7619999999999996"/>
    <n v="1.847"/>
    <n v="1.4330000000000001"/>
    <n v="5"/>
    <x v="1"/>
    <n v="54"/>
  </r>
  <r>
    <x v="14"/>
    <x v="886"/>
    <x v="1755"/>
    <n v="4200000"/>
    <x v="496"/>
    <x v="12"/>
    <x v="32"/>
    <x v="2"/>
    <x v="1"/>
    <x v="8"/>
    <s v="First            "/>
    <s v="2143 cc "/>
    <s v="201 bhp @ 3800 rpm  "/>
    <n v="201"/>
    <n v="4.819"/>
    <n v="2.141"/>
    <n v="1.796"/>
    <n v="5"/>
    <x v="1"/>
    <n v="93"/>
  </r>
  <r>
    <x v="14"/>
    <x v="886"/>
    <x v="1756"/>
    <n v="4200000"/>
    <x v="496"/>
    <x v="9"/>
    <x v="21"/>
    <x v="2"/>
    <x v="1"/>
    <x v="8"/>
    <s v="First            "/>
    <s v="2143 cc "/>
    <s v="201 bhp @ 3800 rpm  "/>
    <n v="201"/>
    <n v="4.819"/>
    <n v="2.141"/>
    <n v="1.796"/>
    <n v="5"/>
    <x v="1"/>
    <n v="93"/>
  </r>
  <r>
    <x v="14"/>
    <x v="804"/>
    <x v="1757"/>
    <n v="4200000"/>
    <x v="496"/>
    <x v="10"/>
    <x v="82"/>
    <x v="2"/>
    <x v="1"/>
    <x v="8"/>
    <s v="Second           "/>
    <s v="2987 cc "/>
    <s v="258 bhp @ 3600 rpm  "/>
    <n v="258"/>
    <n v="5.12"/>
    <n v="1.9339999999999999"/>
    <n v="1.85"/>
    <n v="7"/>
    <x v="1"/>
    <n v="100"/>
  </r>
  <r>
    <x v="18"/>
    <x v="890"/>
    <x v="1758"/>
    <n v="4250000"/>
    <x v="497"/>
    <x v="14"/>
    <x v="79"/>
    <x v="0"/>
    <x v="1"/>
    <x v="0"/>
    <s v="First            "/>
    <s v="1395 cc "/>
    <s v="148 bhp @ 5000 rpm  "/>
    <n v="148"/>
    <n v="4.726"/>
    <n v="1.8420000000000001"/>
    <n v="1.427"/>
    <n v="5"/>
    <x v="1"/>
    <n v="54"/>
  </r>
  <r>
    <x v="18"/>
    <x v="573"/>
    <x v="1759"/>
    <n v="4250000"/>
    <x v="497"/>
    <x v="15"/>
    <x v="79"/>
    <x v="0"/>
    <x v="1"/>
    <x v="0"/>
    <s v="First            "/>
    <s v="1798 cc "/>
    <s v="170 bhp @ 3800 rpm  "/>
    <n v="170"/>
    <n v="4.7009999999999996"/>
    <n v="1.8260000000000001"/>
    <n v="1.427"/>
    <n v="5"/>
    <x v="1"/>
    <n v="63"/>
  </r>
  <r>
    <x v="14"/>
    <x v="861"/>
    <x v="1760"/>
    <n v="4250000"/>
    <x v="497"/>
    <x v="12"/>
    <x v="35"/>
    <x v="2"/>
    <x v="1"/>
    <x v="0"/>
    <s v="First            "/>
    <s v="1950 cc "/>
    <s v="192 bhp @ 3800 rpm  "/>
    <n v="192"/>
    <n v="4.6859999999999999"/>
    <n v="1.81"/>
    <n v="1.4419999999999999"/>
    <n v="5"/>
    <x v="1"/>
    <n v="66"/>
  </r>
  <r>
    <x v="17"/>
    <x v="891"/>
    <x v="1761"/>
    <n v="4250000"/>
    <x v="497"/>
    <x v="12"/>
    <x v="34"/>
    <x v="0"/>
    <x v="1"/>
    <x v="7"/>
    <s v="First            "/>
    <s v="1998 cc "/>
    <s v="248 bhp @ 5200 rpm  "/>
    <n v="248"/>
    <n v="4.9359999999999999"/>
    <n v="1.8680000000000001"/>
    <n v="1.4790000000000001"/>
    <n v="5"/>
    <x v="1"/>
    <n v="57"/>
  </r>
  <r>
    <x v="17"/>
    <x v="892"/>
    <x v="1762"/>
    <n v="4250000"/>
    <x v="497"/>
    <x v="9"/>
    <x v="3"/>
    <x v="2"/>
    <x v="1"/>
    <x v="0"/>
    <s v="First            "/>
    <s v="2993 cc "/>
    <s v="262 bhp @ 4000 rpm  "/>
    <n v="262"/>
    <n v="4.9219999999999997"/>
    <n v="2.004"/>
    <n v="1.7450000000000001"/>
    <n v="5"/>
    <x v="1"/>
    <n v="80"/>
  </r>
  <r>
    <x v="14"/>
    <x v="861"/>
    <x v="1763"/>
    <n v="4275000"/>
    <x v="498"/>
    <x v="13"/>
    <x v="106"/>
    <x v="2"/>
    <x v="1"/>
    <x v="7"/>
    <s v="First            "/>
    <s v="1950 cc "/>
    <s v="192 bhp @ 3800 rpm  "/>
    <n v="192"/>
    <n v="4.6859999999999999"/>
    <n v="1.81"/>
    <n v="1.4419999999999999"/>
    <n v="5"/>
    <x v="1"/>
    <n v="66"/>
  </r>
  <r>
    <x v="17"/>
    <x v="784"/>
    <x v="1764"/>
    <n v="4290000"/>
    <x v="499"/>
    <x v="12"/>
    <x v="762"/>
    <x v="2"/>
    <x v="1"/>
    <x v="0"/>
    <s v="First            "/>
    <s v="1995 cc "/>
    <s v="188 bhp @ 4000 rpm  "/>
    <n v="188"/>
    <n v="4.9359999999999999"/>
    <n v="1.8680000000000001"/>
    <n v="1.4790000000000001"/>
    <n v="5"/>
    <x v="1"/>
    <n v="65"/>
  </r>
  <r>
    <x v="4"/>
    <x v="828"/>
    <x v="1765"/>
    <n v="4300000"/>
    <x v="500"/>
    <x v="15"/>
    <x v="0"/>
    <x v="2"/>
    <x v="1"/>
    <x v="0"/>
    <s v="First            "/>
    <s v="2755 cc "/>
    <s v="174 bhp @ 3400 rpm  "/>
    <n v="174"/>
    <n v="4.7949999999999999"/>
    <n v="1.855"/>
    <n v="1.835"/>
    <n v="7"/>
    <x v="1"/>
    <n v="80"/>
  </r>
  <r>
    <x v="17"/>
    <x v="882"/>
    <x v="1766"/>
    <n v="4300000"/>
    <x v="500"/>
    <x v="14"/>
    <x v="421"/>
    <x v="2"/>
    <x v="1"/>
    <x v="7"/>
    <s v="First            "/>
    <s v="1995 cc "/>
    <s v="188 bhp @ 4000 rpm  "/>
    <n v="188"/>
    <n v="4.5259999999999998"/>
    <n v="1.8"/>
    <n v="1.42"/>
    <n v="5"/>
    <x v="1"/>
    <n v="50"/>
  </r>
  <r>
    <x v="26"/>
    <x v="889"/>
    <x v="1767"/>
    <n v="4325000"/>
    <x v="501"/>
    <x v="12"/>
    <x v="763"/>
    <x v="2"/>
    <x v="1"/>
    <x v="2"/>
    <s v="First            "/>
    <s v="1999 cc "/>
    <s v="177 bhp @ 4000 rpm  "/>
    <n v="177"/>
    <n v="4.7309999999999999"/>
    <n v="2.0710000000000002"/>
    <n v="1.651"/>
    <n v="5"/>
    <x v="1"/>
    <n v="82"/>
  </r>
  <r>
    <x v="18"/>
    <x v="771"/>
    <x v="1768"/>
    <n v="4351000"/>
    <x v="502"/>
    <x v="12"/>
    <x v="318"/>
    <x v="2"/>
    <x v="1"/>
    <x v="0"/>
    <s v="First            "/>
    <s v="1968 cc "/>
    <s v="190 bhp @ 3800 rpm  "/>
    <n v="190"/>
    <n v="4.9329999999999998"/>
    <n v="1.8740000000000001"/>
    <n v="1.4550000000000001"/>
    <n v="5"/>
    <x v="1"/>
    <n v="75"/>
  </r>
  <r>
    <x v="28"/>
    <x v="893"/>
    <x v="1769"/>
    <n v="4375000"/>
    <x v="503"/>
    <x v="12"/>
    <x v="764"/>
    <x v="0"/>
    <x v="1"/>
    <x v="8"/>
    <s v="Second           "/>
    <s v="2494 cc "/>
    <s v="194 bhp @ 5700 rpm  "/>
    <n v="194"/>
    <n v="4.6399999999999997"/>
    <n v="1.845"/>
    <n v="1.645"/>
    <n v="5"/>
    <x v="1"/>
    <n v="56"/>
  </r>
  <r>
    <x v="28"/>
    <x v="875"/>
    <x v="1770"/>
    <n v="4375000"/>
    <x v="503"/>
    <x v="9"/>
    <x v="751"/>
    <x v="0"/>
    <x v="1"/>
    <x v="10"/>
    <s v="First            "/>
    <s v="2494 cc "/>
    <s v="202 bhp @ 5700 rpm  "/>
    <n v="202"/>
    <n v="4.915"/>
    <n v="1.82"/>
    <n v="1.45"/>
    <n v="5"/>
    <x v="1"/>
    <n v="65"/>
  </r>
  <r>
    <x v="17"/>
    <x v="660"/>
    <x v="1771"/>
    <n v="4390000"/>
    <x v="504"/>
    <x v="14"/>
    <x v="20"/>
    <x v="2"/>
    <x v="1"/>
    <x v="0"/>
    <s v="First            "/>
    <s v="1995 cc "/>
    <s v="188 bhp @ 4000 rpm  "/>
    <n v="188"/>
    <n v="4.633"/>
    <n v="1.8109999999999999"/>
    <n v="1.429"/>
    <n v="5"/>
    <x v="1"/>
    <n v="57"/>
  </r>
  <r>
    <x v="19"/>
    <x v="894"/>
    <x v="1772"/>
    <n v="4400000"/>
    <x v="505"/>
    <x v="14"/>
    <x v="765"/>
    <x v="0"/>
    <x v="1"/>
    <x v="0"/>
    <s v="First            "/>
    <s v="1969 cc "/>
    <s v="187 bhp @ 5000 rpm  "/>
    <n v="187"/>
    <n v="4.4249999999999998"/>
    <n v="1.863"/>
    <n v="1.6519999999999999"/>
    <n v="5"/>
    <x v="1"/>
    <n v="54"/>
  </r>
  <r>
    <x v="17"/>
    <x v="895"/>
    <x v="1773"/>
    <n v="4400000"/>
    <x v="505"/>
    <x v="12"/>
    <x v="26"/>
    <x v="2"/>
    <x v="1"/>
    <x v="0"/>
    <s v="First            "/>
    <s v="1995 cc "/>
    <s v="190 bhp @ 4000 rpm  "/>
    <n v="190"/>
    <n v="4.657"/>
    <n v="1.881"/>
    <n v="1.6779999999999999"/>
    <n v="5"/>
    <x v="1"/>
    <n v="67"/>
  </r>
  <r>
    <x v="25"/>
    <x v="888"/>
    <x v="1774"/>
    <n v="4459000"/>
    <x v="506"/>
    <x v="12"/>
    <x v="766"/>
    <x v="2"/>
    <x v="1"/>
    <x v="0"/>
    <s v="First            "/>
    <s v="2179 cc "/>
    <s v="148 bhp @ 4000 rpm  "/>
    <n v="148"/>
    <n v="4.5999999999999996"/>
    <n v="2.069"/>
    <n v="1.724"/>
    <n v="7"/>
    <x v="1"/>
    <n v="65"/>
  </r>
  <r>
    <x v="17"/>
    <x v="789"/>
    <x v="1775"/>
    <n v="4475000"/>
    <x v="507"/>
    <x v="15"/>
    <x v="767"/>
    <x v="2"/>
    <x v="1"/>
    <x v="9"/>
    <s v="First            "/>
    <s v="1995 cc "/>
    <s v="184 bhp @ 4000 rpm  "/>
    <n v="184"/>
    <n v="4.4539999999999997"/>
    <n v="2.044"/>
    <n v="1.5449999999999999"/>
    <n v="5"/>
    <x v="1"/>
    <n v="63"/>
  </r>
  <r>
    <x v="18"/>
    <x v="896"/>
    <x v="1776"/>
    <n v="4475000"/>
    <x v="507"/>
    <x v="14"/>
    <x v="185"/>
    <x v="2"/>
    <x v="1"/>
    <x v="0"/>
    <s v="Second           "/>
    <s v="1968 cc "/>
    <s v="188 bhp @ 3800 rpm  "/>
    <n v="188"/>
    <n v="4.6630000000000003"/>
    <n v="1.893"/>
    <n v="1.659"/>
    <n v="5"/>
    <x v="1"/>
    <n v="70"/>
  </r>
  <r>
    <x v="17"/>
    <x v="789"/>
    <x v="1777"/>
    <n v="4500000"/>
    <x v="508"/>
    <x v="16"/>
    <x v="79"/>
    <x v="2"/>
    <x v="1"/>
    <x v="0"/>
    <s v="First            "/>
    <s v="1995 cc "/>
    <s v="184 bhp @ 4000 rpm  "/>
    <n v="184"/>
    <n v="4.4539999999999997"/>
    <n v="2.044"/>
    <n v="1.5449999999999999"/>
    <n v="5"/>
    <x v="1"/>
    <n v="63"/>
  </r>
  <r>
    <x v="17"/>
    <x v="784"/>
    <x v="1778"/>
    <n v="4500000"/>
    <x v="508"/>
    <x v="12"/>
    <x v="768"/>
    <x v="2"/>
    <x v="1"/>
    <x v="8"/>
    <s v="First            "/>
    <s v="1995 cc "/>
    <s v="188 bhp @ 4000 rpm  "/>
    <n v="188"/>
    <n v="4.9359999999999999"/>
    <n v="1.8680000000000001"/>
    <n v="1.4790000000000001"/>
    <n v="5"/>
    <x v="1"/>
    <n v="65"/>
  </r>
  <r>
    <x v="17"/>
    <x v="784"/>
    <x v="1779"/>
    <n v="4500000"/>
    <x v="508"/>
    <x v="12"/>
    <x v="20"/>
    <x v="2"/>
    <x v="1"/>
    <x v="2"/>
    <s v="First            "/>
    <s v="1995 cc "/>
    <s v="188 bhp @ 4000 rpm  "/>
    <n v="188"/>
    <n v="4.9359999999999999"/>
    <n v="1.8680000000000001"/>
    <n v="1.4790000000000001"/>
    <n v="5"/>
    <x v="1"/>
    <n v="65"/>
  </r>
  <r>
    <x v="14"/>
    <x v="884"/>
    <x v="1780"/>
    <n v="4500000"/>
    <x v="508"/>
    <x v="13"/>
    <x v="8"/>
    <x v="2"/>
    <x v="1"/>
    <x v="0"/>
    <s v="First            "/>
    <s v="1950 cc "/>
    <s v="192 bhp @ 3800 rpm  "/>
    <n v="192"/>
    <n v="5.0629999999999997"/>
    <n v="1.86"/>
    <n v="1.494"/>
    <n v="5"/>
    <x v="1"/>
    <n v="80"/>
  </r>
  <r>
    <x v="14"/>
    <x v="859"/>
    <x v="1781"/>
    <n v="4550000"/>
    <x v="509"/>
    <x v="12"/>
    <x v="114"/>
    <x v="2"/>
    <x v="1"/>
    <x v="2"/>
    <s v="First            "/>
    <s v="2143 cc "/>
    <s v="168 bhp @ 3000 rpm  "/>
    <n v="168"/>
    <n v="4.6559999999999997"/>
    <n v="1.89"/>
    <n v="1.639"/>
    <n v="5"/>
    <x v="1"/>
    <n v="66"/>
  </r>
  <r>
    <x v="17"/>
    <x v="897"/>
    <x v="1782"/>
    <n v="4550000"/>
    <x v="509"/>
    <x v="15"/>
    <x v="35"/>
    <x v="2"/>
    <x v="1"/>
    <x v="0"/>
    <s v="First            "/>
    <s v="1995 cc "/>
    <s v="188 bhp @ 4000 rpm  "/>
    <n v="188"/>
    <n v="4.7089999999999996"/>
    <n v="1.827"/>
    <n v="1.4350000000000001"/>
    <n v="5"/>
    <x v="1"/>
    <n v="59"/>
  </r>
  <r>
    <x v="14"/>
    <x v="886"/>
    <x v="1783"/>
    <n v="4550000"/>
    <x v="509"/>
    <x v="9"/>
    <x v="91"/>
    <x v="2"/>
    <x v="1"/>
    <x v="1"/>
    <s v="First            "/>
    <s v="2143 cc "/>
    <s v="201 bhp @ 3800 rpm  "/>
    <n v="201"/>
    <n v="4.819"/>
    <n v="2.141"/>
    <n v="1.796"/>
    <n v="5"/>
    <x v="1"/>
    <n v="93"/>
  </r>
  <r>
    <x v="25"/>
    <x v="898"/>
    <x v="1784"/>
    <n v="4575000"/>
    <x v="510"/>
    <x v="13"/>
    <x v="15"/>
    <x v="2"/>
    <x v="1"/>
    <x v="7"/>
    <s v="First            "/>
    <s v="2179 cc "/>
    <s v="188 bhp @ 3500 rpm  "/>
    <n v="188"/>
    <n v="4.5999999999999996"/>
    <n v="2.069"/>
    <n v="1.724"/>
    <n v="7"/>
    <x v="1"/>
    <n v="65"/>
  </r>
  <r>
    <x v="14"/>
    <x v="886"/>
    <x v="1785"/>
    <n v="4590000"/>
    <x v="511"/>
    <x v="12"/>
    <x v="769"/>
    <x v="2"/>
    <x v="1"/>
    <x v="8"/>
    <s v="First            "/>
    <s v="2143 cc "/>
    <s v="201 bhp @ 3800 rpm  "/>
    <n v="201"/>
    <n v="4.819"/>
    <n v="2.141"/>
    <n v="1.796"/>
    <n v="5"/>
    <x v="1"/>
    <n v="93"/>
  </r>
  <r>
    <x v="26"/>
    <x v="899"/>
    <x v="1786"/>
    <n v="4600000"/>
    <x v="512"/>
    <x v="14"/>
    <x v="40"/>
    <x v="2"/>
    <x v="1"/>
    <x v="7"/>
    <s v="First            "/>
    <s v="1999 cc "/>
    <s v="177 bhp @ 4000 rpm  "/>
    <n v="177"/>
    <n v="5.0670000000000002"/>
    <n v="2.0910000000000002"/>
    <n v="1.4570000000000001"/>
    <n v="5"/>
    <x v="1"/>
    <n v="66"/>
  </r>
  <r>
    <x v="17"/>
    <x v="878"/>
    <x v="1787"/>
    <n v="4700000"/>
    <x v="513"/>
    <x v="16"/>
    <x v="770"/>
    <x v="0"/>
    <x v="1"/>
    <x v="0"/>
    <s v="First            "/>
    <s v="1998 cc "/>
    <s v="189 bhp @ 5000 rpm  "/>
    <n v="189"/>
    <n v="4.4470000000000001"/>
    <n v="1.821"/>
    <n v="1.5980000000000001"/>
    <n v="5"/>
    <x v="1"/>
    <n v="51"/>
  </r>
  <r>
    <x v="17"/>
    <x v="867"/>
    <x v="1788"/>
    <n v="4749000"/>
    <x v="514"/>
    <x v="14"/>
    <x v="169"/>
    <x v="0"/>
    <x v="1"/>
    <x v="0"/>
    <s v="First            "/>
    <s v="1998 cc "/>
    <s v="248 bhp @ 5200 rpm  "/>
    <n v="248"/>
    <n v="4.633"/>
    <n v="1.8109999999999999"/>
    <n v="1.429"/>
    <n v="5"/>
    <x v="1"/>
    <n v="57"/>
  </r>
  <r>
    <x v="14"/>
    <x v="884"/>
    <x v="1789"/>
    <n v="4775000"/>
    <x v="515"/>
    <x v="12"/>
    <x v="771"/>
    <x v="2"/>
    <x v="1"/>
    <x v="0"/>
    <s v="First            "/>
    <s v="1950 cc "/>
    <s v="192 bhp @ 3800 rpm  "/>
    <n v="192"/>
    <n v="5.0629999999999997"/>
    <n v="1.86"/>
    <n v="1.494"/>
    <n v="5"/>
    <x v="1"/>
    <n v="80"/>
  </r>
  <r>
    <x v="28"/>
    <x v="900"/>
    <x v="1790"/>
    <n v="4800000"/>
    <x v="516"/>
    <x v="14"/>
    <x v="86"/>
    <x v="4"/>
    <x v="1"/>
    <x v="7"/>
    <s v="First            "/>
    <s v="2487 cc "/>
    <s v="176 bhp @ 5700 rpm  "/>
    <n v="176"/>
    <n v="4.9749999999999996"/>
    <n v="1.865"/>
    <n v="1.4450000000000001"/>
    <n v="5"/>
    <x v="1"/>
    <n v="50"/>
  </r>
  <r>
    <x v="17"/>
    <x v="784"/>
    <x v="1791"/>
    <n v="4800000"/>
    <x v="516"/>
    <x v="13"/>
    <x v="83"/>
    <x v="2"/>
    <x v="1"/>
    <x v="8"/>
    <s v="First            "/>
    <s v="1995 cc "/>
    <s v="188 bhp @ 4000 rpm  "/>
    <n v="188"/>
    <n v="4.9359999999999999"/>
    <n v="1.8680000000000001"/>
    <n v="1.4790000000000001"/>
    <n v="5"/>
    <x v="1"/>
    <n v="65"/>
  </r>
  <r>
    <x v="17"/>
    <x v="784"/>
    <x v="1792"/>
    <n v="4800000"/>
    <x v="516"/>
    <x v="13"/>
    <x v="106"/>
    <x v="2"/>
    <x v="1"/>
    <x v="8"/>
    <s v="First            "/>
    <s v="1995 cc "/>
    <s v="188 bhp @ 4000 rpm  "/>
    <n v="188"/>
    <n v="4.9359999999999999"/>
    <n v="1.8680000000000001"/>
    <n v="1.4790000000000001"/>
    <n v="5"/>
    <x v="1"/>
    <n v="65"/>
  </r>
  <r>
    <x v="14"/>
    <x v="901"/>
    <x v="1793"/>
    <n v="4900000"/>
    <x v="517"/>
    <x v="16"/>
    <x v="537"/>
    <x v="0"/>
    <x v="1"/>
    <x v="0"/>
    <s v="First            "/>
    <s v="1497 cc "/>
    <s v="181 bhp @ 5800 rpm  "/>
    <n v="181"/>
    <n v="4.6859999999999999"/>
    <n v="1.81"/>
    <n v="1.4419999999999999"/>
    <n v="5"/>
    <x v="1"/>
    <n v="66"/>
  </r>
  <r>
    <x v="18"/>
    <x v="902"/>
    <x v="1794"/>
    <n v="4900000"/>
    <x v="517"/>
    <x v="12"/>
    <x v="101"/>
    <x v="2"/>
    <x v="1"/>
    <x v="8"/>
    <s v="First            "/>
    <s v="2967 cc "/>
    <s v="245 bhp @ 2910 rpm  "/>
    <n v="245"/>
    <n v="5.0519999999999996"/>
    <n v="1.968"/>
    <n v="1.74"/>
    <n v="7"/>
    <x v="1"/>
    <n v="75"/>
  </r>
  <r>
    <x v="18"/>
    <x v="903"/>
    <x v="1795"/>
    <n v="4900000"/>
    <x v="517"/>
    <x v="10"/>
    <x v="34"/>
    <x v="2"/>
    <x v="1"/>
    <x v="7"/>
    <s v="First            "/>
    <s v="2967 cc "/>
    <s v="247 bhp @ 4000 rpm  "/>
    <n v="247"/>
    <n v="5.2649999999999997"/>
    <n v="1.9490000000000001"/>
    <n v="1.4710000000000001"/>
    <n v="4"/>
    <x v="0"/>
    <n v="90"/>
  </r>
  <r>
    <x v="17"/>
    <x v="703"/>
    <x v="1796"/>
    <n v="4900000"/>
    <x v="517"/>
    <x v="12"/>
    <x v="194"/>
    <x v="2"/>
    <x v="1"/>
    <x v="7"/>
    <s v="First            "/>
    <s v="2993 cc "/>
    <s v="258 bhp @ 4000 rpm  "/>
    <n v="258"/>
    <n v="4.899"/>
    <n v="2.0939999999999999"/>
    <n v="1.464"/>
    <n v="5"/>
    <x v="1"/>
    <n v="65"/>
  </r>
  <r>
    <x v="25"/>
    <x v="904"/>
    <x v="1797"/>
    <n v="4950000"/>
    <x v="518"/>
    <x v="12"/>
    <x v="194"/>
    <x v="2"/>
    <x v="1"/>
    <x v="0"/>
    <s v="First            "/>
    <s v="1999 cc "/>
    <s v="177 bhp @ 4000 rpm  "/>
    <n v="177"/>
    <n v="4.5999999999999996"/>
    <n v="2.173"/>
    <n v="1.69"/>
    <n v="7"/>
    <x v="1"/>
    <n v="65"/>
  </r>
  <r>
    <x v="14"/>
    <x v="905"/>
    <x v="1798"/>
    <n v="4950000"/>
    <x v="518"/>
    <x v="15"/>
    <x v="635"/>
    <x v="0"/>
    <x v="1"/>
    <x v="7"/>
    <s v="First            "/>
    <s v="1991 cc "/>
    <s v="201 bhp @ 5800 rpm  "/>
    <n v="201"/>
    <n v="4.6859999999999999"/>
    <n v="1.81"/>
    <n v="1.4419999999999999"/>
    <n v="5"/>
    <x v="1"/>
    <n v="66"/>
  </r>
  <r>
    <x v="14"/>
    <x v="905"/>
    <x v="1799"/>
    <n v="4975000"/>
    <x v="519"/>
    <x v="15"/>
    <x v="772"/>
    <x v="0"/>
    <x v="1"/>
    <x v="0"/>
    <s v="First            "/>
    <s v="1991 cc "/>
    <s v="201 bhp @ 5800 rpm  "/>
    <n v="201"/>
    <n v="4.6859999999999999"/>
    <n v="1.81"/>
    <n v="1.4419999999999999"/>
    <n v="5"/>
    <x v="1"/>
    <n v="66"/>
  </r>
  <r>
    <x v="14"/>
    <x v="906"/>
    <x v="1800"/>
    <n v="5000000"/>
    <x v="520"/>
    <x v="11"/>
    <x v="27"/>
    <x v="2"/>
    <x v="1"/>
    <x v="2"/>
    <s v="First            "/>
    <s v="2987 cc "/>
    <s v="255 bhp @ 3400 rpm  "/>
    <n v="255"/>
    <n v="4.819"/>
    <n v="2.141"/>
    <n v="1.796"/>
    <n v="5"/>
    <x v="1"/>
    <n v="93"/>
  </r>
  <r>
    <x v="25"/>
    <x v="907"/>
    <x v="1801"/>
    <n v="5100000"/>
    <x v="521"/>
    <x v="13"/>
    <x v="773"/>
    <x v="0"/>
    <x v="1"/>
    <x v="7"/>
    <s v="Second           "/>
    <s v="1999 cc "/>
    <s v="236 bhp @ 5500 rpm  "/>
    <n v="236"/>
    <n v="4.5999999999999996"/>
    <n v="2.069"/>
    <n v="1.724"/>
    <n v="7"/>
    <x v="1"/>
    <n v="65"/>
  </r>
  <r>
    <x v="14"/>
    <x v="908"/>
    <x v="1802"/>
    <n v="5100000"/>
    <x v="521"/>
    <x v="9"/>
    <x v="40"/>
    <x v="0"/>
    <x v="1"/>
    <x v="0"/>
    <s v="Second           "/>
    <s v="1991 cc "/>
    <s v="241 bhp @ 5500 rpm  "/>
    <n v="241"/>
    <n v="4.6859999999999999"/>
    <n v="1.81"/>
    <n v="1.409"/>
    <n v="4"/>
    <x v="0"/>
    <n v="59"/>
  </r>
  <r>
    <x v="17"/>
    <x v="867"/>
    <x v="1803"/>
    <n v="5100000"/>
    <x v="521"/>
    <x v="16"/>
    <x v="148"/>
    <x v="0"/>
    <x v="1"/>
    <x v="0"/>
    <s v="First            "/>
    <s v="1998 cc "/>
    <s v="248 bhp @ 5200 rpm  "/>
    <n v="248"/>
    <n v="4.633"/>
    <n v="1.8109999999999999"/>
    <n v="1.429"/>
    <n v="5"/>
    <x v="1"/>
    <n v="57"/>
  </r>
  <r>
    <x v="17"/>
    <x v="909"/>
    <x v="1804"/>
    <n v="5100000"/>
    <x v="521"/>
    <x v="13"/>
    <x v="65"/>
    <x v="2"/>
    <x v="1"/>
    <x v="7"/>
    <s v="First            "/>
    <s v="2993 cc "/>
    <s v="265 bhp @ 4000 rpm  "/>
    <n v="265"/>
    <n v="5.0910000000000002"/>
    <n v="1.9019999999999999"/>
    <n v="1.538"/>
    <n v="5"/>
    <x v="1"/>
    <n v="68"/>
  </r>
  <r>
    <x v="18"/>
    <x v="902"/>
    <x v="1805"/>
    <n v="5175000"/>
    <x v="522"/>
    <x v="11"/>
    <x v="6"/>
    <x v="2"/>
    <x v="1"/>
    <x v="7"/>
    <s v="First            "/>
    <s v="2967 cc "/>
    <s v="245 bhp @ 2910 rpm  "/>
    <n v="245"/>
    <n v="5.0519999999999996"/>
    <n v="1.968"/>
    <n v="1.74"/>
    <n v="7"/>
    <x v="1"/>
    <n v="75"/>
  </r>
  <r>
    <x v="28"/>
    <x v="900"/>
    <x v="1806"/>
    <n v="5200000"/>
    <x v="523"/>
    <x v="14"/>
    <x v="169"/>
    <x v="4"/>
    <x v="1"/>
    <x v="7"/>
    <s v="First            "/>
    <s v="2487 cc "/>
    <s v="176 bhp @ 5700 rpm  "/>
    <n v="176"/>
    <n v="4.9749999999999996"/>
    <n v="1.865"/>
    <n v="1.4450000000000001"/>
    <n v="5"/>
    <x v="1"/>
    <n v="50"/>
  </r>
  <r>
    <x v="26"/>
    <x v="889"/>
    <x v="1807"/>
    <n v="5200000"/>
    <x v="523"/>
    <x v="13"/>
    <x v="195"/>
    <x v="2"/>
    <x v="1"/>
    <x v="8"/>
    <s v="First            "/>
    <s v="1999 cc "/>
    <s v="177 bhp @ 4000 rpm  "/>
    <n v="177"/>
    <n v="4.7309999999999999"/>
    <n v="2.0710000000000002"/>
    <n v="1.651"/>
    <n v="5"/>
    <x v="1"/>
    <n v="82"/>
  </r>
  <r>
    <x v="14"/>
    <x v="910"/>
    <x v="1808"/>
    <n v="5200000"/>
    <x v="523"/>
    <x v="13"/>
    <x v="349"/>
    <x v="2"/>
    <x v="1"/>
    <x v="7"/>
    <s v="First            "/>
    <s v="1950 cc "/>
    <s v="192 bhp @ 3800 rpm  "/>
    <n v="192"/>
    <n v="4.6580000000000004"/>
    <n v="1.89"/>
    <n v="1.6439999999999999"/>
    <n v="5"/>
    <x v="1"/>
    <n v="66"/>
  </r>
  <r>
    <x v="14"/>
    <x v="911"/>
    <x v="1809"/>
    <n v="5200000"/>
    <x v="523"/>
    <x v="14"/>
    <x v="185"/>
    <x v="2"/>
    <x v="1"/>
    <x v="0"/>
    <s v="First            "/>
    <s v="1950 cc "/>
    <s v="192 bhp @ 3800 rpm  "/>
    <n v="192"/>
    <n v="5.0629999999999997"/>
    <n v="1.86"/>
    <n v="1.494"/>
    <n v="5"/>
    <x v="1"/>
    <n v="80"/>
  </r>
  <r>
    <x v="22"/>
    <x v="912"/>
    <x v="1810"/>
    <n v="5200000"/>
    <x v="523"/>
    <x v="16"/>
    <x v="774"/>
    <x v="0"/>
    <x v="1"/>
    <x v="16"/>
    <s v="UnRegistered Car "/>
    <s v="1998 cc "/>
    <s v="228 bhp @ 5200 rpm  "/>
    <n v="228"/>
    <n v="3.85"/>
    <n v="1.7270000000000001"/>
    <n v="1.4139999999999999"/>
    <n v="4"/>
    <x v="0"/>
    <n v="44"/>
  </r>
  <r>
    <x v="18"/>
    <x v="869"/>
    <x v="1811"/>
    <n v="5200000"/>
    <x v="523"/>
    <x v="9"/>
    <x v="114"/>
    <x v="2"/>
    <x v="1"/>
    <x v="2"/>
    <s v="Second           "/>
    <s v="2967 cc "/>
    <s v="245 bhp @ 2910 rpm  "/>
    <n v="245"/>
    <n v="5.0519999999999996"/>
    <n v="1.968"/>
    <n v="1.74"/>
    <n v="7"/>
    <x v="1"/>
    <n v="75"/>
  </r>
  <r>
    <x v="14"/>
    <x v="913"/>
    <x v="1812"/>
    <n v="5250000"/>
    <x v="524"/>
    <x v="14"/>
    <x v="775"/>
    <x v="2"/>
    <x v="1"/>
    <x v="7"/>
    <s v="First            "/>
    <s v="1950 cc "/>
    <s v="241 bhp @ 4200 rpm  "/>
    <n v="241"/>
    <n v="4.6859999999999999"/>
    <n v="1.81"/>
    <n v="1.4419999999999999"/>
    <n v="5"/>
    <x v="1"/>
    <n v="66"/>
  </r>
  <r>
    <x v="17"/>
    <x v="703"/>
    <x v="1813"/>
    <n v="5250000"/>
    <x v="524"/>
    <x v="12"/>
    <x v="157"/>
    <x v="2"/>
    <x v="1"/>
    <x v="7"/>
    <s v="First            "/>
    <s v="2993 cc "/>
    <s v="258 bhp @ 4000 rpm  "/>
    <n v="258"/>
    <n v="4.899"/>
    <n v="2.0939999999999999"/>
    <n v="1.464"/>
    <n v="5"/>
    <x v="1"/>
    <n v="65"/>
  </r>
  <r>
    <x v="14"/>
    <x v="914"/>
    <x v="1814"/>
    <n v="5300000"/>
    <x v="525"/>
    <x v="16"/>
    <x v="753"/>
    <x v="2"/>
    <x v="1"/>
    <x v="0"/>
    <s v="UnRegistered Car "/>
    <s v="2148 cc "/>
    <s v="170  bhp @3700            "/>
    <n v="170"/>
    <n v="4.5960000000000001"/>
    <n v="1.77"/>
    <n v="1.4470000000000001"/>
    <n v="5"/>
    <x v="1"/>
    <n v="66"/>
  </r>
  <r>
    <x v="17"/>
    <x v="895"/>
    <x v="1815"/>
    <n v="5300000"/>
    <x v="525"/>
    <x v="13"/>
    <x v="776"/>
    <x v="2"/>
    <x v="1"/>
    <x v="7"/>
    <s v="First            "/>
    <s v="1995 cc "/>
    <s v="190 bhp @ 4000 rpm  "/>
    <n v="190"/>
    <n v="4.657"/>
    <n v="1.881"/>
    <n v="1.6779999999999999"/>
    <n v="5"/>
    <x v="1"/>
    <n v="67"/>
  </r>
  <r>
    <x v="18"/>
    <x v="915"/>
    <x v="1816"/>
    <n v="5300000"/>
    <x v="525"/>
    <x v="14"/>
    <x v="318"/>
    <x v="0"/>
    <x v="1"/>
    <x v="2"/>
    <s v="First            "/>
    <s v="1984 cc "/>
    <s v="241 bhp @ 5000 rpm  "/>
    <n v="241"/>
    <n v="4.9390000000000001"/>
    <n v="1.8859999999999999"/>
    <n v="1.4570000000000001"/>
    <n v="5"/>
    <x v="1"/>
    <n v="73"/>
  </r>
  <r>
    <x v="27"/>
    <x v="916"/>
    <x v="1817"/>
    <n v="5350000"/>
    <x v="526"/>
    <x v="11"/>
    <x v="24"/>
    <x v="2"/>
    <x v="1"/>
    <x v="1"/>
    <s v="First            "/>
    <s v="2967 cc "/>
    <s v="241 bhp @ 3800 rpm  "/>
    <n v="241"/>
    <n v="4.8550000000000004"/>
    <n v="1.9390000000000001"/>
    <n v="1.7050000000000001"/>
    <n v="5"/>
    <x v="1"/>
    <n v="85"/>
  </r>
  <r>
    <x v="27"/>
    <x v="917"/>
    <x v="1818"/>
    <n v="5350000"/>
    <x v="526"/>
    <x v="10"/>
    <x v="133"/>
    <x v="2"/>
    <x v="1"/>
    <x v="0"/>
    <s v="First            "/>
    <s v="2967 cc "/>
    <s v="245 bhp @ 4400 rpm  "/>
    <n v="245"/>
    <n v="4.8460000000000001"/>
    <n v="2.1549999999999998"/>
    <n v="1.7050000000000001"/>
    <n v="5"/>
    <x v="1"/>
    <n v="85"/>
  </r>
  <r>
    <x v="25"/>
    <x v="918"/>
    <x v="1819"/>
    <n v="5375000"/>
    <x v="527"/>
    <x v="6"/>
    <x v="3"/>
    <x v="2"/>
    <x v="1"/>
    <x v="0"/>
    <s v="Second           "/>
    <s v="2993 cc "/>
    <s v="289 bhp @ 4000 rpm  "/>
    <n v="289"/>
    <n v="4.8789999999999996"/>
    <n v="2.073"/>
    <n v="1.78"/>
    <n v="5"/>
    <x v="1"/>
    <n v="77"/>
  </r>
  <r>
    <x v="14"/>
    <x v="914"/>
    <x v="1820"/>
    <n v="5400000"/>
    <x v="528"/>
    <x v="16"/>
    <x v="738"/>
    <x v="2"/>
    <x v="1"/>
    <x v="0"/>
    <s v="UnRegistered Car "/>
    <s v="2148 cc "/>
    <s v="170  bhp @3700            "/>
    <n v="170"/>
    <n v="4.5960000000000001"/>
    <n v="1.77"/>
    <n v="1.4470000000000001"/>
    <n v="5"/>
    <x v="1"/>
    <n v="66"/>
  </r>
  <r>
    <x v="14"/>
    <x v="886"/>
    <x v="1821"/>
    <n v="5400000"/>
    <x v="528"/>
    <x v="11"/>
    <x v="425"/>
    <x v="2"/>
    <x v="1"/>
    <x v="0"/>
    <s v="First            "/>
    <s v="2143 cc "/>
    <s v="201 bhp @ 3800 rpm  "/>
    <n v="201"/>
    <n v="4.819"/>
    <n v="2.141"/>
    <n v="1.796"/>
    <n v="5"/>
    <x v="1"/>
    <n v="93"/>
  </r>
  <r>
    <x v="14"/>
    <x v="886"/>
    <x v="1822"/>
    <n v="5400000"/>
    <x v="528"/>
    <x v="12"/>
    <x v="510"/>
    <x v="2"/>
    <x v="1"/>
    <x v="0"/>
    <s v="Third            "/>
    <s v="2143 cc "/>
    <s v="201 bhp @ 3800 rpm  "/>
    <n v="201"/>
    <n v="4.819"/>
    <n v="2.141"/>
    <n v="1.796"/>
    <n v="5"/>
    <x v="1"/>
    <n v="93"/>
  </r>
  <r>
    <x v="17"/>
    <x v="919"/>
    <x v="1823"/>
    <n v="5400000"/>
    <x v="528"/>
    <x v="9"/>
    <x v="109"/>
    <x v="2"/>
    <x v="1"/>
    <x v="0"/>
    <s v="Second           "/>
    <s v="2993 cc "/>
    <s v="261 bhp @ 4000 rpm  "/>
    <n v="261"/>
    <n v="4.9359999999999999"/>
    <n v="1.8680000000000001"/>
    <n v="1.4790000000000001"/>
    <n v="4"/>
    <x v="0"/>
    <n v="78"/>
  </r>
  <r>
    <x v="14"/>
    <x v="911"/>
    <x v="1824"/>
    <n v="5500000"/>
    <x v="529"/>
    <x v="13"/>
    <x v="83"/>
    <x v="2"/>
    <x v="1"/>
    <x v="0"/>
    <s v="First            "/>
    <s v="1950 cc "/>
    <s v="192 bhp @ 3800 rpm  "/>
    <n v="192"/>
    <n v="5.0629999999999997"/>
    <n v="1.86"/>
    <n v="1.494"/>
    <n v="5"/>
    <x v="1"/>
    <n v="80"/>
  </r>
  <r>
    <x v="18"/>
    <x v="902"/>
    <x v="1825"/>
    <n v="5500000"/>
    <x v="529"/>
    <x v="9"/>
    <x v="114"/>
    <x v="2"/>
    <x v="1"/>
    <x v="0"/>
    <s v="First            "/>
    <s v="2967 cc "/>
    <s v="245 bhp @ 2910 rpm  "/>
    <n v="245"/>
    <n v="5.0519999999999996"/>
    <n v="1.968"/>
    <n v="1.74"/>
    <n v="7"/>
    <x v="1"/>
    <n v="75"/>
  </r>
  <r>
    <x v="18"/>
    <x v="902"/>
    <x v="1826"/>
    <n v="5500000"/>
    <x v="529"/>
    <x v="9"/>
    <x v="35"/>
    <x v="2"/>
    <x v="1"/>
    <x v="0"/>
    <s v="First            "/>
    <s v="2967 cc "/>
    <s v="245 bhp @ 2910 rpm  "/>
    <n v="245"/>
    <n v="5.0519999999999996"/>
    <n v="1.968"/>
    <n v="1.74"/>
    <n v="7"/>
    <x v="1"/>
    <n v="75"/>
  </r>
  <r>
    <x v="17"/>
    <x v="867"/>
    <x v="1827"/>
    <n v="5500000"/>
    <x v="529"/>
    <x v="14"/>
    <x v="116"/>
    <x v="0"/>
    <x v="1"/>
    <x v="8"/>
    <s v="First            "/>
    <s v="1998 cc "/>
    <s v="248 bhp @ 5200 rpm  "/>
    <n v="248"/>
    <n v="4.633"/>
    <n v="1.8109999999999999"/>
    <n v="1.429"/>
    <n v="5"/>
    <x v="1"/>
    <n v="57"/>
  </r>
  <r>
    <x v="14"/>
    <x v="920"/>
    <x v="1828"/>
    <n v="5500000"/>
    <x v="529"/>
    <x v="10"/>
    <x v="43"/>
    <x v="2"/>
    <x v="1"/>
    <x v="0"/>
    <s v="First            "/>
    <s v="2987 cc "/>
    <s v="255 bhp @ 3600 rpm  "/>
    <n v="255"/>
    <n v="5.2460000000000004"/>
    <n v="1.899"/>
    <n v="1.494"/>
    <n v="5"/>
    <x v="1"/>
    <n v="70"/>
  </r>
  <r>
    <x v="17"/>
    <x v="703"/>
    <x v="1829"/>
    <n v="5600000"/>
    <x v="530"/>
    <x v="12"/>
    <x v="777"/>
    <x v="2"/>
    <x v="1"/>
    <x v="0"/>
    <s v="First            "/>
    <s v="2993 cc "/>
    <s v="258 bhp @ 4000 rpm  "/>
    <n v="258"/>
    <n v="4.899"/>
    <n v="2.0939999999999999"/>
    <n v="1.464"/>
    <n v="5"/>
    <x v="1"/>
    <n v="65"/>
  </r>
  <r>
    <x v="18"/>
    <x v="921"/>
    <x v="1830"/>
    <n v="5651000"/>
    <x v="531"/>
    <x v="16"/>
    <x v="757"/>
    <x v="0"/>
    <x v="1"/>
    <x v="7"/>
    <s v="UnRegistered Car "/>
    <s v="1984 cc "/>
    <s v="248 bhp @ 5000 rpm  "/>
    <n v="248"/>
    <n v="4.6630000000000003"/>
    <n v="1.8979999999999999"/>
    <n v="1.659"/>
    <n v="5"/>
    <x v="1"/>
    <n v="70"/>
  </r>
  <r>
    <x v="14"/>
    <x v="886"/>
    <x v="1831"/>
    <n v="5775000"/>
    <x v="532"/>
    <x v="13"/>
    <x v="38"/>
    <x v="2"/>
    <x v="1"/>
    <x v="8"/>
    <s v="First            "/>
    <s v="2143 cc "/>
    <s v="201 bhp @ 3800 rpm  "/>
    <n v="201"/>
    <n v="4.819"/>
    <n v="2.141"/>
    <n v="1.796"/>
    <n v="5"/>
    <x v="1"/>
    <n v="93"/>
  </r>
  <r>
    <x v="17"/>
    <x v="784"/>
    <x v="1832"/>
    <n v="5800000"/>
    <x v="533"/>
    <x v="14"/>
    <x v="83"/>
    <x v="2"/>
    <x v="1"/>
    <x v="8"/>
    <s v="First            "/>
    <s v="1995 cc "/>
    <s v="188 bhp @ 4000 rpm  "/>
    <n v="188"/>
    <n v="4.9359999999999999"/>
    <n v="1.8680000000000001"/>
    <n v="1.4790000000000001"/>
    <n v="5"/>
    <x v="1"/>
    <n v="65"/>
  </r>
  <r>
    <x v="26"/>
    <x v="922"/>
    <x v="1833"/>
    <n v="5800000"/>
    <x v="533"/>
    <x v="9"/>
    <x v="83"/>
    <x v="2"/>
    <x v="1"/>
    <x v="0"/>
    <s v="First            "/>
    <s v="2993 cc "/>
    <s v="225 bhp @ 4000 rpm  "/>
    <n v="225"/>
    <n v="5.2549999999999999"/>
    <n v="2.105"/>
    <n v="1.46"/>
    <n v="5"/>
    <x v="1"/>
    <n v="77"/>
  </r>
  <r>
    <x v="19"/>
    <x v="923"/>
    <x v="1834"/>
    <n v="5800000"/>
    <x v="533"/>
    <x v="13"/>
    <x v="778"/>
    <x v="2"/>
    <x v="1"/>
    <x v="0"/>
    <s v="First            "/>
    <s v="1969 cc "/>
    <s v="235 bhp @ 4250 rpm  "/>
    <n v="235"/>
    <n v="4.6879999999999997"/>
    <n v="1.9019999999999999"/>
    <n v="1.6579999999999999"/>
    <n v="5"/>
    <x v="1"/>
    <n v="71"/>
  </r>
  <r>
    <x v="18"/>
    <x v="915"/>
    <x v="1835"/>
    <n v="5800000"/>
    <x v="533"/>
    <x v="15"/>
    <x v="779"/>
    <x v="0"/>
    <x v="1"/>
    <x v="10"/>
    <s v="UnRegistered Car "/>
    <s v="1984 cc "/>
    <s v="241 bhp @ 5000 rpm  "/>
    <n v="241"/>
    <n v="4.9390000000000001"/>
    <n v="1.8859999999999999"/>
    <n v="1.4570000000000001"/>
    <n v="5"/>
    <x v="1"/>
    <n v="73"/>
  </r>
  <r>
    <x v="14"/>
    <x v="886"/>
    <x v="1836"/>
    <n v="5850000"/>
    <x v="534"/>
    <x v="13"/>
    <x v="106"/>
    <x v="2"/>
    <x v="1"/>
    <x v="2"/>
    <s v="First            "/>
    <s v="2143 cc "/>
    <s v="201 bhp @ 3800 rpm  "/>
    <n v="201"/>
    <n v="4.819"/>
    <n v="2.141"/>
    <n v="1.796"/>
    <n v="5"/>
    <x v="1"/>
    <n v="93"/>
  </r>
  <r>
    <x v="18"/>
    <x v="869"/>
    <x v="1837"/>
    <n v="5900000"/>
    <x v="535"/>
    <x v="12"/>
    <x v="119"/>
    <x v="2"/>
    <x v="1"/>
    <x v="7"/>
    <s v="First            "/>
    <s v="2967 cc "/>
    <s v="245 bhp @ 2910 rpm  "/>
    <n v="245"/>
    <n v="5.0519999999999996"/>
    <n v="1.968"/>
    <n v="1.74"/>
    <n v="7"/>
    <x v="1"/>
    <n v="75"/>
  </r>
  <r>
    <x v="14"/>
    <x v="906"/>
    <x v="1838"/>
    <n v="5900000"/>
    <x v="535"/>
    <x v="12"/>
    <x v="191"/>
    <x v="2"/>
    <x v="1"/>
    <x v="0"/>
    <s v="First            "/>
    <s v="2987 cc "/>
    <s v="255 bhp @ 3400 rpm  "/>
    <n v="255"/>
    <n v="4.819"/>
    <n v="2.141"/>
    <n v="1.796"/>
    <n v="5"/>
    <x v="1"/>
    <n v="93"/>
  </r>
  <r>
    <x v="25"/>
    <x v="924"/>
    <x v="1839"/>
    <n v="5900000"/>
    <x v="535"/>
    <x v="6"/>
    <x v="26"/>
    <x v="2"/>
    <x v="1"/>
    <x v="2"/>
    <s v="First            "/>
    <s v="2993 cc "/>
    <s v="289 bhp @ 4000 rpm  "/>
    <n v="289"/>
    <n v="4.8789999999999996"/>
    <n v="2.073"/>
    <n v="1.78"/>
    <n v="5"/>
    <x v="1"/>
    <n v="77"/>
  </r>
  <r>
    <x v="25"/>
    <x v="925"/>
    <x v="1840"/>
    <n v="5950000"/>
    <x v="536"/>
    <x v="15"/>
    <x v="56"/>
    <x v="2"/>
    <x v="1"/>
    <x v="13"/>
    <s v="First            "/>
    <s v="1999 cc "/>
    <s v="177 bhp @ 4000 rpm  "/>
    <n v="177"/>
    <n v="4.3710000000000004"/>
    <n v="1.996"/>
    <n v="1.649"/>
    <n v="5"/>
    <x v="1"/>
    <n v="66.5"/>
  </r>
  <r>
    <x v="14"/>
    <x v="926"/>
    <x v="1841"/>
    <n v="5950000"/>
    <x v="536"/>
    <x v="13"/>
    <x v="349"/>
    <x v="2"/>
    <x v="1"/>
    <x v="0"/>
    <s v="First            "/>
    <s v="1950 cc "/>
    <s v="192 bhp @ 3800 rpm  "/>
    <n v="192"/>
    <n v="5.0629999999999997"/>
    <n v="1.86"/>
    <n v="1.494"/>
    <n v="5"/>
    <x v="1"/>
    <n v="80"/>
  </r>
  <r>
    <x v="17"/>
    <x v="927"/>
    <x v="1842"/>
    <n v="5950000"/>
    <x v="536"/>
    <x v="9"/>
    <x v="191"/>
    <x v="2"/>
    <x v="1"/>
    <x v="0"/>
    <s v="First            "/>
    <s v="2993 cc "/>
    <s v="262 bhp @ 4000 rpm  "/>
    <n v="262"/>
    <n v="5.2190000000000003"/>
    <n v="1.9019999999999999"/>
    <n v="1.4810000000000001"/>
    <n v="4"/>
    <x v="0"/>
    <n v="78"/>
  </r>
  <r>
    <x v="14"/>
    <x v="928"/>
    <x v="1843"/>
    <n v="5950000"/>
    <x v="536"/>
    <x v="9"/>
    <x v="3"/>
    <x v="0"/>
    <x v="1"/>
    <x v="8"/>
    <s v="First            "/>
    <s v="2996 cc "/>
    <s v="329 bhp @ 5250 rpm  "/>
    <n v="329"/>
    <n v="5.13"/>
    <n v="1.9339999999999999"/>
    <n v="1.85"/>
    <n v="5"/>
    <x v="1"/>
    <n v="100"/>
  </r>
  <r>
    <x v="17"/>
    <x v="872"/>
    <x v="1844"/>
    <n v="5975000"/>
    <x v="537"/>
    <x v="15"/>
    <x v="185"/>
    <x v="2"/>
    <x v="1"/>
    <x v="0"/>
    <s v="First            "/>
    <s v="1995 cc "/>
    <s v="190 bhp @ 4000 rpm  "/>
    <n v="190"/>
    <n v="4.657"/>
    <n v="1.881"/>
    <n v="1.6779999999999999"/>
    <n v="5"/>
    <x v="1"/>
    <n v="67"/>
  </r>
  <r>
    <x v="25"/>
    <x v="929"/>
    <x v="1845"/>
    <n v="5995000"/>
    <x v="538"/>
    <x v="14"/>
    <x v="780"/>
    <x v="2"/>
    <x v="1"/>
    <x v="0"/>
    <s v="First            "/>
    <s v="1999 cc "/>
    <s v="177 bhp @ 4000 rpm  "/>
    <n v="177"/>
    <n v="4.5999999999999996"/>
    <n v="2.069"/>
    <n v="1.724"/>
    <n v="7"/>
    <x v="1"/>
    <n v="70"/>
  </r>
  <r>
    <x v="19"/>
    <x v="930"/>
    <x v="1846"/>
    <n v="6000000"/>
    <x v="539"/>
    <x v="14"/>
    <x v="781"/>
    <x v="2"/>
    <x v="1"/>
    <x v="7"/>
    <s v="First            "/>
    <s v="1969 cc "/>
    <s v="187 bhp @ 4250 rpm  "/>
    <n v="187"/>
    <n v="4.9630000000000001"/>
    <n v="1.879"/>
    <n v="1.4430000000000001"/>
    <n v="5"/>
    <x v="1"/>
    <n v="55"/>
  </r>
  <r>
    <x v="17"/>
    <x v="703"/>
    <x v="1847"/>
    <n v="6000000"/>
    <x v="539"/>
    <x v="12"/>
    <x v="782"/>
    <x v="2"/>
    <x v="1"/>
    <x v="7"/>
    <s v="First            "/>
    <s v="2993 cc "/>
    <s v="258 bhp @ 4000 rpm  "/>
    <n v="258"/>
    <n v="4.899"/>
    <n v="2.0939999999999999"/>
    <n v="1.464"/>
    <n v="5"/>
    <x v="1"/>
    <n v="65"/>
  </r>
  <r>
    <x v="25"/>
    <x v="931"/>
    <x v="1848"/>
    <n v="6000000"/>
    <x v="539"/>
    <x v="6"/>
    <x v="58"/>
    <x v="2"/>
    <x v="1"/>
    <x v="0"/>
    <s v="First            "/>
    <s v="2993 cc "/>
    <s v="289 bhp @ 4000 rpm  "/>
    <n v="289"/>
    <n v="4.8789999999999996"/>
    <n v="2.073"/>
    <n v="1.78"/>
    <n v="5"/>
    <x v="1"/>
    <n v="77"/>
  </r>
  <r>
    <x v="14"/>
    <x v="932"/>
    <x v="1849"/>
    <n v="6100000"/>
    <x v="540"/>
    <x v="16"/>
    <x v="783"/>
    <x v="2"/>
    <x v="1"/>
    <x v="2"/>
    <s v="First            "/>
    <s v="1950 cc "/>
    <s v="192 bhp @ 3800 rpm  "/>
    <n v="192"/>
    <n v="4.6859999999999999"/>
    <n v="1.81"/>
    <n v="1.4419999999999999"/>
    <n v="5"/>
    <x v="1"/>
    <n v="66"/>
  </r>
  <r>
    <x v="14"/>
    <x v="911"/>
    <x v="1850"/>
    <n v="6100000"/>
    <x v="540"/>
    <x v="14"/>
    <x v="602"/>
    <x v="2"/>
    <x v="1"/>
    <x v="1"/>
    <s v="First            "/>
    <s v="1950 cc "/>
    <s v="192 bhp @ 3800 rpm  "/>
    <n v="192"/>
    <n v="5.0629999999999997"/>
    <n v="1.86"/>
    <n v="1.494"/>
    <n v="5"/>
    <x v="1"/>
    <n v="80"/>
  </r>
  <r>
    <x v="17"/>
    <x v="933"/>
    <x v="1851"/>
    <n v="6100000"/>
    <x v="540"/>
    <x v="15"/>
    <x v="784"/>
    <x v="2"/>
    <x v="1"/>
    <x v="4"/>
    <s v="First            "/>
    <s v="2993 cc "/>
    <s v="260 bhp @ 4000 rpm  "/>
    <n v="260"/>
    <n v="4.7519999999999998"/>
    <n v="1.9179999999999999"/>
    <n v="1.621"/>
    <n v="5"/>
    <x v="1"/>
    <n v="68"/>
  </r>
  <r>
    <x v="20"/>
    <x v="934"/>
    <x v="1852"/>
    <n v="6100000"/>
    <x v="540"/>
    <x v="16"/>
    <x v="385"/>
    <x v="0"/>
    <x v="1"/>
    <x v="4"/>
    <s v="First            "/>
    <s v="1995 cc "/>
    <s v="268 bhp @ 5150 rpm  "/>
    <n v="268"/>
    <n v="4.8819999999999997"/>
    <n v="1.8939999999999999"/>
    <n v="1.8480000000000001"/>
    <n v="5"/>
    <x v="1"/>
    <n v="81"/>
  </r>
  <r>
    <x v="14"/>
    <x v="906"/>
    <x v="1853"/>
    <n v="6150000"/>
    <x v="541"/>
    <x v="12"/>
    <x v="185"/>
    <x v="2"/>
    <x v="1"/>
    <x v="8"/>
    <s v="First            "/>
    <s v="2987 cc "/>
    <s v="255 bhp @ 3400 rpm  "/>
    <n v="255"/>
    <n v="4.819"/>
    <n v="2.141"/>
    <n v="1.796"/>
    <n v="5"/>
    <x v="1"/>
    <n v="93"/>
  </r>
  <r>
    <x v="17"/>
    <x v="872"/>
    <x v="1854"/>
    <n v="6200000"/>
    <x v="542"/>
    <x v="15"/>
    <x v="170"/>
    <x v="2"/>
    <x v="1"/>
    <x v="0"/>
    <s v="First            "/>
    <s v="1995 cc "/>
    <s v="190 bhp @ 4000 rpm  "/>
    <n v="190"/>
    <n v="4.657"/>
    <n v="1.881"/>
    <n v="1.6779999999999999"/>
    <n v="5"/>
    <x v="1"/>
    <n v="67"/>
  </r>
  <r>
    <x v="14"/>
    <x v="935"/>
    <x v="1855"/>
    <n v="6225000"/>
    <x v="543"/>
    <x v="13"/>
    <x v="785"/>
    <x v="2"/>
    <x v="1"/>
    <x v="1"/>
    <s v="First            "/>
    <s v="2987 cc "/>
    <s v="255 bhp @ 3400 rpm  "/>
    <n v="255"/>
    <n v="5.0629999999999997"/>
    <n v="1.86"/>
    <n v="1.494"/>
    <n v="5"/>
    <x v="1"/>
    <n v="80"/>
  </r>
  <r>
    <x v="14"/>
    <x v="936"/>
    <x v="1856"/>
    <n v="6300000"/>
    <x v="544"/>
    <x v="14"/>
    <x v="122"/>
    <x v="2"/>
    <x v="1"/>
    <x v="1"/>
    <s v="First            "/>
    <s v="1950 cc "/>
    <s v="161 bhp @ 4200 rpm  "/>
    <n v="161"/>
    <n v="5.14"/>
    <n v="1.9279999999999999"/>
    <n v="1.901"/>
    <n v="6"/>
    <x v="1"/>
    <n v="57"/>
  </r>
  <r>
    <x v="17"/>
    <x v="784"/>
    <x v="1857"/>
    <n v="6390000"/>
    <x v="545"/>
    <x v="16"/>
    <x v="148"/>
    <x v="2"/>
    <x v="1"/>
    <x v="2"/>
    <s v="First            "/>
    <s v="1995 cc "/>
    <s v="188 bhp @ 4000 rpm  "/>
    <n v="188"/>
    <n v="4.9359999999999999"/>
    <n v="1.8680000000000001"/>
    <n v="1.4790000000000001"/>
    <n v="5"/>
    <x v="1"/>
    <n v="65"/>
  </r>
  <r>
    <x v="14"/>
    <x v="937"/>
    <x v="1858"/>
    <n v="6400000"/>
    <x v="546"/>
    <x v="16"/>
    <x v="786"/>
    <x v="2"/>
    <x v="1"/>
    <x v="0"/>
    <s v="UnRegistered Car "/>
    <s v="1950 cc "/>
    <s v="192 bhp @ 3800 rpm  "/>
    <n v="192"/>
    <n v="4.6580000000000004"/>
    <n v="1.89"/>
    <n v="1.6439999999999999"/>
    <n v="5"/>
    <x v="1"/>
    <n v="66"/>
  </r>
  <r>
    <x v="25"/>
    <x v="938"/>
    <x v="1859"/>
    <n v="6500000"/>
    <x v="547"/>
    <x v="14"/>
    <x v="148"/>
    <x v="2"/>
    <x v="1"/>
    <x v="0"/>
    <s v="First            "/>
    <s v="1999 cc "/>
    <s v="177 bhp @ 4000 rpm  "/>
    <n v="177"/>
    <n v="4.5999999999999996"/>
    <n v="2.069"/>
    <n v="1.724"/>
    <n v="7"/>
    <x v="1"/>
    <n v="70"/>
  </r>
  <r>
    <x v="25"/>
    <x v="939"/>
    <x v="1860"/>
    <n v="6500000"/>
    <x v="547"/>
    <x v="15"/>
    <x v="335"/>
    <x v="2"/>
    <x v="1"/>
    <x v="0"/>
    <s v="First            "/>
    <s v="1999 cc "/>
    <s v="177 bhp @ 4000 rpm  "/>
    <n v="177"/>
    <n v="4.3600000000000003"/>
    <n v="2.12"/>
    <n v="1.635"/>
    <n v="5"/>
    <x v="1"/>
    <n v="57"/>
  </r>
  <r>
    <x v="14"/>
    <x v="910"/>
    <x v="1861"/>
    <n v="6500000"/>
    <x v="547"/>
    <x v="14"/>
    <x v="324"/>
    <x v="2"/>
    <x v="1"/>
    <x v="1"/>
    <s v="First            "/>
    <s v="1950 cc "/>
    <s v="192 bhp @ 3800 rpm  "/>
    <n v="192"/>
    <n v="4.6580000000000004"/>
    <n v="1.89"/>
    <n v="1.6439999999999999"/>
    <n v="5"/>
    <x v="1"/>
    <n v="66"/>
  </r>
  <r>
    <x v="14"/>
    <x v="926"/>
    <x v="1862"/>
    <n v="6500000"/>
    <x v="547"/>
    <x v="13"/>
    <x v="787"/>
    <x v="2"/>
    <x v="1"/>
    <x v="0"/>
    <s v="First            "/>
    <s v="1950 cc "/>
    <s v="192 bhp @ 3800 rpm  "/>
    <n v="192"/>
    <n v="5.0629999999999997"/>
    <n v="1.86"/>
    <n v="1.494"/>
    <n v="5"/>
    <x v="1"/>
    <n v="80"/>
  </r>
  <r>
    <x v="14"/>
    <x v="940"/>
    <x v="1863"/>
    <n v="6500000"/>
    <x v="547"/>
    <x v="15"/>
    <x v="498"/>
    <x v="0"/>
    <x v="1"/>
    <x v="8"/>
    <s v="First            "/>
    <s v="1991 cc "/>
    <s v="194 bhp @ 5800 rpm  "/>
    <n v="194"/>
    <n v="5.0629999999999997"/>
    <n v="1.86"/>
    <n v="1.494"/>
    <n v="5"/>
    <x v="1"/>
    <n v="80"/>
  </r>
  <r>
    <x v="14"/>
    <x v="908"/>
    <x v="1864"/>
    <n v="6500000"/>
    <x v="547"/>
    <x v="14"/>
    <x v="157"/>
    <x v="0"/>
    <x v="1"/>
    <x v="0"/>
    <s v="Second           "/>
    <s v="1991 cc "/>
    <s v="241 bhp @ 5500 rpm  "/>
    <n v="241"/>
    <n v="4.6859999999999999"/>
    <n v="1.81"/>
    <n v="1.409"/>
    <n v="4"/>
    <x v="0"/>
    <n v="59"/>
  </r>
  <r>
    <x v="14"/>
    <x v="941"/>
    <x v="1865"/>
    <n v="6600000"/>
    <x v="548"/>
    <x v="15"/>
    <x v="788"/>
    <x v="0"/>
    <x v="1"/>
    <x v="0"/>
    <s v="First            "/>
    <s v="1991 cc "/>
    <s v="194 bhp @ 5500 rpm  "/>
    <n v="194"/>
    <n v="4.6580000000000004"/>
    <n v="1.89"/>
    <n v="1.6439999999999999"/>
    <n v="5"/>
    <x v="1"/>
    <n v="66"/>
  </r>
  <r>
    <x v="17"/>
    <x v="942"/>
    <x v="1866"/>
    <n v="6680000"/>
    <x v="549"/>
    <x v="16"/>
    <x v="789"/>
    <x v="0"/>
    <x v="1"/>
    <x v="7"/>
    <s v="First            "/>
    <s v="1998 cc "/>
    <s v="248 bhp @ 5200 rpm  "/>
    <n v="248"/>
    <n v="4.7080000000000002"/>
    <n v="1.891"/>
    <n v="1.6759999999999999"/>
    <n v="5"/>
    <x v="1"/>
    <n v="60"/>
  </r>
  <r>
    <x v="18"/>
    <x v="869"/>
    <x v="1867"/>
    <n v="6700000"/>
    <x v="550"/>
    <x v="12"/>
    <x v="790"/>
    <x v="2"/>
    <x v="1"/>
    <x v="7"/>
    <s v="First            "/>
    <s v="2967 cc "/>
    <s v="245 bhp @ 2910 rpm  "/>
    <n v="245"/>
    <n v="5.0519999999999996"/>
    <n v="1.968"/>
    <n v="1.74"/>
    <n v="7"/>
    <x v="1"/>
    <n v="75"/>
  </r>
  <r>
    <x v="14"/>
    <x v="937"/>
    <x v="1868"/>
    <n v="6750000"/>
    <x v="551"/>
    <x v="16"/>
    <x v="362"/>
    <x v="2"/>
    <x v="1"/>
    <x v="7"/>
    <s v="First            "/>
    <s v="1950 cc "/>
    <s v="192 bhp @ 3800 rpm  "/>
    <n v="192"/>
    <n v="4.6580000000000004"/>
    <n v="1.89"/>
    <n v="1.6439999999999999"/>
    <n v="5"/>
    <x v="1"/>
    <n v="66"/>
  </r>
  <r>
    <x v="17"/>
    <x v="872"/>
    <x v="1869"/>
    <n v="6800000"/>
    <x v="552"/>
    <x v="16"/>
    <x v="109"/>
    <x v="2"/>
    <x v="1"/>
    <x v="0"/>
    <s v="First            "/>
    <s v="1995 cc "/>
    <s v="190 bhp @ 4000 rpm  "/>
    <n v="190"/>
    <n v="4.657"/>
    <n v="1.881"/>
    <n v="1.6779999999999999"/>
    <n v="5"/>
    <x v="1"/>
    <n v="67"/>
  </r>
  <r>
    <x v="14"/>
    <x v="910"/>
    <x v="1870"/>
    <n v="6800000"/>
    <x v="552"/>
    <x v="14"/>
    <x v="645"/>
    <x v="2"/>
    <x v="1"/>
    <x v="1"/>
    <s v="First            "/>
    <s v="1950 cc "/>
    <s v="192 bhp @ 3800 rpm  "/>
    <n v="192"/>
    <n v="4.6580000000000004"/>
    <n v="1.89"/>
    <n v="1.6439999999999999"/>
    <n v="5"/>
    <x v="1"/>
    <n v="66"/>
  </r>
  <r>
    <x v="14"/>
    <x v="943"/>
    <x v="1871"/>
    <n v="6875000"/>
    <x v="553"/>
    <x v="13"/>
    <x v="75"/>
    <x v="2"/>
    <x v="1"/>
    <x v="0"/>
    <s v="First            "/>
    <s v="2987 cc "/>
    <s v="255 bhp @ 3400 rpm  "/>
    <n v="255"/>
    <n v="5.13"/>
    <n v="1.9339999999999999"/>
    <n v="1.85"/>
    <n v="7"/>
    <x v="1"/>
    <n v="100"/>
  </r>
  <r>
    <x v="25"/>
    <x v="898"/>
    <x v="1872"/>
    <n v="6900000"/>
    <x v="554"/>
    <x v="14"/>
    <x v="791"/>
    <x v="2"/>
    <x v="1"/>
    <x v="0"/>
    <s v="First            "/>
    <s v="2179 cc "/>
    <s v="188 bhp @ 3500 rpm  "/>
    <n v="188"/>
    <n v="4.5999999999999996"/>
    <n v="2.069"/>
    <n v="1.724"/>
    <n v="7"/>
    <x v="1"/>
    <n v="65"/>
  </r>
  <r>
    <x v="17"/>
    <x v="944"/>
    <x v="1873"/>
    <n v="6900000"/>
    <x v="554"/>
    <x v="9"/>
    <x v="792"/>
    <x v="2"/>
    <x v="1"/>
    <x v="8"/>
    <s v="First            "/>
    <s v="2993 cc "/>
    <s v="262 bhp @ 4000 rpm  "/>
    <n v="262"/>
    <n v="5.2190000000000003"/>
    <n v="1.9019999999999999"/>
    <n v="1.4810000000000001"/>
    <n v="4"/>
    <x v="0"/>
    <n v="78"/>
  </r>
  <r>
    <x v="14"/>
    <x v="941"/>
    <x v="1874"/>
    <n v="6975000"/>
    <x v="555"/>
    <x v="16"/>
    <x v="609"/>
    <x v="0"/>
    <x v="1"/>
    <x v="0"/>
    <s v="First            "/>
    <s v="1991 cc "/>
    <s v="194 bhp @ 5500 rpm  "/>
    <n v="194"/>
    <n v="4.6580000000000004"/>
    <n v="1.89"/>
    <n v="1.6439999999999999"/>
    <n v="5"/>
    <x v="1"/>
    <n v="66"/>
  </r>
  <r>
    <x v="14"/>
    <x v="945"/>
    <x v="1875"/>
    <n v="6975000"/>
    <x v="555"/>
    <x v="14"/>
    <x v="793"/>
    <x v="2"/>
    <x v="1"/>
    <x v="0"/>
    <s v="First            "/>
    <s v="1950 cc "/>
    <s v="241 bhp @ 4200 rpm  "/>
    <n v="241"/>
    <n v="4.9880000000000004"/>
    <n v="1.89"/>
    <n v="1.4350000000000001"/>
    <n v="5"/>
    <x v="1"/>
    <n v="66"/>
  </r>
  <r>
    <x v="14"/>
    <x v="937"/>
    <x v="1876"/>
    <n v="7000000"/>
    <x v="556"/>
    <x v="15"/>
    <x v="116"/>
    <x v="2"/>
    <x v="1"/>
    <x v="8"/>
    <s v="First            "/>
    <s v="1950 cc "/>
    <s v="192 bhp @ 3800 rpm  "/>
    <n v="192"/>
    <n v="4.6580000000000004"/>
    <n v="1.89"/>
    <n v="1.6439999999999999"/>
    <n v="5"/>
    <x v="1"/>
    <n v="66"/>
  </r>
  <r>
    <x v="25"/>
    <x v="946"/>
    <x v="1877"/>
    <n v="7000000"/>
    <x v="556"/>
    <x v="15"/>
    <x v="645"/>
    <x v="0"/>
    <x v="1"/>
    <x v="0"/>
    <s v="First            "/>
    <s v="1997 cc "/>
    <s v="245 bhp @ 5500 rpm  "/>
    <n v="245"/>
    <n v="4.5999999999999996"/>
    <n v="2.069"/>
    <n v="1.724"/>
    <n v="7"/>
    <x v="1"/>
    <n v="70"/>
  </r>
  <r>
    <x v="14"/>
    <x v="947"/>
    <x v="1878"/>
    <n v="7000000"/>
    <x v="556"/>
    <x v="14"/>
    <x v="116"/>
    <x v="0"/>
    <x v="1"/>
    <x v="0"/>
    <s v="First            "/>
    <s v="2996 cc "/>
    <s v="385 bhp @ 5500 rpm  "/>
    <n v="385"/>
    <n v="4.6929999999999996"/>
    <n v="1.81"/>
    <n v="1.4019999999999999"/>
    <n v="4"/>
    <x v="0"/>
    <n v="66"/>
  </r>
  <r>
    <x v="14"/>
    <x v="940"/>
    <x v="1879"/>
    <n v="7100000"/>
    <x v="557"/>
    <x v="16"/>
    <x v="601"/>
    <x v="0"/>
    <x v="1"/>
    <x v="2"/>
    <s v="First            "/>
    <s v="1991 cc "/>
    <s v="194 bhp @ 5800 rpm  "/>
    <n v="194"/>
    <n v="5.0629999999999997"/>
    <n v="1.86"/>
    <n v="1.494"/>
    <n v="5"/>
    <x v="1"/>
    <n v="80"/>
  </r>
  <r>
    <x v="18"/>
    <x v="948"/>
    <x v="1880"/>
    <n v="7200000"/>
    <x v="558"/>
    <x v="15"/>
    <x v="42"/>
    <x v="0"/>
    <x v="1"/>
    <x v="0"/>
    <s v="UnRegistered Car "/>
    <s v="1984 cc "/>
    <s v="180 bhp @ 4000 rpm  "/>
    <n v="180"/>
    <n v="4.915"/>
    <n v="1.8740000000000001"/>
    <n v="1.4550000000000001"/>
    <n v="5"/>
    <x v="1"/>
    <n v="75"/>
  </r>
  <r>
    <x v="14"/>
    <x v="943"/>
    <x v="1881"/>
    <n v="7200000"/>
    <x v="558"/>
    <x v="12"/>
    <x v="794"/>
    <x v="2"/>
    <x v="1"/>
    <x v="0"/>
    <s v="First            "/>
    <s v="2987 cc "/>
    <s v="255 bhp @ 3400 rpm  "/>
    <n v="255"/>
    <n v="5.13"/>
    <n v="1.9339999999999999"/>
    <n v="1.85"/>
    <n v="7"/>
    <x v="1"/>
    <n v="100"/>
  </r>
  <r>
    <x v="25"/>
    <x v="931"/>
    <x v="1882"/>
    <n v="7200000"/>
    <x v="558"/>
    <x v="11"/>
    <x v="114"/>
    <x v="2"/>
    <x v="1"/>
    <x v="0"/>
    <s v="Third            "/>
    <s v="2993 cc "/>
    <s v="289 bhp @ 4000 rpm  "/>
    <n v="289"/>
    <n v="4.8789999999999996"/>
    <n v="2.073"/>
    <n v="1.78"/>
    <n v="5"/>
    <x v="1"/>
    <n v="77"/>
  </r>
  <r>
    <x v="14"/>
    <x v="911"/>
    <x v="1883"/>
    <n v="7350000"/>
    <x v="559"/>
    <x v="16"/>
    <x v="79"/>
    <x v="2"/>
    <x v="1"/>
    <x v="2"/>
    <s v="First            "/>
    <s v="1950 cc "/>
    <s v="192 bhp @ 3800 rpm  "/>
    <n v="192"/>
    <n v="5.0629999999999997"/>
    <n v="1.86"/>
    <n v="1.494"/>
    <n v="5"/>
    <x v="1"/>
    <n v="80"/>
  </r>
  <r>
    <x v="14"/>
    <x v="911"/>
    <x v="1884"/>
    <n v="7390000"/>
    <x v="560"/>
    <x v="15"/>
    <x v="362"/>
    <x v="2"/>
    <x v="1"/>
    <x v="2"/>
    <s v="First            "/>
    <s v="1950 cc "/>
    <s v="192 bhp @ 3800 rpm  "/>
    <n v="192"/>
    <n v="5.0629999999999997"/>
    <n v="1.86"/>
    <n v="1.494"/>
    <n v="5"/>
    <x v="1"/>
    <n v="80"/>
  </r>
  <r>
    <x v="14"/>
    <x v="911"/>
    <x v="1885"/>
    <n v="7475000"/>
    <x v="561"/>
    <x v="15"/>
    <x v="324"/>
    <x v="2"/>
    <x v="1"/>
    <x v="8"/>
    <s v="First            "/>
    <s v="1950 cc "/>
    <s v="192 bhp @ 3800 rpm  "/>
    <n v="192"/>
    <n v="5.0629999999999997"/>
    <n v="1.86"/>
    <n v="1.494"/>
    <n v="5"/>
    <x v="1"/>
    <n v="80"/>
  </r>
  <r>
    <x v="14"/>
    <x v="926"/>
    <x v="1886"/>
    <n v="7475000"/>
    <x v="561"/>
    <x v="15"/>
    <x v="324"/>
    <x v="2"/>
    <x v="1"/>
    <x v="8"/>
    <s v="First            "/>
    <s v="1950 cc "/>
    <s v="192 bhp @ 3800 rpm  "/>
    <n v="192"/>
    <n v="5.0629999999999997"/>
    <n v="1.86"/>
    <n v="1.494"/>
    <n v="5"/>
    <x v="1"/>
    <n v="80"/>
  </r>
  <r>
    <x v="14"/>
    <x v="926"/>
    <x v="1887"/>
    <n v="7500000"/>
    <x v="562"/>
    <x v="15"/>
    <x v="414"/>
    <x v="2"/>
    <x v="1"/>
    <x v="0"/>
    <s v="First            "/>
    <s v="1950 cc "/>
    <s v="192 bhp @ 3800 rpm  "/>
    <n v="192"/>
    <n v="5.0629999999999997"/>
    <n v="1.86"/>
    <n v="1.494"/>
    <n v="5"/>
    <x v="1"/>
    <n v="80"/>
  </r>
  <r>
    <x v="27"/>
    <x v="949"/>
    <x v="1888"/>
    <n v="7500000"/>
    <x v="562"/>
    <x v="14"/>
    <x v="194"/>
    <x v="0"/>
    <x v="1"/>
    <x v="7"/>
    <s v="First            "/>
    <s v="2995 cc "/>
    <s v="349 bhp @ 5400 rpm  "/>
    <n v="349"/>
    <n v="4.6959999999999997"/>
    <n v="1.923"/>
    <n v="1.6240000000000001"/>
    <n v="5"/>
    <x v="1"/>
    <n v="65"/>
  </r>
  <r>
    <x v="14"/>
    <x v="950"/>
    <x v="1889"/>
    <n v="7500000"/>
    <x v="562"/>
    <x v="15"/>
    <x v="324"/>
    <x v="0"/>
    <x v="1"/>
    <x v="4"/>
    <s v="First            "/>
    <s v="2996 cc "/>
    <s v="362 bhp @ 5500 rpm  "/>
    <n v="362"/>
    <n v="4.702"/>
    <n v="1.81"/>
    <n v="1.4339999999999999"/>
    <n v="4"/>
    <x v="0"/>
    <n v="66"/>
  </r>
  <r>
    <x v="17"/>
    <x v="951"/>
    <x v="1890"/>
    <n v="7700000"/>
    <x v="563"/>
    <x v="15"/>
    <x v="795"/>
    <x v="2"/>
    <x v="1"/>
    <x v="0"/>
    <s v="First            "/>
    <s v="2993 cc "/>
    <s v="261 bhp @ 4000 rpm  "/>
    <n v="261"/>
    <n v="4.9630000000000001"/>
    <n v="1.8680000000000001"/>
    <n v="1.4670000000000001"/>
    <n v="5"/>
    <x v="1"/>
    <n v="66"/>
  </r>
  <r>
    <x v="14"/>
    <x v="911"/>
    <x v="1891"/>
    <n v="7780000"/>
    <x v="564"/>
    <x v="16"/>
    <x v="421"/>
    <x v="2"/>
    <x v="1"/>
    <x v="8"/>
    <s v="First            "/>
    <s v="1950 cc "/>
    <s v="192 bhp @ 3800 rpm  "/>
    <n v="192"/>
    <n v="5.0629999999999997"/>
    <n v="1.86"/>
    <n v="1.494"/>
    <n v="5"/>
    <x v="1"/>
    <n v="80"/>
  </r>
  <r>
    <x v="14"/>
    <x v="952"/>
    <x v="1892"/>
    <n v="7900000"/>
    <x v="565"/>
    <x v="9"/>
    <x v="796"/>
    <x v="2"/>
    <x v="1"/>
    <x v="0"/>
    <s v="First            "/>
    <s v="2925 cc "/>
    <s v="282 bhp @ 3600 rpm  "/>
    <n v="282"/>
    <n v="5.2460000000000004"/>
    <n v="1.899"/>
    <n v="1.494"/>
    <n v="5"/>
    <x v="1"/>
    <n v="70"/>
  </r>
  <r>
    <x v="3"/>
    <x v="953"/>
    <x v="1893"/>
    <n v="7990000"/>
    <x v="566"/>
    <x v="12"/>
    <x v="20"/>
    <x v="0"/>
    <x v="1"/>
    <x v="16"/>
    <s v="First            "/>
    <s v="4951 cc "/>
    <s v="396 bhp @ 6500 rpm  "/>
    <n v="396"/>
    <n v="4.7839999999999998"/>
    <n v="2.08"/>
    <n v="1.391"/>
    <n v="4"/>
    <x v="0"/>
    <n v="60.9"/>
  </r>
  <r>
    <x v="3"/>
    <x v="953"/>
    <x v="1894"/>
    <n v="8000000"/>
    <x v="567"/>
    <x v="9"/>
    <x v="71"/>
    <x v="0"/>
    <x v="1"/>
    <x v="8"/>
    <s v="Third            "/>
    <s v="4951 cc "/>
    <s v="396 bhp @ 6500 rpm  "/>
    <n v="396"/>
    <n v="4.7839999999999998"/>
    <n v="2.08"/>
    <n v="1.391"/>
    <n v="4"/>
    <x v="0"/>
    <n v="60.9"/>
  </r>
  <r>
    <x v="14"/>
    <x v="937"/>
    <x v="1895"/>
    <n v="8100000"/>
    <x v="568"/>
    <x v="16"/>
    <x v="786"/>
    <x v="2"/>
    <x v="1"/>
    <x v="0"/>
    <s v="UnRegistered Car "/>
    <s v="1950 cc "/>
    <s v="192 bhp @ 3800 rpm  "/>
    <n v="192"/>
    <n v="4.6580000000000004"/>
    <n v="1.89"/>
    <n v="1.6439999999999999"/>
    <n v="5"/>
    <x v="1"/>
    <n v="66"/>
  </r>
  <r>
    <x v="14"/>
    <x v="954"/>
    <x v="1896"/>
    <n v="8190000"/>
    <x v="569"/>
    <x v="14"/>
    <x v="185"/>
    <x v="2"/>
    <x v="1"/>
    <x v="12"/>
    <s v="First            "/>
    <s v="1950 cc "/>
    <s v="241 bhp @ 4200 rpm  "/>
    <n v="241"/>
    <n v="4.9240000000000004"/>
    <n v="2.157"/>
    <n v="1.772"/>
    <n v="5"/>
    <x v="1"/>
    <n v="93"/>
  </r>
  <r>
    <x v="14"/>
    <x v="954"/>
    <x v="1897"/>
    <n v="8300000"/>
    <x v="570"/>
    <x v="14"/>
    <x v="15"/>
    <x v="2"/>
    <x v="1"/>
    <x v="0"/>
    <s v="First            "/>
    <s v="1950 cc "/>
    <s v="241 bhp @ 4200 rpm  "/>
    <n v="241"/>
    <n v="4.9240000000000004"/>
    <n v="2.157"/>
    <n v="1.772"/>
    <n v="5"/>
    <x v="1"/>
    <n v="93"/>
  </r>
  <r>
    <x v="17"/>
    <x v="892"/>
    <x v="1898"/>
    <n v="8300000"/>
    <x v="570"/>
    <x v="14"/>
    <x v="313"/>
    <x v="2"/>
    <x v="1"/>
    <x v="7"/>
    <s v="First            "/>
    <s v="2993 cc "/>
    <s v="262 bhp @ 4000 rpm  "/>
    <n v="262"/>
    <n v="4.9219999999999997"/>
    <n v="2.004"/>
    <n v="1.7450000000000001"/>
    <n v="5"/>
    <x v="1"/>
    <n v="80"/>
  </r>
  <r>
    <x v="19"/>
    <x v="955"/>
    <x v="1899"/>
    <n v="8500000"/>
    <x v="571"/>
    <x v="15"/>
    <x v="797"/>
    <x v="2"/>
    <x v="1"/>
    <x v="0"/>
    <s v="First            "/>
    <s v="1969 cc "/>
    <s v="232 bhp @ 4250 rpm  "/>
    <n v="232"/>
    <n v="4.9530000000000003"/>
    <n v="2.008"/>
    <n v="1.776"/>
    <n v="7"/>
    <x v="1"/>
    <n v="71"/>
  </r>
  <r>
    <x v="14"/>
    <x v="943"/>
    <x v="1900"/>
    <n v="8500000"/>
    <x v="571"/>
    <x v="13"/>
    <x v="324"/>
    <x v="2"/>
    <x v="1"/>
    <x v="0"/>
    <s v="First            "/>
    <s v="2987 cc "/>
    <s v="255 bhp @ 3400 rpm  "/>
    <n v="255"/>
    <n v="5.13"/>
    <n v="1.9339999999999999"/>
    <n v="1.85"/>
    <n v="7"/>
    <x v="1"/>
    <n v="100"/>
  </r>
  <r>
    <x v="14"/>
    <x v="956"/>
    <x v="1901"/>
    <n v="8500000"/>
    <x v="571"/>
    <x v="12"/>
    <x v="798"/>
    <x v="0"/>
    <x v="1"/>
    <x v="8"/>
    <s v="First            "/>
    <s v="2996 cc "/>
    <s v="362 bhp @ 5500 rpm  "/>
    <n v="362"/>
    <n v="4.891"/>
    <n v="2.0030000000000001"/>
    <n v="1.7190000000000001"/>
    <n v="5"/>
    <x v="1"/>
    <n v="93"/>
  </r>
  <r>
    <x v="17"/>
    <x v="892"/>
    <x v="1902"/>
    <n v="8600000"/>
    <x v="572"/>
    <x v="14"/>
    <x v="799"/>
    <x v="2"/>
    <x v="1"/>
    <x v="7"/>
    <s v="First            "/>
    <s v="2993 cc "/>
    <s v="262 bhp @ 4000 rpm  "/>
    <n v="262"/>
    <n v="4.9219999999999997"/>
    <n v="2.004"/>
    <n v="1.7450000000000001"/>
    <n v="5"/>
    <x v="1"/>
    <n v="80"/>
  </r>
  <r>
    <x v="14"/>
    <x v="954"/>
    <x v="1903"/>
    <n v="8900000"/>
    <x v="573"/>
    <x v="15"/>
    <x v="393"/>
    <x v="2"/>
    <x v="1"/>
    <x v="8"/>
    <s v="First            "/>
    <s v="1950 cc "/>
    <s v="241 bhp @ 4200 rpm  "/>
    <n v="241"/>
    <n v="4.9240000000000004"/>
    <n v="2.157"/>
    <n v="1.772"/>
    <n v="5"/>
    <x v="1"/>
    <n v="93"/>
  </r>
  <r>
    <x v="27"/>
    <x v="957"/>
    <x v="1904"/>
    <n v="9000000"/>
    <x v="574"/>
    <x v="13"/>
    <x v="86"/>
    <x v="0"/>
    <x v="1"/>
    <x v="4"/>
    <s v="First            "/>
    <s v="1984 cc "/>
    <s v="248 bhp @ 5000 rpm  "/>
    <n v="248"/>
    <n v="4.6959999999999997"/>
    <n v="1.923"/>
    <n v="1.6240000000000001"/>
    <n v="5"/>
    <x v="1"/>
    <n v="65"/>
  </r>
  <r>
    <x v="29"/>
    <x v="958"/>
    <x v="1905"/>
    <n v="9000000"/>
    <x v="574"/>
    <x v="9"/>
    <x v="122"/>
    <x v="2"/>
    <x v="1"/>
    <x v="0"/>
    <s v="Second           "/>
    <s v="2979 cc "/>
    <s v="275 bhp @ 4000 rpm  "/>
    <n v="275"/>
    <n v="5.0049999999999999"/>
    <n v="1.9810000000000001"/>
    <n v="1.6930000000000001"/>
    <n v="5"/>
    <x v="1"/>
    <n v="80"/>
  </r>
  <r>
    <x v="27"/>
    <x v="959"/>
    <x v="1906"/>
    <n v="9000000"/>
    <x v="574"/>
    <x v="9"/>
    <x v="362"/>
    <x v="0"/>
    <x v="1"/>
    <x v="4"/>
    <s v="First            "/>
    <s v="1988 cc "/>
    <s v="295 bhp @ 6500 rpm  "/>
    <n v="295"/>
    <n v="4.3789999999999996"/>
    <n v="1.8009999999999999"/>
    <n v="1.2949999999999999"/>
    <n v="2"/>
    <x v="0"/>
    <n v="54"/>
  </r>
  <r>
    <x v="27"/>
    <x v="957"/>
    <x v="1907"/>
    <n v="9100000"/>
    <x v="575"/>
    <x v="16"/>
    <x v="393"/>
    <x v="0"/>
    <x v="1"/>
    <x v="7"/>
    <s v="First            "/>
    <s v="1984 cc "/>
    <s v="248 bhp @ 5000 rpm  "/>
    <n v="248"/>
    <n v="4.6959999999999997"/>
    <n v="1.923"/>
    <n v="1.6240000000000001"/>
    <n v="5"/>
    <x v="1"/>
    <n v="65"/>
  </r>
  <r>
    <x v="14"/>
    <x v="954"/>
    <x v="1908"/>
    <n v="9200000"/>
    <x v="576"/>
    <x v="16"/>
    <x v="349"/>
    <x v="2"/>
    <x v="1"/>
    <x v="7"/>
    <s v="First            "/>
    <s v="1950 cc "/>
    <s v="241 bhp @ 4200 rpm  "/>
    <n v="241"/>
    <n v="4.9240000000000004"/>
    <n v="2.157"/>
    <n v="1.772"/>
    <n v="5"/>
    <x v="1"/>
    <n v="93"/>
  </r>
  <r>
    <x v="27"/>
    <x v="960"/>
    <x v="1909"/>
    <n v="9300000"/>
    <x v="577"/>
    <x v="13"/>
    <x v="393"/>
    <x v="0"/>
    <x v="1"/>
    <x v="7"/>
    <s v="First            "/>
    <s v="3436 cc "/>
    <s v="325 bhp @ 7400 rpm  "/>
    <n v="325"/>
    <n v="4.4909999999999997"/>
    <n v="1.8520000000000001"/>
    <n v="1.304"/>
    <n v="4"/>
    <x v="0"/>
    <n v="68"/>
  </r>
  <r>
    <x v="14"/>
    <x v="954"/>
    <x v="1910"/>
    <n v="9390000"/>
    <x v="578"/>
    <x v="16"/>
    <x v="169"/>
    <x v="2"/>
    <x v="1"/>
    <x v="0"/>
    <s v="First            "/>
    <s v="1950 cc "/>
    <s v="241 bhp @ 4200 rpm  "/>
    <n v="241"/>
    <n v="4.9240000000000004"/>
    <n v="2.157"/>
    <n v="1.772"/>
    <n v="5"/>
    <x v="1"/>
    <n v="93"/>
  </r>
  <r>
    <x v="18"/>
    <x v="961"/>
    <x v="1911"/>
    <n v="9400000"/>
    <x v="579"/>
    <x v="16"/>
    <x v="657"/>
    <x v="0"/>
    <x v="1"/>
    <x v="8"/>
    <s v="First            "/>
    <s v="2995 cc "/>
    <s v="335 bhp @ 5200 rpm  "/>
    <n v="335"/>
    <n v="5.0640000000000001"/>
    <n v="1.97"/>
    <n v="1.7030000000000001"/>
    <n v="7"/>
    <x v="1"/>
    <n v="85"/>
  </r>
  <r>
    <x v="27"/>
    <x v="962"/>
    <x v="1912"/>
    <n v="9500000"/>
    <x v="580"/>
    <x v="12"/>
    <x v="42"/>
    <x v="0"/>
    <x v="1"/>
    <x v="16"/>
    <s v="First            "/>
    <s v="1988 cc "/>
    <s v="295 bhp @ 6500 rpm  "/>
    <n v="295"/>
    <n v="4.3789999999999996"/>
    <n v="1.8009999999999999"/>
    <n v="1.2809999999999999"/>
    <n v="2"/>
    <x v="0"/>
    <n v="54"/>
  </r>
  <r>
    <x v="18"/>
    <x v="963"/>
    <x v="1913"/>
    <n v="9900000"/>
    <x v="581"/>
    <x v="15"/>
    <x v="191"/>
    <x v="0"/>
    <x v="1"/>
    <x v="1"/>
    <s v="First            "/>
    <s v="2995 cc "/>
    <s v="335 bhp @ 5000 rpm  "/>
    <n v="335"/>
    <n v="4.9859999999999998"/>
    <n v="1.9950000000000001"/>
    <n v="1.7050000000000001"/>
    <n v="5"/>
    <x v="1"/>
    <n v="85"/>
  </r>
  <r>
    <x v="17"/>
    <x v="964"/>
    <x v="1914"/>
    <n v="10800000"/>
    <x v="582"/>
    <x v="15"/>
    <x v="42"/>
    <x v="0"/>
    <x v="1"/>
    <x v="4"/>
    <s v="First            "/>
    <s v="2998 cc "/>
    <s v="335 bhp @ 5500 rpm  "/>
    <n v="335"/>
    <n v="4.9349999999999996"/>
    <n v="2.004"/>
    <n v="1.696"/>
    <n v="5"/>
    <x v="1"/>
    <n v="83"/>
  </r>
  <r>
    <x v="27"/>
    <x v="962"/>
    <x v="1915"/>
    <n v="10900000"/>
    <x v="583"/>
    <x v="12"/>
    <x v="800"/>
    <x v="0"/>
    <x v="1"/>
    <x v="2"/>
    <s v="First            "/>
    <s v="1988 cc "/>
    <s v="295 bhp @ 6500 rpm  "/>
    <n v="295"/>
    <n v="4.3789999999999996"/>
    <n v="1.8009999999999999"/>
    <n v="1.2809999999999999"/>
    <n v="2"/>
    <x v="0"/>
    <n v="54"/>
  </r>
  <r>
    <x v="4"/>
    <x v="965"/>
    <x v="1916"/>
    <n v="11500000"/>
    <x v="584"/>
    <x v="16"/>
    <x v="458"/>
    <x v="4"/>
    <x v="1"/>
    <x v="8"/>
    <s v="First            "/>
    <s v="2494 cc "/>
    <s v="115 bhp @ 4700 rpm  "/>
    <n v="115"/>
    <n v="4.9349999999999996"/>
    <n v="1.85"/>
    <n v="1.895"/>
    <n v="7"/>
    <x v="1"/>
    <n v="58"/>
  </r>
  <r>
    <x v="14"/>
    <x v="966"/>
    <x v="1917"/>
    <n v="11500000"/>
    <x v="584"/>
    <x v="11"/>
    <x v="86"/>
    <x v="0"/>
    <x v="1"/>
    <x v="7"/>
    <s v="First            "/>
    <s v="4663 cc "/>
    <s v="453 bhp @ 5250 rpm  "/>
    <n v="453"/>
    <n v="5.4530000000000003"/>
    <n v="1.899"/>
    <n v="1.498"/>
    <n v="4"/>
    <x v="0"/>
    <n v="70"/>
  </r>
  <r>
    <x v="25"/>
    <x v="967"/>
    <x v="1918"/>
    <n v="12500000"/>
    <x v="585"/>
    <x v="16"/>
    <x v="801"/>
    <x v="0"/>
    <x v="1"/>
    <x v="0"/>
    <s v="First            "/>
    <s v="1997 cc "/>
    <s v="296 bhp @ 5500 rpm  "/>
    <n v="296"/>
    <n v="4.8789999999999996"/>
    <n v="2.073"/>
    <n v="1.8029999999999999"/>
    <n v="5"/>
    <x v="1"/>
    <n v="104"/>
  </r>
  <r>
    <x v="17"/>
    <x v="968"/>
    <x v="1919"/>
    <n v="12500000"/>
    <x v="585"/>
    <x v="15"/>
    <x v="602"/>
    <x v="0"/>
    <x v="1"/>
    <x v="0"/>
    <s v="First            "/>
    <s v="2998 cc "/>
    <s v="335 bhp @ 5500 rpm  "/>
    <n v="335"/>
    <n v="5.1509999999999998"/>
    <n v="2"/>
    <n v="1.8049999999999999"/>
    <n v="6"/>
    <x v="1"/>
    <n v="83"/>
  </r>
  <r>
    <x v="14"/>
    <x v="969"/>
    <x v="1920"/>
    <n v="12900000"/>
    <x v="586"/>
    <x v="15"/>
    <x v="802"/>
    <x v="2"/>
    <x v="1"/>
    <x v="0"/>
    <s v="First            "/>
    <s v="2925 cc "/>
    <s v="326 bhp @ 3600 rpm  "/>
    <n v="326"/>
    <n v="5.2069999999999999"/>
    <n v="2.157"/>
    <n v="1.823"/>
    <n v="7"/>
    <x v="1"/>
    <n v="90"/>
  </r>
  <r>
    <x v="14"/>
    <x v="969"/>
    <x v="1921"/>
    <n v="13000000"/>
    <x v="587"/>
    <x v="15"/>
    <x v="42"/>
    <x v="2"/>
    <x v="1"/>
    <x v="7"/>
    <s v="First            "/>
    <s v="2925 cc "/>
    <s v="326 bhp @ 3600 rpm  "/>
    <n v="326"/>
    <n v="5.2069999999999999"/>
    <n v="2.157"/>
    <n v="1.823"/>
    <n v="7"/>
    <x v="1"/>
    <n v="90"/>
  </r>
  <r>
    <x v="14"/>
    <x v="970"/>
    <x v="1922"/>
    <n v="13100000"/>
    <x v="588"/>
    <x v="15"/>
    <x v="79"/>
    <x v="0"/>
    <x v="1"/>
    <x v="0"/>
    <s v="First            "/>
    <s v="2999 cc "/>
    <s v="362 bhp @ 5500 rpm  "/>
    <n v="362"/>
    <n v="5.2069999999999999"/>
    <n v="2.157"/>
    <n v="1.823"/>
    <n v="7"/>
    <x v="1"/>
    <n v="90"/>
  </r>
  <r>
    <x v="27"/>
    <x v="971"/>
    <x v="1923"/>
    <n v="14900000"/>
    <x v="589"/>
    <x v="15"/>
    <x v="803"/>
    <x v="0"/>
    <x v="1"/>
    <x v="7"/>
    <s v="UnRegistered Car "/>
    <s v="2995 cc "/>
    <s v="335 bhp @ 5300 rpm  "/>
    <n v="335"/>
    <n v="4.9180000000000001"/>
    <n v="1.9830000000000001"/>
    <n v="1.696"/>
    <n v="5"/>
    <x v="1"/>
    <n v="75"/>
  </r>
  <r>
    <x v="27"/>
    <x v="972"/>
    <x v="1924"/>
    <n v="16200000"/>
    <x v="590"/>
    <x v="16"/>
    <x v="804"/>
    <x v="0"/>
    <x v="1"/>
    <x v="7"/>
    <s v="First            "/>
    <s v="2995 cc "/>
    <s v="335 bhp @ 5300 rpm  "/>
    <n v="335"/>
    <n v="4.931"/>
    <n v="1.9830000000000001"/>
    <n v="1.6759999999999999"/>
    <n v="4"/>
    <x v="0"/>
    <n v="75"/>
  </r>
  <r>
    <x v="30"/>
    <x v="973"/>
    <x v="1925"/>
    <n v="18000000"/>
    <x v="591"/>
    <x v="4"/>
    <x v="0"/>
    <x v="0"/>
    <x v="1"/>
    <x v="6"/>
    <s v="Second           "/>
    <s v="6592 cc "/>
    <s v="570 bhp @ 5250 rpm  "/>
    <n v="570"/>
    <n v="5.399"/>
    <n v="1.948"/>
    <n v="1.55"/>
    <n v="5"/>
    <x v="1"/>
    <n v="82.5"/>
  </r>
  <r>
    <x v="14"/>
    <x v="952"/>
    <x v="1926"/>
    <n v="18500000"/>
    <x v="592"/>
    <x v="15"/>
    <x v="537"/>
    <x v="2"/>
    <x v="1"/>
    <x v="0"/>
    <s v="UnRegistered Car "/>
    <s v="2925 cc "/>
    <s v="282 bhp @ 3600 rpm  "/>
    <n v="282"/>
    <n v="5.2460000000000004"/>
    <n v="1.899"/>
    <n v="1.494"/>
    <n v="5"/>
    <x v="1"/>
    <n v="70"/>
  </r>
  <r>
    <x v="14"/>
    <x v="974"/>
    <x v="1927"/>
    <n v="18500000"/>
    <x v="592"/>
    <x v="15"/>
    <x v="157"/>
    <x v="0"/>
    <x v="1"/>
    <x v="8"/>
    <s v="First            "/>
    <s v="3982 cc "/>
    <s v="463 bhp @ 5250 rpm  "/>
    <n v="463"/>
    <n v="5.4619999999999997"/>
    <n v="1.899"/>
    <n v="1.498"/>
    <n v="4"/>
    <x v="0"/>
    <n v="70"/>
  </r>
  <r>
    <x v="25"/>
    <x v="975"/>
    <x v="1928"/>
    <n v="19300000"/>
    <x v="593"/>
    <x v="13"/>
    <x v="30"/>
    <x v="2"/>
    <x v="1"/>
    <x v="8"/>
    <s v="First            "/>
    <s v="2993 cc "/>
    <s v="244 bhp @ 4000 rpm  "/>
    <n v="244"/>
    <n v="4.9989999999999997"/>
    <n v="2.2200000000000002"/>
    <n v="1.835"/>
    <n v="5"/>
    <x v="1"/>
    <n v="105"/>
  </r>
  <r>
    <x v="14"/>
    <x v="976"/>
    <x v="1929"/>
    <n v="20000000"/>
    <x v="594"/>
    <x v="15"/>
    <x v="472"/>
    <x v="0"/>
    <x v="1"/>
    <x v="0"/>
    <s v="First            "/>
    <s v="2996 cc "/>
    <s v="362 bhp @ 5250 rpm  "/>
    <n v="362"/>
    <n v="5.2460000000000004"/>
    <n v="1.899"/>
    <n v="1.494"/>
    <n v="5"/>
    <x v="1"/>
    <n v="80"/>
  </r>
  <r>
    <x v="30"/>
    <x v="977"/>
    <x v="1930"/>
    <n v="20000000"/>
    <x v="594"/>
    <x v="4"/>
    <x v="86"/>
    <x v="0"/>
    <x v="1"/>
    <x v="7"/>
    <s v="Third            "/>
    <s v="6592 cc "/>
    <s v="570 bhp @ 5250 rpm  "/>
    <n v="570"/>
    <n v="5.569"/>
    <n v="1.948"/>
    <n v="1.55"/>
    <n v="5"/>
    <x v="1"/>
    <n v="82.5"/>
  </r>
  <r>
    <x v="30"/>
    <x v="977"/>
    <x v="1931"/>
    <n v="20000000"/>
    <x v="594"/>
    <x v="1"/>
    <x v="17"/>
    <x v="0"/>
    <x v="1"/>
    <x v="0"/>
    <s v="Third            "/>
    <s v="6592 cc "/>
    <s v="570 bhp @ 5250 rpm  "/>
    <n v="570"/>
    <n v="5.569"/>
    <n v="1.948"/>
    <n v="1.55"/>
    <n v="5"/>
    <x v="1"/>
    <n v="82.5"/>
  </r>
  <r>
    <x v="25"/>
    <x v="975"/>
    <x v="1932"/>
    <n v="22000000"/>
    <x v="595"/>
    <x v="13"/>
    <x v="56"/>
    <x v="2"/>
    <x v="1"/>
    <x v="7"/>
    <s v="First            "/>
    <s v="2993 cc "/>
    <s v="244 bhp @ 4000 rpm  "/>
    <n v="244"/>
    <n v="4.9989999999999997"/>
    <n v="2.2200000000000002"/>
    <n v="1.835"/>
    <n v="5"/>
    <x v="1"/>
    <n v="105"/>
  </r>
  <r>
    <x v="25"/>
    <x v="978"/>
    <x v="1933"/>
    <n v="27500000"/>
    <x v="596"/>
    <x v="14"/>
    <x v="421"/>
    <x v="2"/>
    <x v="1"/>
    <x v="0"/>
    <s v="Second           "/>
    <s v="2993 cc "/>
    <s v="244 bhp @ 4000 rpm  "/>
    <n v="244"/>
    <n v="5.1989999999999998"/>
    <n v="2.2200000000000002"/>
    <n v="1.84"/>
    <n v="4"/>
    <x v="0"/>
    <n v="105"/>
  </r>
  <r>
    <x v="31"/>
    <x v="979"/>
    <x v="1934"/>
    <n v="35000000"/>
    <x v="597"/>
    <x v="12"/>
    <x v="602"/>
    <x v="0"/>
    <x v="1"/>
    <x v="8"/>
    <s v="First            "/>
    <s v="3902 cc "/>
    <s v="660 bhp @ 8000 rpm  "/>
    <n v="660"/>
    <n v="4.5679999999999996"/>
    <n v="1.952"/>
    <n v="1.2130000000000001"/>
    <n v="2"/>
    <x v="0"/>
    <n v="7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77C52C-7F7E-4815-8E4F-7F4535873C03}" name="TablaDinámica1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 rowHeaderCaption="Precios">
  <location ref="B91:F103" firstHeaderRow="0" firstDataRow="1" firstDataCol="1"/>
  <pivotFields count="20">
    <pivotField showAll="0">
      <items count="33">
        <item x="18"/>
        <item x="17"/>
        <item x="6"/>
        <item x="7"/>
        <item x="31"/>
        <item x="10"/>
        <item x="3"/>
        <item x="5"/>
        <item x="1"/>
        <item x="24"/>
        <item x="26"/>
        <item x="20"/>
        <item x="21"/>
        <item x="25"/>
        <item x="28"/>
        <item x="8"/>
        <item x="2"/>
        <item x="29"/>
        <item x="14"/>
        <item x="23"/>
        <item x="22"/>
        <item x="15"/>
        <item x="12"/>
        <item x="27"/>
        <item x="11"/>
        <item x="30"/>
        <item x="9"/>
        <item x="16"/>
        <item x="0"/>
        <item x="4"/>
        <item x="13"/>
        <item x="19"/>
        <item t="default"/>
      </items>
    </pivotField>
    <pivotField showAll="0">
      <items count="981">
        <item x="882"/>
        <item x="897"/>
        <item x="660"/>
        <item x="717"/>
        <item x="665"/>
        <item x="839"/>
        <item x="867"/>
        <item x="979"/>
        <item x="736"/>
        <item x="784"/>
        <item x="825"/>
        <item x="466"/>
        <item x="847"/>
        <item x="626"/>
        <item x="951"/>
        <item x="703"/>
        <item x="919"/>
        <item x="891"/>
        <item x="909"/>
        <item x="962"/>
        <item x="959"/>
        <item x="927"/>
        <item x="944"/>
        <item x="960"/>
        <item x="745"/>
        <item x="655"/>
        <item x="663"/>
        <item x="792"/>
        <item x="689"/>
        <item x="779"/>
        <item x="738"/>
        <item x="812"/>
        <item x="573"/>
        <item x="661"/>
        <item x="563"/>
        <item x="623"/>
        <item x="890"/>
        <item x="848"/>
        <item x="767"/>
        <item x="860"/>
        <item x="690"/>
        <item x="809"/>
        <item x="883"/>
        <item x="622"/>
        <item x="672"/>
        <item x="948"/>
        <item x="715"/>
        <item x="771"/>
        <item x="673"/>
        <item x="841"/>
        <item x="915"/>
        <item x="826"/>
        <item x="903"/>
        <item x="181"/>
        <item x="241"/>
        <item x="654"/>
        <item x="750"/>
        <item x="881"/>
        <item x="880"/>
        <item x="729"/>
        <item x="749"/>
        <item x="782"/>
        <item x="806"/>
        <item x="92"/>
        <item x="34"/>
        <item x="216"/>
        <item x="61"/>
        <item x="20"/>
        <item x="83"/>
        <item x="140"/>
        <item x="81"/>
        <item x="6"/>
        <item x="12"/>
        <item x="121"/>
        <item x="23"/>
        <item x="168"/>
        <item x="14"/>
        <item x="62"/>
        <item x="202"/>
        <item x="146"/>
        <item x="333"/>
        <item x="835"/>
        <item x="402"/>
        <item x="415"/>
        <item x="171"/>
        <item x="405"/>
        <item x="174"/>
        <item x="248"/>
        <item x="379"/>
        <item x="214"/>
        <item x="490"/>
        <item x="209"/>
        <item x="269"/>
        <item x="444"/>
        <item x="198"/>
        <item x="89"/>
        <item x="138"/>
        <item x="553"/>
        <item x="275"/>
        <item x="523"/>
        <item x="372"/>
        <item x="329"/>
        <item x="208"/>
        <item x="228"/>
        <item x="419"/>
        <item x="739"/>
        <item x="692"/>
        <item x="458"/>
        <item x="363"/>
        <item x="351"/>
        <item x="408"/>
        <item x="479"/>
        <item x="253"/>
        <item x="325"/>
        <item x="307"/>
        <item x="243"/>
        <item x="318"/>
        <item x="407"/>
        <item x="435"/>
        <item x="615"/>
        <item x="614"/>
        <item x="47"/>
        <item x="283"/>
        <item x="158"/>
        <item x="116"/>
        <item x="103"/>
        <item x="139"/>
        <item x="126"/>
        <item x="460"/>
        <item x="801"/>
        <item x="700"/>
        <item x="239"/>
        <item x="845"/>
        <item x="971"/>
        <item x="972"/>
        <item x="917"/>
        <item x="916"/>
        <item x="866"/>
        <item x="652"/>
        <item x="562"/>
        <item x="914"/>
        <item x="258"/>
        <item x="412"/>
        <item x="605"/>
        <item x="793"/>
        <item x="901"/>
        <item x="811"/>
        <item x="861"/>
        <item x="836"/>
        <item x="913"/>
        <item x="950"/>
        <item x="905"/>
        <item x="932"/>
        <item x="908"/>
        <item x="947"/>
        <item x="91"/>
        <item x="75"/>
        <item x="321"/>
        <item x="271"/>
        <item x="295"/>
        <item x="120"/>
        <item x="203"/>
        <item x="251"/>
        <item x="270"/>
        <item x="190"/>
        <item x="172"/>
        <item x="242"/>
        <item x="382"/>
        <item x="331"/>
        <item x="222"/>
        <item x="451"/>
        <item x="497"/>
        <item x="542"/>
        <item x="503"/>
        <item x="357"/>
        <item x="324"/>
        <item x="543"/>
        <item x="462"/>
        <item x="512"/>
        <item x="341"/>
        <item x="404"/>
        <item x="375"/>
        <item x="348"/>
        <item x="273"/>
        <item x="297"/>
        <item x="381"/>
        <item x="378"/>
        <item x="587"/>
        <item x="459"/>
        <item x="416"/>
        <item x="327"/>
        <item x="148"/>
        <item x="66"/>
        <item x="65"/>
        <item x="60"/>
        <item x="78"/>
        <item x="24"/>
        <item x="219"/>
        <item x="264"/>
        <item x="72"/>
        <item x="432"/>
        <item x="508"/>
        <item x="342"/>
        <item x="199"/>
        <item x="246"/>
        <item x="471"/>
        <item x="289"/>
        <item x="549"/>
        <item x="388"/>
        <item x="306"/>
        <item x="349"/>
        <item x="527"/>
        <item x="427"/>
        <item x="662"/>
        <item x="579"/>
        <item x="513"/>
        <item x="668"/>
        <item x="612"/>
        <item x="674"/>
        <item x="26"/>
        <item x="98"/>
        <item x="776"/>
        <item x="838"/>
        <item x="945"/>
        <item x="636"/>
        <item x="798"/>
        <item x="586"/>
        <item x="656"/>
        <item x="634"/>
        <item x="669"/>
        <item x="815"/>
        <item x="733"/>
        <item x="760"/>
        <item x="830"/>
        <item x="843"/>
        <item x="728"/>
        <item x="855"/>
        <item x="765"/>
        <item x="912"/>
        <item x="851"/>
        <item x="127"/>
        <item x="534"/>
        <item x="221"/>
        <item x="536"/>
        <item x="421"/>
        <item x="591"/>
        <item x="601"/>
        <item x="646"/>
        <item x="873"/>
        <item x="496"/>
        <item x="594"/>
        <item x="456"/>
        <item x="658"/>
        <item x="514"/>
        <item x="525"/>
        <item x="533"/>
        <item x="557"/>
        <item x="620"/>
        <item x="493"/>
        <item x="506"/>
        <item x="528"/>
        <item x="600"/>
        <item x="731"/>
        <item x="705"/>
        <item x="772"/>
        <item x="727"/>
        <item x="761"/>
        <item x="699"/>
        <item x="762"/>
        <item x="606"/>
        <item x="629"/>
        <item x="590"/>
        <item x="524"/>
        <item x="559"/>
        <item x="521"/>
        <item x="584"/>
        <item x="478"/>
        <item x="106"/>
        <item x="240"/>
        <item x="611"/>
        <item x="67"/>
        <item x="837"/>
        <item x="888"/>
        <item x="850"/>
        <item x="898"/>
        <item x="907"/>
        <item x="938"/>
        <item x="904"/>
        <item x="929"/>
        <item x="946"/>
        <item x="426"/>
        <item x="476"/>
        <item x="187"/>
        <item x="425"/>
        <item x="218"/>
        <item x="183"/>
        <item x="195"/>
        <item x="82"/>
        <item x="558"/>
        <item x="374"/>
        <item x="355"/>
        <item x="531"/>
        <item x="314"/>
        <item x="345"/>
        <item x="434"/>
        <item x="406"/>
        <item x="373"/>
        <item x="423"/>
        <item x="437"/>
        <item x="554"/>
        <item x="454"/>
        <item x="122"/>
        <item x="808"/>
        <item x="651"/>
        <item x="940"/>
        <item x="926"/>
        <item x="911"/>
        <item x="884"/>
        <item x="796"/>
        <item x="935"/>
        <item x="552"/>
        <item x="714"/>
        <item x="642"/>
        <item x="737"/>
        <item x="518"/>
        <item x="564"/>
        <item x="616"/>
        <item x="215"/>
        <item x="237"/>
        <item x="418"/>
        <item x="519"/>
        <item x="292"/>
        <item x="304"/>
        <item x="328"/>
        <item x="368"/>
        <item x="293"/>
        <item x="441"/>
        <item x="84"/>
        <item x="230"/>
        <item x="108"/>
        <item x="119"/>
        <item x="391"/>
        <item x="344"/>
        <item x="224"/>
        <item x="371"/>
        <item x="369"/>
        <item x="298"/>
        <item x="390"/>
        <item x="675"/>
        <item x="621"/>
        <item x="582"/>
        <item x="610"/>
        <item x="285"/>
        <item x="430"/>
        <item x="400"/>
        <item x="468"/>
        <item x="593"/>
        <item x="317"/>
        <item x="431"/>
        <item x="294"/>
        <item x="286"/>
        <item x="340"/>
        <item x="403"/>
        <item x="350"/>
        <item x="347"/>
        <item x="359"/>
        <item x="392"/>
        <item x="488"/>
        <item x="443"/>
        <item x="319"/>
        <item x="360"/>
        <item x="335"/>
        <item x="507"/>
        <item x="516"/>
        <item x="874"/>
        <item x="870"/>
        <item x="777"/>
        <item x="854"/>
        <item x="802"/>
        <item x="57"/>
        <item x="142"/>
        <item x="69"/>
        <item x="35"/>
        <item x="22"/>
        <item x="110"/>
        <item x="37"/>
        <item x="491"/>
        <item x="197"/>
        <item x="500"/>
        <item x="364"/>
        <item x="481"/>
        <item x="417"/>
        <item x="386"/>
        <item x="365"/>
        <item x="473"/>
        <item x="566"/>
        <item x="632"/>
        <item x="452"/>
        <item x="875"/>
        <item x="900"/>
        <item x="38"/>
        <item x="5"/>
        <item x="48"/>
        <item x="207"/>
        <item x="117"/>
        <item x="95"/>
        <item x="104"/>
        <item x="267"/>
        <item x="252"/>
        <item x="77"/>
        <item x="233"/>
        <item x="800"/>
        <item x="871"/>
        <item x="818"/>
        <item x="786"/>
        <item x="863"/>
        <item x="939"/>
        <item x="925"/>
        <item x="41"/>
        <item x="88"/>
        <item x="137"/>
        <item x="80"/>
        <item x="59"/>
        <item x="58"/>
        <item x="44"/>
        <item x="336"/>
        <item x="235"/>
        <item x="167"/>
        <item x="822"/>
        <item x="846"/>
        <item x="828"/>
        <item x="592"/>
        <item x="633"/>
        <item x="735"/>
        <item x="627"/>
        <item x="465"/>
        <item x="670"/>
        <item x="889"/>
        <item x="973"/>
        <item x="977"/>
        <item x="710"/>
        <item x="730"/>
        <item x="746"/>
        <item x="819"/>
        <item x="720"/>
        <item x="794"/>
        <item x="429"/>
        <item x="484"/>
        <item x="455"/>
        <item x="941"/>
        <item x="859"/>
        <item x="937"/>
        <item x="910"/>
        <item x="804"/>
        <item x="886"/>
        <item x="954"/>
        <item x="906"/>
        <item x="956"/>
        <item x="865"/>
        <item x="877"/>
        <item x="943"/>
        <item x="928"/>
        <item x="969"/>
        <item x="970"/>
        <item x="56"/>
        <item x="123"/>
        <item x="79"/>
        <item x="132"/>
        <item x="261"/>
        <item x="260"/>
        <item x="164"/>
        <item x="399"/>
        <item x="211"/>
        <item x="170"/>
        <item x="309"/>
        <item x="213"/>
        <item x="302"/>
        <item x="124"/>
        <item x="346"/>
        <item x="446"/>
        <item x="469"/>
        <item x="433"/>
        <item x="354"/>
        <item x="147"/>
        <item x="194"/>
        <item x="155"/>
        <item x="178"/>
        <item x="231"/>
        <item x="130"/>
        <item x="32"/>
        <item x="764"/>
        <item x="734"/>
        <item x="721"/>
        <item x="783"/>
        <item x="799"/>
        <item x="774"/>
        <item x="797"/>
        <item x="756"/>
        <item x="763"/>
        <item x="707"/>
        <item x="732"/>
        <item x="704"/>
        <item x="741"/>
        <item x="572"/>
        <item x="517"/>
        <item x="585"/>
        <item x="631"/>
        <item x="74"/>
        <item x="163"/>
        <item x="113"/>
        <item x="4"/>
        <item x="46"/>
        <item x="17"/>
        <item x="11"/>
        <item x="45"/>
        <item x="16"/>
        <item x="40"/>
        <item x="28"/>
        <item x="25"/>
        <item x="125"/>
        <item x="71"/>
        <item x="290"/>
        <item x="315"/>
        <item x="300"/>
        <item x="296"/>
        <item x="53"/>
        <item x="102"/>
        <item x="210"/>
        <item x="225"/>
        <item x="159"/>
        <item x="99"/>
        <item x="129"/>
        <item x="156"/>
        <item x="143"/>
        <item x="316"/>
        <item x="278"/>
        <item x="10"/>
        <item x="312"/>
        <item x="330"/>
        <item x="691"/>
        <item x="759"/>
        <item x="667"/>
        <item x="773"/>
        <item x="726"/>
        <item x="832"/>
        <item x="13"/>
        <item x="461"/>
        <item x="547"/>
        <item x="387"/>
        <item x="522"/>
        <item x="538"/>
        <item x="393"/>
        <item x="643"/>
        <item x="570"/>
        <item x="766"/>
        <item x="769"/>
        <item x="743"/>
        <item x="696"/>
        <item x="788"/>
        <item x="753"/>
        <item x="810"/>
        <item x="840"/>
        <item x="824"/>
        <item x="30"/>
        <item x="277"/>
        <item x="262"/>
        <item x="301"/>
        <item x="288"/>
        <item x="180"/>
        <item x="483"/>
        <item x="326"/>
        <item x="498"/>
        <item x="574"/>
        <item x="706"/>
        <item x="701"/>
        <item x="259"/>
        <item x="145"/>
        <item x="76"/>
        <item x="200"/>
        <item x="151"/>
        <item x="152"/>
        <item x="101"/>
        <item x="68"/>
        <item x="150"/>
        <item x="958"/>
        <item x="54"/>
        <item x="957"/>
        <item x="949"/>
        <item x="370"/>
        <item x="1"/>
        <item x="583"/>
        <item x="680"/>
        <item x="787"/>
        <item x="795"/>
        <item x="814"/>
        <item x="256"/>
        <item x="420"/>
        <item x="245"/>
        <item x="953"/>
        <item x="744"/>
        <item x="0"/>
        <item x="463"/>
        <item x="448"/>
        <item x="337"/>
        <item x="520"/>
        <item x="580"/>
        <item x="544"/>
        <item x="532"/>
        <item x="893"/>
        <item x="718"/>
        <item x="687"/>
        <item x="650"/>
        <item x="664"/>
        <item x="617"/>
        <item x="862"/>
        <item x="502"/>
        <item x="678"/>
        <item x="649"/>
        <item x="775"/>
        <item x="367"/>
        <item x="268"/>
        <item x="153"/>
        <item x="133"/>
        <item x="109"/>
        <item x="279"/>
        <item x="548"/>
        <item x="447"/>
        <item x="136"/>
        <item x="111"/>
        <item x="377"/>
        <item x="439"/>
        <item x="128"/>
        <item x="535"/>
        <item x="154"/>
        <item x="864"/>
        <item x="844"/>
        <item x="657"/>
        <item x="648"/>
        <item x="770"/>
        <item x="740"/>
        <item x="712"/>
        <item x="671"/>
        <item x="781"/>
        <item x="853"/>
        <item x="785"/>
        <item x="748"/>
        <item x="725"/>
        <item x="682"/>
        <item x="829"/>
        <item x="505"/>
        <item x="896"/>
        <item x="921"/>
        <item x="856"/>
        <item x="813"/>
        <item x="791"/>
        <item x="816"/>
        <item x="902"/>
        <item x="869"/>
        <item x="961"/>
        <item x="963"/>
        <item x="64"/>
        <item x="55"/>
        <item x="975"/>
        <item x="978"/>
        <item x="918"/>
        <item x="924"/>
        <item x="931"/>
        <item x="967"/>
        <item x="263"/>
        <item x="529"/>
        <item x="186"/>
        <item x="135"/>
        <item x="185"/>
        <item x="265"/>
        <item x="530"/>
        <item x="539"/>
        <item x="609"/>
        <item x="817"/>
        <item x="107"/>
        <item x="70"/>
        <item x="31"/>
        <item x="541"/>
        <item x="411"/>
        <item x="15"/>
        <item x="3"/>
        <item x="63"/>
        <item x="115"/>
        <item x="842"/>
        <item x="568"/>
        <item x="930"/>
        <item x="885"/>
        <item x="149"/>
        <item x="457"/>
        <item x="790"/>
        <item x="323"/>
        <item x="757"/>
        <item x="805"/>
        <item x="96"/>
        <item x="504"/>
        <item x="396"/>
        <item x="182"/>
        <item x="8"/>
        <item x="2"/>
        <item x="73"/>
        <item x="7"/>
        <item x="272"/>
        <item x="311"/>
        <item x="274"/>
        <item x="205"/>
        <item x="232"/>
        <item x="19"/>
        <item x="467"/>
        <item x="683"/>
        <item x="754"/>
        <item x="716"/>
        <item x="966"/>
        <item x="974"/>
        <item x="920"/>
        <item x="952"/>
        <item x="976"/>
        <item x="758"/>
        <item x="305"/>
        <item x="144"/>
        <item x="410"/>
        <item x="477"/>
        <item x="637"/>
        <item x="659"/>
        <item x="398"/>
        <item x="608"/>
        <item x="550"/>
        <item x="694"/>
        <item x="618"/>
        <item x="598"/>
        <item x="565"/>
        <item x="638"/>
        <item x="177"/>
        <item x="220"/>
        <item x="356"/>
        <item x="338"/>
        <item x="489"/>
        <item x="343"/>
        <item x="362"/>
        <item x="414"/>
        <item x="555"/>
        <item x="492"/>
        <item x="695"/>
        <item x="751"/>
        <item x="681"/>
        <item x="747"/>
        <item x="647"/>
        <item x="688"/>
        <item x="709"/>
        <item x="676"/>
        <item x="640"/>
        <item x="639"/>
        <item x="653"/>
        <item x="807"/>
        <item x="42"/>
        <item x="588"/>
        <item x="625"/>
        <item x="679"/>
        <item x="27"/>
        <item x="201"/>
        <item x="188"/>
        <item x="236"/>
        <item x="358"/>
        <item x="189"/>
        <item x="105"/>
        <item x="114"/>
        <item x="486"/>
        <item x="820"/>
        <item x="686"/>
        <item x="857"/>
        <item x="713"/>
        <item x="247"/>
        <item x="87"/>
        <item x="184"/>
        <item x="18"/>
        <item x="49"/>
        <item x="352"/>
        <item x="308"/>
        <item x="397"/>
        <item x="112"/>
        <item x="299"/>
        <item x="100"/>
        <item x="227"/>
        <item x="442"/>
        <item x="85"/>
        <item x="438"/>
        <item x="86"/>
        <item x="97"/>
        <item x="226"/>
        <item x="192"/>
        <item x="339"/>
        <item x="234"/>
        <item x="436"/>
        <item x="509"/>
        <item x="480"/>
        <item x="21"/>
        <item x="90"/>
        <item x="684"/>
        <item x="196"/>
        <item x="332"/>
        <item x="166"/>
        <item x="303"/>
        <item x="395"/>
        <item x="724"/>
        <item x="693"/>
        <item x="752"/>
        <item x="366"/>
        <item x="280"/>
        <item x="755"/>
        <item x="723"/>
        <item x="722"/>
        <item x="677"/>
        <item x="711"/>
        <item x="685"/>
        <item x="287"/>
        <item x="173"/>
        <item x="179"/>
        <item x="160"/>
        <item x="254"/>
        <item x="217"/>
        <item x="313"/>
        <item x="244"/>
        <item x="255"/>
        <item x="157"/>
        <item x="487"/>
        <item x="858"/>
        <item x="778"/>
        <item x="879"/>
        <item x="702"/>
        <item x="780"/>
        <item x="697"/>
        <item x="742"/>
        <item x="482"/>
        <item x="380"/>
        <item x="401"/>
        <item x="322"/>
        <item x="361"/>
        <item x="578"/>
        <item x="635"/>
        <item x="630"/>
        <item x="719"/>
        <item x="936"/>
        <item x="965"/>
        <item x="424"/>
        <item x="204"/>
        <item x="141"/>
        <item x="472"/>
        <item x="628"/>
        <item x="134"/>
        <item x="422"/>
        <item x="175"/>
        <item x="475"/>
        <item x="546"/>
        <item x="394"/>
        <item x="464"/>
        <item x="581"/>
        <item x="595"/>
        <item x="569"/>
        <item x="540"/>
        <item x="576"/>
        <item x="604"/>
        <item x="589"/>
        <item x="383"/>
        <item x="510"/>
        <item x="257"/>
        <item x="389"/>
        <item x="619"/>
        <item x="474"/>
        <item x="249"/>
        <item x="320"/>
        <item x="50"/>
        <item x="281"/>
        <item x="165"/>
        <item x="353"/>
        <item x="161"/>
        <item x="238"/>
        <item x="501"/>
        <item x="561"/>
        <item x="596"/>
        <item x="613"/>
        <item x="409"/>
        <item x="445"/>
        <item x="385"/>
        <item x="537"/>
        <item x="511"/>
        <item x="450"/>
        <item x="449"/>
        <item x="575"/>
        <item x="384"/>
        <item x="577"/>
        <item x="29"/>
        <item x="39"/>
        <item x="282"/>
        <item x="413"/>
        <item x="276"/>
        <item x="131"/>
        <item x="43"/>
        <item x="93"/>
        <item x="51"/>
        <item x="9"/>
        <item x="52"/>
        <item x="223"/>
        <item x="310"/>
        <item x="94"/>
        <item x="162"/>
        <item x="440"/>
        <item x="934"/>
        <item x="485"/>
        <item x="376"/>
        <item x="470"/>
        <item x="334"/>
        <item x="852"/>
        <item x="803"/>
        <item x="789"/>
        <item x="878"/>
        <item x="827"/>
        <item x="887"/>
        <item x="872"/>
        <item x="599"/>
        <item x="895"/>
        <item x="942"/>
        <item x="933"/>
        <item x="666"/>
        <item x="892"/>
        <item x="964"/>
        <item x="968"/>
        <item x="876"/>
        <item x="894"/>
        <item x="768"/>
        <item x="923"/>
        <item x="955"/>
        <item x="212"/>
        <item x="169"/>
        <item x="229"/>
        <item x="176"/>
        <item x="193"/>
        <item x="284"/>
        <item x="33"/>
        <item x="206"/>
        <item x="831"/>
        <item x="899"/>
        <item x="868"/>
        <item x="823"/>
        <item x="922"/>
        <item x="849"/>
        <item x="624"/>
        <item x="644"/>
        <item x="560"/>
        <item x="545"/>
        <item x="645"/>
        <item x="551"/>
        <item x="567"/>
        <item x="556"/>
        <item x="453"/>
        <item x="641"/>
        <item x="708"/>
        <item x="698"/>
        <item x="495"/>
        <item x="603"/>
        <item x="494"/>
        <item x="266"/>
        <item x="602"/>
        <item x="250"/>
        <item x="515"/>
        <item x="428"/>
        <item x="499"/>
        <item x="571"/>
        <item x="607"/>
        <item x="821"/>
        <item x="833"/>
        <item x="834"/>
        <item x="36"/>
        <item x="118"/>
        <item x="526"/>
        <item x="597"/>
        <item x="291"/>
        <item x="191"/>
        <item t="default"/>
      </items>
    </pivotField>
    <pivotField axis="axisRow" showAll="0">
      <items count="1936">
        <item x="976"/>
        <item x="1099"/>
        <item x="1117"/>
        <item x="1202"/>
        <item x="1203"/>
        <item x="1255"/>
        <item x="1263"/>
        <item x="1271"/>
        <item x="1270"/>
        <item x="1268"/>
        <item x="1279"/>
        <item x="1281"/>
        <item x="1285"/>
        <item x="1284"/>
        <item x="1293"/>
        <item x="1296"/>
        <item x="1305"/>
        <item x="1304"/>
        <item x="1303"/>
        <item x="1321"/>
        <item x="1322"/>
        <item x="1332"/>
        <item x="1335"/>
        <item x="1339"/>
        <item x="1341"/>
        <item x="1353"/>
        <item x="1351"/>
        <item x="1380"/>
        <item x="1374"/>
        <item x="1377"/>
        <item x="1385"/>
        <item x="1391"/>
        <item x="1398"/>
        <item x="1421"/>
        <item x="1424"/>
        <item x="1423"/>
        <item x="1431"/>
        <item x="1434"/>
        <item x="1436"/>
        <item x="1443"/>
        <item x="1449"/>
        <item x="1450"/>
        <item x="1459"/>
        <item x="1474"/>
        <item x="1475"/>
        <item x="1479"/>
        <item x="1484"/>
        <item x="1498"/>
        <item x="1504"/>
        <item x="1510"/>
        <item x="1515"/>
        <item x="1516"/>
        <item x="1522"/>
        <item x="1523"/>
        <item x="1525"/>
        <item x="1543"/>
        <item x="1544"/>
        <item x="1554"/>
        <item x="1555"/>
        <item x="1556"/>
        <item x="1557"/>
        <item x="1559"/>
        <item x="1565"/>
        <item x="1563"/>
        <item x="1568"/>
        <item x="1569"/>
        <item x="1579"/>
        <item x="1577"/>
        <item x="1581"/>
        <item x="1583"/>
        <item x="1586"/>
        <item x="1587"/>
        <item x="1597"/>
        <item x="1616"/>
        <item x="1627"/>
        <item x="1632"/>
        <item x="1634"/>
        <item x="1628"/>
        <item x="1630"/>
        <item x="1629"/>
        <item x="1639"/>
        <item x="1636"/>
        <item x="1635"/>
        <item x="1646"/>
        <item x="1648"/>
        <item x="1649"/>
        <item x="1654"/>
        <item x="1668"/>
        <item x="1676"/>
        <item x="1685"/>
        <item x="1683"/>
        <item x="1689"/>
        <item x="1694"/>
        <item x="1707"/>
        <item x="1709"/>
        <item x="1712"/>
        <item x="1726"/>
        <item x="1736"/>
        <item x="1743"/>
        <item x="1746"/>
        <item x="1754"/>
        <item x="1759"/>
        <item x="1758"/>
        <item x="1768"/>
        <item x="1776"/>
        <item x="1794"/>
        <item x="1795"/>
        <item x="1805"/>
        <item x="1811"/>
        <item x="1816"/>
        <item x="1825"/>
        <item x="1826"/>
        <item x="1830"/>
        <item x="1835"/>
        <item x="1837"/>
        <item x="1867"/>
        <item x="1880"/>
        <item x="1911"/>
        <item x="1913"/>
        <item x="898"/>
        <item x="1166"/>
        <item x="1213"/>
        <item x="1280"/>
        <item x="1288"/>
        <item x="1294"/>
        <item x="1295"/>
        <item x="1306"/>
        <item x="1348"/>
        <item x="1363"/>
        <item x="1384"/>
        <item x="1388"/>
        <item x="1419"/>
        <item x="1437"/>
        <item x="1476"/>
        <item x="1508"/>
        <item x="1519"/>
        <item x="1536"/>
        <item x="1546"/>
        <item x="1578"/>
        <item x="1584"/>
        <item x="1585"/>
        <item x="1593"/>
        <item x="1591"/>
        <item x="1592"/>
        <item x="1598"/>
        <item x="1608"/>
        <item x="1611"/>
        <item x="1614"/>
        <item x="1620"/>
        <item x="1621"/>
        <item x="1633"/>
        <item x="1638"/>
        <item x="1643"/>
        <item x="1644"/>
        <item x="1647"/>
        <item x="1655"/>
        <item x="1667"/>
        <item x="1674"/>
        <item x="1684"/>
        <item x="1682"/>
        <item x="1706"/>
        <item x="1708"/>
        <item x="1714"/>
        <item x="1715"/>
        <item x="1718"/>
        <item x="1719"/>
        <item x="1724"/>
        <item x="1734"/>
        <item x="1740"/>
        <item x="1742"/>
        <item x="1749"/>
        <item x="1761"/>
        <item x="1762"/>
        <item x="1764"/>
        <item x="1766"/>
        <item x="1771"/>
        <item x="1773"/>
        <item x="1775"/>
        <item x="1777"/>
        <item x="1779"/>
        <item x="1778"/>
        <item x="1782"/>
        <item x="1787"/>
        <item x="1788"/>
        <item x="1791"/>
        <item x="1792"/>
        <item x="1796"/>
        <item x="1803"/>
        <item x="1804"/>
        <item x="1813"/>
        <item x="1815"/>
        <item x="1823"/>
        <item x="1827"/>
        <item x="1829"/>
        <item x="1832"/>
        <item x="1842"/>
        <item x="1844"/>
        <item x="1847"/>
        <item x="1851"/>
        <item x="1854"/>
        <item x="1857"/>
        <item x="1866"/>
        <item x="1869"/>
        <item x="1873"/>
        <item x="1890"/>
        <item x="1898"/>
        <item x="1902"/>
        <item x="1914"/>
        <item x="1919"/>
        <item x="35"/>
        <item x="63"/>
        <item x="168"/>
        <item x="191"/>
        <item x="328"/>
        <item x="461"/>
        <item x="460"/>
        <item x="40"/>
        <item x="75"/>
        <item x="95"/>
        <item x="119"/>
        <item x="193"/>
        <item x="218"/>
        <item x="230"/>
        <item x="365"/>
        <item x="1934"/>
        <item x="73"/>
        <item x="280"/>
        <item x="10"/>
        <item x="59"/>
        <item x="71"/>
        <item x="77"/>
        <item x="78"/>
        <item x="122"/>
        <item x="144"/>
        <item x="157"/>
        <item x="167"/>
        <item x="244"/>
        <item x="324"/>
        <item x="397"/>
        <item x="411"/>
        <item x="433"/>
        <item x="435"/>
        <item x="451"/>
        <item x="456"/>
        <item x="477"/>
        <item x="554"/>
        <item x="555"/>
        <item x="586"/>
        <item x="631"/>
        <item x="646"/>
        <item x="658"/>
        <item x="682"/>
        <item x="709"/>
        <item x="715"/>
        <item x="805"/>
        <item x="806"/>
        <item x="843"/>
        <item x="890"/>
        <item x="919"/>
        <item x="999"/>
        <item x="1005"/>
        <item x="1063"/>
        <item x="1493"/>
        <item x="1541"/>
        <item x="1669"/>
        <item x="1675"/>
        <item x="1690"/>
        <item x="1691"/>
        <item x="1705"/>
        <item x="1716"/>
        <item x="1722"/>
        <item x="1733"/>
        <item x="1739"/>
        <item x="1893"/>
        <item x="1894"/>
        <item x="30"/>
        <item x="33"/>
        <item x="39"/>
        <item x="79"/>
        <item x="90"/>
        <item x="89"/>
        <item x="88"/>
        <item x="102"/>
        <item x="87"/>
        <item x="117"/>
        <item x="118"/>
        <item x="125"/>
        <item x="151"/>
        <item x="150"/>
        <item x="158"/>
        <item x="170"/>
        <item x="181"/>
        <item x="211"/>
        <item x="198"/>
        <item x="199"/>
        <item x="221"/>
        <item x="227"/>
        <item x="245"/>
        <item x="247"/>
        <item x="263"/>
        <item x="254"/>
        <item x="270"/>
        <item x="285"/>
        <item x="269"/>
        <item x="268"/>
        <item x="300"/>
        <item x="314"/>
        <item x="320"/>
        <item x="336"/>
        <item x="325"/>
        <item x="383"/>
        <item x="379"/>
        <item x="382"/>
        <item x="381"/>
        <item x="378"/>
        <item x="398"/>
        <item x="402"/>
        <item x="410"/>
        <item x="403"/>
        <item x="416"/>
        <item x="415"/>
        <item x="450"/>
        <item x="471"/>
        <item x="470"/>
        <item x="457"/>
        <item x="462"/>
        <item x="476"/>
        <item x="472"/>
        <item x="506"/>
        <item x="496"/>
        <item x="509"/>
        <item x="508"/>
        <item x="511"/>
        <item x="520"/>
        <item x="521"/>
        <item x="530"/>
        <item x="534"/>
        <item x="551"/>
        <item x="550"/>
        <item x="549"/>
        <item x="562"/>
        <item x="565"/>
        <item x="578"/>
        <item x="601"/>
        <item x="589"/>
        <item x="588"/>
        <item x="621"/>
        <item x="629"/>
        <item x="643"/>
        <item x="652"/>
        <item x="655"/>
        <item x="657"/>
        <item x="661"/>
        <item x="660"/>
        <item x="672"/>
        <item x="681"/>
        <item x="680"/>
        <item x="687"/>
        <item x="696"/>
        <item x="730"/>
        <item x="735"/>
        <item x="740"/>
        <item x="751"/>
        <item x="757"/>
        <item x="778"/>
        <item x="774"/>
        <item x="782"/>
        <item x="789"/>
        <item x="797"/>
        <item x="807"/>
        <item x="801"/>
        <item x="802"/>
        <item x="810"/>
        <item x="820"/>
        <item x="826"/>
        <item x="819"/>
        <item x="828"/>
        <item x="848"/>
        <item x="874"/>
        <item x="886"/>
        <item x="887"/>
        <item x="905"/>
        <item x="908"/>
        <item x="910"/>
        <item x="921"/>
        <item x="920"/>
        <item x="934"/>
        <item x="940"/>
        <item x="937"/>
        <item x="946"/>
        <item x="947"/>
        <item x="969"/>
        <item x="967"/>
        <item x="973"/>
        <item x="986"/>
        <item x="987"/>
        <item x="995"/>
        <item x="994"/>
        <item x="1012"/>
        <item x="1016"/>
        <item x="1023"/>
        <item x="1022"/>
        <item x="1024"/>
        <item x="1021"/>
        <item x="1053"/>
        <item x="1064"/>
        <item x="1069"/>
        <item x="1080"/>
        <item x="1074"/>
        <item x="1095"/>
        <item x="1128"/>
        <item x="1132"/>
        <item x="1143"/>
        <item x="1169"/>
        <item x="1188"/>
        <item x="1189"/>
        <item x="1214"/>
        <item x="1235"/>
        <item x="1264"/>
        <item x="1282"/>
        <item x="1299"/>
        <item x="1307"/>
        <item x="1323"/>
        <item x="1342"/>
        <item x="1394"/>
        <item x="2"/>
        <item x="4"/>
        <item x="7"/>
        <item x="8"/>
        <item x="12"/>
        <item x="19"/>
        <item x="21"/>
        <item x="22"/>
        <item x="23"/>
        <item x="25"/>
        <item x="28"/>
        <item x="31"/>
        <item x="34"/>
        <item x="36"/>
        <item x="43"/>
        <item x="45"/>
        <item x="47"/>
        <item x="49"/>
        <item x="53"/>
        <item x="54"/>
        <item x="56"/>
        <item x="60"/>
        <item x="61"/>
        <item x="57"/>
        <item x="72"/>
        <item x="69"/>
        <item x="67"/>
        <item x="76"/>
        <item x="100"/>
        <item x="94"/>
        <item x="101"/>
        <item x="99"/>
        <item x="97"/>
        <item x="93"/>
        <item x="106"/>
        <item x="105"/>
        <item x="124"/>
        <item x="123"/>
        <item x="134"/>
        <item x="130"/>
        <item x="129"/>
        <item x="127"/>
        <item x="128"/>
        <item x="147"/>
        <item x="149"/>
        <item x="171"/>
        <item x="174"/>
        <item x="177"/>
        <item x="185"/>
        <item x="186"/>
        <item x="206"/>
        <item x="205"/>
        <item x="200"/>
        <item x="220"/>
        <item x="219"/>
        <item x="226"/>
        <item x="234"/>
        <item x="242"/>
        <item x="251"/>
        <item x="253"/>
        <item x="261"/>
        <item x="267"/>
        <item x="282"/>
        <item x="283"/>
        <item x="281"/>
        <item x="286"/>
        <item x="288"/>
        <item x="291"/>
        <item x="292"/>
        <item x="297"/>
        <item x="296"/>
        <item x="294"/>
        <item x="312"/>
        <item x="311"/>
        <item x="310"/>
        <item x="313"/>
        <item x="318"/>
        <item x="323"/>
        <item x="322"/>
        <item x="337"/>
        <item x="327"/>
        <item x="334"/>
        <item x="338"/>
        <item x="342"/>
        <item x="344"/>
        <item x="347"/>
        <item x="350"/>
        <item x="361"/>
        <item x="374"/>
        <item x="373"/>
        <item x="395"/>
        <item x="394"/>
        <item x="399"/>
        <item x="400"/>
        <item x="408"/>
        <item x="406"/>
        <item x="424"/>
        <item x="425"/>
        <item x="423"/>
        <item x="434"/>
        <item x="436"/>
        <item x="442"/>
        <item x="440"/>
        <item x="438"/>
        <item x="446"/>
        <item x="444"/>
        <item x="452"/>
        <item x="466"/>
        <item x="458"/>
        <item x="459"/>
        <item x="467"/>
        <item x="475"/>
        <item x="484"/>
        <item x="478"/>
        <item x="479"/>
        <item x="491"/>
        <item x="492"/>
        <item x="497"/>
        <item x="503"/>
        <item x="502"/>
        <item x="504"/>
        <item x="499"/>
        <item x="524"/>
        <item x="527"/>
        <item x="543"/>
        <item x="544"/>
        <item x="541"/>
        <item x="538"/>
        <item x="552"/>
        <item x="559"/>
        <item x="560"/>
        <item x="563"/>
        <item x="567"/>
        <item x="572"/>
        <item x="577"/>
        <item x="569"/>
        <item x="568"/>
        <item x="570"/>
        <item x="579"/>
        <item x="583"/>
        <item x="582"/>
        <item x="593"/>
        <item x="600"/>
        <item x="595"/>
        <item x="594"/>
        <item x="597"/>
        <item x="604"/>
        <item x="602"/>
        <item x="603"/>
        <item x="612"/>
        <item x="613"/>
        <item x="610"/>
        <item x="609"/>
        <item x="615"/>
        <item x="619"/>
        <item x="616"/>
        <item x="622"/>
        <item x="626"/>
        <item x="639"/>
        <item x="644"/>
        <item x="653"/>
        <item x="659"/>
        <item x="666"/>
        <item x="670"/>
        <item x="674"/>
        <item x="675"/>
        <item x="676"/>
        <item x="673"/>
        <item x="683"/>
        <item x="684"/>
        <item x="698"/>
        <item x="702"/>
        <item x="703"/>
        <item x="723"/>
        <item x="716"/>
        <item x="722"/>
        <item x="725"/>
        <item x="733"/>
        <item x="745"/>
        <item x="754"/>
        <item x="753"/>
        <item x="756"/>
        <item x="752"/>
        <item x="758"/>
        <item x="759"/>
        <item x="766"/>
        <item x="775"/>
        <item x="770"/>
        <item x="763"/>
        <item x="767"/>
        <item x="768"/>
        <item x="769"/>
        <item x="783"/>
        <item x="794"/>
        <item x="813"/>
        <item x="812"/>
        <item x="824"/>
        <item x="825"/>
        <item x="829"/>
        <item x="833"/>
        <item x="839"/>
        <item x="844"/>
        <item x="847"/>
        <item x="853"/>
        <item x="866"/>
        <item x="859"/>
        <item x="861"/>
        <item x="862"/>
        <item x="879"/>
        <item x="882"/>
        <item x="896"/>
        <item x="901"/>
        <item x="904"/>
        <item x="895"/>
        <item x="906"/>
        <item x="912"/>
        <item x="914"/>
        <item x="927"/>
        <item x="923"/>
        <item x="930"/>
        <item x="944"/>
        <item x="949"/>
        <item x="952"/>
        <item x="956"/>
        <item x="962"/>
        <item x="965"/>
        <item x="968"/>
        <item x="985"/>
        <item x="975"/>
        <item x="982"/>
        <item x="977"/>
        <item x="990"/>
        <item x="996"/>
        <item x="1006"/>
        <item x="1008"/>
        <item x="1017"/>
        <item x="1018"/>
        <item x="1029"/>
        <item x="1030"/>
        <item x="1028"/>
        <item x="1034"/>
        <item x="1038"/>
        <item x="1037"/>
        <item x="1039"/>
        <item x="1043"/>
        <item x="1046"/>
        <item x="1051"/>
        <item x="1061"/>
        <item x="1060"/>
        <item x="1062"/>
        <item x="1076"/>
        <item x="1082"/>
        <item x="1088"/>
        <item x="1091"/>
        <item x="1092"/>
        <item x="1096"/>
        <item x="1106"/>
        <item x="1107"/>
        <item x="1112"/>
        <item x="1114"/>
        <item x="1121"/>
        <item x="1123"/>
        <item x="1127"/>
        <item x="1130"/>
        <item x="1135"/>
        <item x="1138"/>
        <item x="1137"/>
        <item x="1134"/>
        <item x="1145"/>
        <item x="1146"/>
        <item x="1149"/>
        <item x="1154"/>
        <item x="1148"/>
        <item x="1156"/>
        <item x="1158"/>
        <item x="1160"/>
        <item x="1161"/>
        <item x="1163"/>
        <item x="1167"/>
        <item x="1170"/>
        <item x="1174"/>
        <item x="1176"/>
        <item x="1177"/>
        <item x="1179"/>
        <item x="1182"/>
        <item x="1185"/>
        <item x="1186"/>
        <item x="1184"/>
        <item x="1187"/>
        <item x="1190"/>
        <item x="1194"/>
        <item x="1199"/>
        <item x="1201"/>
        <item x="1200"/>
        <item x="1198"/>
        <item x="1204"/>
        <item x="1205"/>
        <item x="1206"/>
        <item x="1207"/>
        <item x="1210"/>
        <item x="1217"/>
        <item x="1224"/>
        <item x="1226"/>
        <item x="1229"/>
        <item x="1237"/>
        <item x="1236"/>
        <item x="1241"/>
        <item x="1242"/>
        <item x="1247"/>
        <item x="1251"/>
        <item x="1252"/>
        <item x="1262"/>
        <item x="1273"/>
        <item x="1283"/>
        <item x="1290"/>
        <item x="1298"/>
        <item x="1308"/>
        <item x="1310"/>
        <item x="1356"/>
        <item x="1358"/>
        <item x="1362"/>
        <item x="1365"/>
        <item x="1370"/>
        <item x="1393"/>
        <item x="1401"/>
        <item x="1406"/>
        <item x="1409"/>
        <item x="1412"/>
        <item x="1410"/>
        <item x="1408"/>
        <item x="1427"/>
        <item x="1440"/>
        <item x="1444"/>
        <item x="1455"/>
        <item x="1456"/>
        <item x="1464"/>
        <item x="1465"/>
        <item x="1485"/>
        <item x="1499"/>
        <item x="1505"/>
        <item x="1549"/>
        <item x="1550"/>
        <item x="1429"/>
        <item x="1503"/>
        <item x="1580"/>
        <item x="1601"/>
        <item x="1626"/>
        <item x="1656"/>
        <item x="1671"/>
        <item x="1704"/>
        <item x="1711"/>
        <item x="1729"/>
        <item x="1753"/>
        <item x="1767"/>
        <item x="1786"/>
        <item x="1807"/>
        <item x="1833"/>
        <item x="1140"/>
        <item x="1153"/>
        <item x="1227"/>
        <item x="1231"/>
        <item x="1233"/>
        <item x="1269"/>
        <item x="1301"/>
        <item x="1324"/>
        <item x="1407"/>
        <item x="1414"/>
        <item x="1463"/>
        <item x="1534"/>
        <item x="1567"/>
        <item x="1600"/>
        <item x="1637"/>
        <item x="1852"/>
        <item x="1142"/>
        <item x="1212"/>
        <item x="1239"/>
        <item x="1240"/>
        <item x="1254"/>
        <item x="1261"/>
        <item x="1265"/>
        <item x="1289"/>
        <item x="1309"/>
        <item x="1314"/>
        <item x="1319"/>
        <item x="1328"/>
        <item x="1338"/>
        <item x="1347"/>
        <item x="1349"/>
        <item x="1350"/>
        <item x="1367"/>
        <item x="1371"/>
        <item x="1442"/>
        <item x="1446"/>
        <item x="1453"/>
        <item x="1480"/>
        <item x="1640"/>
        <item x="1511"/>
        <item x="1538"/>
        <item x="1571"/>
        <item x="1613"/>
        <item x="1661"/>
        <item x="1688"/>
        <item x="1696"/>
        <item x="1703"/>
        <item x="1717"/>
        <item x="1723"/>
        <item x="1735"/>
        <item x="1751"/>
        <item x="1774"/>
        <item x="1784"/>
        <item x="1797"/>
        <item x="1801"/>
        <item x="1819"/>
        <item x="1839"/>
        <item x="1840"/>
        <item x="1845"/>
        <item x="1848"/>
        <item x="1859"/>
        <item x="1860"/>
        <item x="1872"/>
        <item x="1877"/>
        <item x="1882"/>
        <item x="1918"/>
        <item x="1928"/>
        <item x="1932"/>
        <item x="1933"/>
        <item x="1728"/>
        <item x="1769"/>
        <item x="1770"/>
        <item x="1790"/>
        <item x="1806"/>
        <item x="48"/>
        <item x="74"/>
        <item x="86"/>
        <item x="213"/>
        <item x="255"/>
        <item x="326"/>
        <item x="392"/>
        <item x="417"/>
        <item x="480"/>
        <item x="501"/>
        <item x="512"/>
        <item x="537"/>
        <item x="540"/>
        <item x="581"/>
        <item x="587"/>
        <item x="620"/>
        <item x="649"/>
        <item x="688"/>
        <item x="692"/>
        <item x="704"/>
        <item x="712"/>
        <item x="714"/>
        <item x="736"/>
        <item x="765"/>
        <item x="773"/>
        <item x="788"/>
        <item x="790"/>
        <item x="821"/>
        <item x="876"/>
        <item x="881"/>
        <item x="922"/>
        <item x="932"/>
        <item x="942"/>
        <item x="953"/>
        <item x="954"/>
        <item x="963"/>
        <item x="997"/>
        <item x="992"/>
        <item x="998"/>
        <item x="1013"/>
        <item x="1019"/>
        <item x="1025"/>
        <item x="1026"/>
        <item x="1027"/>
        <item x="1059"/>
        <item x="1058"/>
        <item x="1066"/>
        <item x="1077"/>
        <item x="1073"/>
        <item x="1075"/>
        <item x="1079"/>
        <item x="1085"/>
        <item x="1086"/>
        <item x="1090"/>
        <item x="1097"/>
        <item x="1103"/>
        <item x="1110"/>
        <item x="1115"/>
        <item x="1126"/>
        <item x="1136"/>
        <item x="1150"/>
        <item x="1155"/>
        <item x="1164"/>
        <item x="1165"/>
        <item x="1172"/>
        <item x="1173"/>
        <item x="1180"/>
        <item x="1181"/>
        <item x="1191"/>
        <item x="1197"/>
        <item x="1211"/>
        <item x="1209"/>
        <item x="1220"/>
        <item x="1221"/>
        <item x="1234"/>
        <item x="1238"/>
        <item x="1243"/>
        <item x="1250"/>
        <item x="1267"/>
        <item x="1275"/>
        <item x="1274"/>
        <item x="1312"/>
        <item x="1311"/>
        <item x="1315"/>
        <item x="1320"/>
        <item x="1318"/>
        <item x="1330"/>
        <item x="1331"/>
        <item x="1337"/>
        <item x="1345"/>
        <item x="1346"/>
        <item x="1352"/>
        <item x="1357"/>
        <item x="1369"/>
        <item x="1375"/>
        <item x="1392"/>
        <item x="1397"/>
        <item x="1395"/>
        <item x="1396"/>
        <item x="1399"/>
        <item x="1432"/>
        <item x="1433"/>
        <item x="1438"/>
        <item x="1447"/>
        <item x="1452"/>
        <item x="1454"/>
        <item x="1469"/>
        <item x="1495"/>
        <item x="1575"/>
        <item x="1607"/>
        <item x="1609"/>
        <item x="1610"/>
        <item x="3"/>
        <item x="5"/>
        <item x="6"/>
        <item x="9"/>
        <item x="11"/>
        <item x="13"/>
        <item x="14"/>
        <item x="17"/>
        <item x="16"/>
        <item x="18"/>
        <item x="20"/>
        <item x="24"/>
        <item x="26"/>
        <item x="29"/>
        <item x="27"/>
        <item x="32"/>
        <item x="37"/>
        <item x="38"/>
        <item x="44"/>
        <item x="42"/>
        <item x="46"/>
        <item x="50"/>
        <item x="51"/>
        <item x="52"/>
        <item x="58"/>
        <item x="62"/>
        <item x="64"/>
        <item x="65"/>
        <item x="66"/>
        <item x="70"/>
        <item x="68"/>
        <item x="81"/>
        <item x="82"/>
        <item x="85"/>
        <item x="83"/>
        <item x="80"/>
        <item x="84"/>
        <item x="91"/>
        <item x="96"/>
        <item x="98"/>
        <item x="108"/>
        <item x="111"/>
        <item x="109"/>
        <item x="110"/>
        <item x="107"/>
        <item x="113"/>
        <item x="112"/>
        <item x="115"/>
        <item x="120"/>
        <item x="121"/>
        <item x="133"/>
        <item x="126"/>
        <item x="131"/>
        <item x="132"/>
        <item x="136"/>
        <item x="135"/>
        <item x="137"/>
        <item x="142"/>
        <item x="139"/>
        <item x="143"/>
        <item x="140"/>
        <item x="141"/>
        <item x="145"/>
        <item x="146"/>
        <item x="148"/>
        <item x="155"/>
        <item x="156"/>
        <item x="154"/>
        <item x="153"/>
        <item x="159"/>
        <item x="165"/>
        <item x="161"/>
        <item x="162"/>
        <item x="169"/>
        <item x="160"/>
        <item x="175"/>
        <item x="178"/>
        <item x="180"/>
        <item x="179"/>
        <item x="184"/>
        <item x="189"/>
        <item x="195"/>
        <item x="194"/>
        <item x="209"/>
        <item x="210"/>
        <item x="202"/>
        <item x="204"/>
        <item x="207"/>
        <item x="196"/>
        <item x="201"/>
        <item x="214"/>
        <item x="215"/>
        <item x="216"/>
        <item x="225"/>
        <item x="223"/>
        <item x="231"/>
        <item x="233"/>
        <item x="228"/>
        <item x="229"/>
        <item x="232"/>
        <item x="239"/>
        <item x="241"/>
        <item x="238"/>
        <item x="246"/>
        <item x="248"/>
        <item x="249"/>
        <item x="258"/>
        <item x="260"/>
        <item x="262"/>
        <item x="256"/>
        <item x="264"/>
        <item x="265"/>
        <item x="266"/>
        <item x="274"/>
        <item x="279"/>
        <item x="277"/>
        <item x="290"/>
        <item x="289"/>
        <item x="299"/>
        <item x="307"/>
        <item x="305"/>
        <item x="308"/>
        <item x="304"/>
        <item x="309"/>
        <item x="303"/>
        <item x="315"/>
        <item x="317"/>
        <item x="330"/>
        <item x="333"/>
        <item x="331"/>
        <item x="332"/>
        <item x="329"/>
        <item x="343"/>
        <item x="345"/>
        <item x="340"/>
        <item x="346"/>
        <item x="341"/>
        <item x="348"/>
        <item x="351"/>
        <item x="352"/>
        <item x="353"/>
        <item x="356"/>
        <item x="357"/>
        <item x="380"/>
        <item x="371"/>
        <item x="367"/>
        <item x="377"/>
        <item x="366"/>
        <item x="363"/>
        <item x="364"/>
        <item x="368"/>
        <item x="372"/>
        <item x="387"/>
        <item x="386"/>
        <item x="388"/>
        <item x="389"/>
        <item x="390"/>
        <item x="401"/>
        <item x="407"/>
        <item x="404"/>
        <item x="405"/>
        <item x="412"/>
        <item x="422"/>
        <item x="428"/>
        <item x="429"/>
        <item x="426"/>
        <item x="421"/>
        <item x="427"/>
        <item x="420"/>
        <item x="431"/>
        <item x="419"/>
        <item x="432"/>
        <item x="437"/>
        <item x="443"/>
        <item x="441"/>
        <item x="447"/>
        <item x="448"/>
        <item x="449"/>
        <item x="453"/>
        <item x="455"/>
        <item x="465"/>
        <item x="463"/>
        <item x="464"/>
        <item x="468"/>
        <item x="474"/>
        <item x="473"/>
        <item x="485"/>
        <item x="481"/>
        <item x="493"/>
        <item x="500"/>
        <item x="505"/>
        <item x="515"/>
        <item x="514"/>
        <item x="518"/>
        <item x="516"/>
        <item x="517"/>
        <item x="525"/>
        <item x="522"/>
        <item x="523"/>
        <item x="526"/>
        <item x="528"/>
        <item x="529"/>
        <item x="531"/>
        <item x="532"/>
        <item x="533"/>
        <item x="535"/>
        <item x="545"/>
        <item x="539"/>
        <item x="548"/>
        <item x="556"/>
        <item x="557"/>
        <item x="558"/>
        <item x="564"/>
        <item x="561"/>
        <item x="574"/>
        <item x="571"/>
        <item x="575"/>
        <item x="576"/>
        <item x="573"/>
        <item x="592"/>
        <item x="598"/>
        <item x="590"/>
        <item x="596"/>
        <item x="591"/>
        <item x="599"/>
        <item x="607"/>
        <item x="611"/>
        <item x="608"/>
        <item x="614"/>
        <item x="617"/>
        <item x="624"/>
        <item x="625"/>
        <item x="628"/>
        <item x="630"/>
        <item x="627"/>
        <item x="637"/>
        <item x="635"/>
        <item x="645"/>
        <item x="641"/>
        <item x="636"/>
        <item x="638"/>
        <item x="647"/>
        <item x="650"/>
        <item x="651"/>
        <item x="656"/>
        <item x="664"/>
        <item x="667"/>
        <item x="669"/>
        <item x="663"/>
        <item x="662"/>
        <item x="665"/>
        <item x="671"/>
        <item x="677"/>
        <item x="679"/>
        <item x="678"/>
        <item x="685"/>
        <item x="694"/>
        <item x="690"/>
        <item x="689"/>
        <item x="691"/>
        <item x="695"/>
        <item x="697"/>
        <item x="699"/>
        <item x="700"/>
        <item x="701"/>
        <item x="705"/>
        <item x="706"/>
        <item x="707"/>
        <item x="708"/>
        <item x="710"/>
        <item x="729"/>
        <item x="727"/>
        <item x="734"/>
        <item x="724"/>
        <item x="720"/>
        <item x="726"/>
        <item x="731"/>
        <item x="717"/>
        <item x="738"/>
        <item x="737"/>
        <item x="739"/>
        <item x="741"/>
        <item x="742"/>
        <item x="748"/>
        <item x="746"/>
        <item x="744"/>
        <item x="747"/>
        <item x="749"/>
        <item x="755"/>
        <item x="772"/>
        <item x="764"/>
        <item x="779"/>
        <item x="776"/>
        <item x="780"/>
        <item x="771"/>
        <item x="777"/>
        <item x="781"/>
        <item x="784"/>
        <item x="785"/>
        <item x="786"/>
        <item x="787"/>
        <item x="803"/>
        <item x="799"/>
        <item x="796"/>
        <item x="795"/>
        <item x="800"/>
        <item x="798"/>
        <item x="804"/>
        <item x="793"/>
        <item x="811"/>
        <item x="814"/>
        <item x="815"/>
        <item x="822"/>
        <item x="827"/>
        <item x="830"/>
        <item x="835"/>
        <item x="838"/>
        <item x="834"/>
        <item x="831"/>
        <item x="836"/>
        <item x="837"/>
        <item x="832"/>
        <item x="842"/>
        <item x="840"/>
        <item x="846"/>
        <item x="850"/>
        <item x="849"/>
        <item x="851"/>
        <item x="855"/>
        <item x="854"/>
        <item x="852"/>
        <item x="857"/>
        <item x="867"/>
        <item x="868"/>
        <item x="863"/>
        <item x="869"/>
        <item x="864"/>
        <item x="870"/>
        <item x="873"/>
        <item x="865"/>
        <item x="871"/>
        <item x="872"/>
        <item x="875"/>
        <item x="877"/>
        <item x="883"/>
        <item x="884"/>
        <item x="889"/>
        <item x="888"/>
        <item x="891"/>
        <item x="900"/>
        <item x="902"/>
        <item x="903"/>
        <item x="893"/>
        <item x="907"/>
        <item x="913"/>
        <item x="916"/>
        <item x="915"/>
        <item x="928"/>
        <item x="924"/>
        <item x="925"/>
        <item x="926"/>
        <item x="929"/>
        <item x="931"/>
        <item x="935"/>
        <item x="933"/>
        <item x="939"/>
        <item x="945"/>
        <item x="948"/>
        <item x="958"/>
        <item x="959"/>
        <item x="951"/>
        <item x="957"/>
        <item x="955"/>
        <item x="961"/>
        <item x="964"/>
        <item x="970"/>
        <item x="978"/>
        <item x="979"/>
        <item x="983"/>
        <item x="981"/>
        <item x="980"/>
        <item x="984"/>
        <item x="972"/>
        <item x="989"/>
        <item x="988"/>
        <item x="991"/>
        <item x="1004"/>
        <item x="1003"/>
        <item x="993"/>
        <item x="1002"/>
        <item x="1010"/>
        <item x="1015"/>
        <item x="1014"/>
        <item x="1031"/>
        <item x="1042"/>
        <item x="1045"/>
        <item x="1047"/>
        <item x="1049"/>
        <item x="1055"/>
        <item x="1054"/>
        <item x="1056"/>
        <item x="1070"/>
        <item x="1083"/>
        <item x="1081"/>
        <item x="1084"/>
        <item x="1093"/>
        <item x="1094"/>
        <item x="1101"/>
        <item x="1108"/>
        <item x="1105"/>
        <item x="1109"/>
        <item x="1120"/>
        <item x="1124"/>
        <item x="1125"/>
        <item x="1129"/>
        <item x="1141"/>
        <item x="1144"/>
        <item x="1147"/>
        <item x="1157"/>
        <item x="1208"/>
        <item x="1222"/>
        <item x="1223"/>
        <item x="1228"/>
        <item x="1249"/>
        <item x="1905"/>
        <item x="217"/>
        <item x="498"/>
        <item x="792"/>
        <item x="899"/>
        <item x="1001"/>
        <item x="1078"/>
        <item x="1098"/>
        <item x="1102"/>
        <item x="1178"/>
        <item x="1195"/>
        <item x="1192"/>
        <item x="1193"/>
        <item x="1232"/>
        <item x="1244"/>
        <item x="1259"/>
        <item x="1258"/>
        <item x="1272"/>
        <item x="1266"/>
        <item x="1300"/>
        <item x="1327"/>
        <item x="1334"/>
        <item x="1376"/>
        <item x="1372"/>
        <item x="1381"/>
        <item x="1379"/>
        <item x="1389"/>
        <item x="1420"/>
        <item x="1411"/>
        <item x="1426"/>
        <item x="1439"/>
        <item x="1451"/>
        <item x="1445"/>
        <item x="1460"/>
        <item x="1490"/>
        <item x="1506"/>
        <item x="1512"/>
        <item x="1524"/>
        <item x="1531"/>
        <item x="1529"/>
        <item x="1530"/>
        <item x="1528"/>
        <item x="1533"/>
        <item x="1539"/>
        <item x="1545"/>
        <item x="1547"/>
        <item x="1551"/>
        <item x="1552"/>
        <item x="1553"/>
        <item x="1566"/>
        <item x="1560"/>
        <item x="1561"/>
        <item x="1564"/>
        <item x="1562"/>
        <item x="1570"/>
        <item x="1573"/>
        <item x="1588"/>
        <item x="1589"/>
        <item x="1590"/>
        <item x="1594"/>
        <item x="1595"/>
        <item x="1599"/>
        <item x="1604"/>
        <item x="1612"/>
        <item x="1617"/>
        <item x="1625"/>
        <item x="1624"/>
        <item x="1653"/>
        <item x="1651"/>
        <item x="1663"/>
        <item x="1664"/>
        <item x="1680"/>
        <item x="1686"/>
        <item x="1681"/>
        <item x="1695"/>
        <item x="1697"/>
        <item x="1710"/>
        <item x="1720"/>
        <item x="1727"/>
        <item x="1731"/>
        <item x="1737"/>
        <item x="1738"/>
        <item x="1744"/>
        <item x="1745"/>
        <item x="1741"/>
        <item x="1748"/>
        <item x="1757"/>
        <item x="1752"/>
        <item x="1750"/>
        <item x="1755"/>
        <item x="1756"/>
        <item x="1760"/>
        <item x="1763"/>
        <item x="1780"/>
        <item x="1783"/>
        <item x="1781"/>
        <item x="1785"/>
        <item x="1789"/>
        <item x="1793"/>
        <item x="1798"/>
        <item x="1799"/>
        <item x="1800"/>
        <item x="1802"/>
        <item x="1808"/>
        <item x="1809"/>
        <item x="1812"/>
        <item x="1814"/>
        <item x="1821"/>
        <item x="1820"/>
        <item x="1822"/>
        <item x="1828"/>
        <item x="1824"/>
        <item x="1831"/>
        <item x="1836"/>
        <item x="1838"/>
        <item x="1841"/>
        <item x="1843"/>
        <item x="1849"/>
        <item x="1850"/>
        <item x="1853"/>
        <item x="1855"/>
        <item x="1856"/>
        <item x="1858"/>
        <item x="1864"/>
        <item x="1863"/>
        <item x="1862"/>
        <item x="1861"/>
        <item x="1865"/>
        <item x="1868"/>
        <item x="1870"/>
        <item x="1871"/>
        <item x="1874"/>
        <item x="1875"/>
        <item x="1878"/>
        <item x="1876"/>
        <item x="1879"/>
        <item x="1881"/>
        <item x="1883"/>
        <item x="1884"/>
        <item x="1885"/>
        <item x="1886"/>
        <item x="1889"/>
        <item x="1887"/>
        <item x="1891"/>
        <item x="1892"/>
        <item x="1895"/>
        <item x="1896"/>
        <item x="1897"/>
        <item x="1900"/>
        <item x="1901"/>
        <item x="1903"/>
        <item x="1908"/>
        <item x="1910"/>
        <item x="1917"/>
        <item x="1920"/>
        <item x="1921"/>
        <item x="1922"/>
        <item x="1927"/>
        <item x="1926"/>
        <item x="1929"/>
        <item x="1344"/>
        <item x="1364"/>
        <item x="1368"/>
        <item x="1400"/>
        <item x="1404"/>
        <item x="1405"/>
        <item x="1413"/>
        <item x="1422"/>
        <item x="1425"/>
        <item x="1457"/>
        <item x="1461"/>
        <item x="1466"/>
        <item x="1470"/>
        <item x="1481"/>
        <item x="1698"/>
        <item x="1732"/>
        <item x="1253"/>
        <item x="1317"/>
        <item x="1468"/>
        <item x="1572"/>
        <item x="1662"/>
        <item x="1673"/>
        <item x="1672"/>
        <item x="1701"/>
        <item x="1721"/>
        <item x="1725"/>
        <item x="1810"/>
        <item x="713"/>
        <item x="1256"/>
        <item x="1313"/>
        <item x="1489"/>
        <item x="188"/>
        <item x="208"/>
        <item x="252"/>
        <item x="293"/>
        <item x="298"/>
        <item x="376"/>
        <item x="409"/>
        <item x="430"/>
        <item x="490"/>
        <item x="585"/>
        <item x="640"/>
        <item x="668"/>
        <item x="693"/>
        <item x="719"/>
        <item x="762"/>
        <item x="1699"/>
        <item x="1818"/>
        <item x="1817"/>
        <item x="1888"/>
        <item x="1906"/>
        <item x="1904"/>
        <item x="1907"/>
        <item x="1909"/>
        <item x="1912"/>
        <item x="1915"/>
        <item x="1923"/>
        <item x="1924"/>
        <item x="92"/>
        <item x="104"/>
        <item x="114"/>
        <item x="138"/>
        <item x="152"/>
        <item x="163"/>
        <item x="164"/>
        <item x="176"/>
        <item x="182"/>
        <item x="183"/>
        <item x="190"/>
        <item x="192"/>
        <item x="224"/>
        <item x="257"/>
        <item x="273"/>
        <item x="275"/>
        <item x="276"/>
        <item x="301"/>
        <item x="306"/>
        <item x="316"/>
        <item x="349"/>
        <item x="354"/>
        <item x="355"/>
        <item x="360"/>
        <item x="375"/>
        <item x="384"/>
        <item x="393"/>
        <item x="414"/>
        <item x="439"/>
        <item x="454"/>
        <item x="494"/>
        <item x="487"/>
        <item x="547"/>
        <item x="686"/>
        <item x="728"/>
        <item x="817"/>
        <item x="818"/>
        <item x="918"/>
        <item x="936"/>
        <item x="960"/>
        <item x="1035"/>
        <item x="1089"/>
        <item x="1119"/>
        <item x="1925"/>
        <item x="1930"/>
        <item x="1931"/>
        <item x="55"/>
        <item x="237"/>
        <item x="359"/>
        <item x="358"/>
        <item x="507"/>
        <item x="510"/>
        <item x="580"/>
        <item x="584"/>
        <item x="743"/>
        <item x="885"/>
        <item x="941"/>
        <item x="966"/>
        <item x="1032"/>
        <item x="1033"/>
        <item x="1050"/>
        <item x="1071"/>
        <item x="1175"/>
        <item x="1183"/>
        <item x="1196"/>
        <item x="1257"/>
        <item x="1286"/>
        <item x="1287"/>
        <item x="1291"/>
        <item x="1326"/>
        <item x="1333"/>
        <item x="1336"/>
        <item x="1360"/>
        <item x="1366"/>
        <item x="1378"/>
        <item x="1386"/>
        <item x="1542"/>
        <item x="1574"/>
        <item x="1657"/>
        <item x="1659"/>
        <item x="1658"/>
        <item x="1677"/>
        <item x="1687"/>
        <item x="791"/>
        <item x="1052"/>
        <item x="1100"/>
        <item x="0"/>
        <item x="1"/>
        <item x="41"/>
        <item x="103"/>
        <item x="272"/>
        <item x="284"/>
        <item x="287"/>
        <item x="319"/>
        <item x="335"/>
        <item x="339"/>
        <item x="369"/>
        <item x="362"/>
        <item x="413"/>
        <item x="469"/>
        <item x="486"/>
        <item x="488"/>
        <item x="546"/>
        <item x="553"/>
        <item x="606"/>
        <item x="623"/>
        <item x="634"/>
        <item x="642"/>
        <item x="648"/>
        <item x="654"/>
        <item x="858"/>
        <item x="880"/>
        <item x="894"/>
        <item x="909"/>
        <item x="943"/>
        <item x="1000"/>
        <item x="1007"/>
        <item x="1041"/>
        <item x="1036"/>
        <item x="1057"/>
        <item x="1116"/>
        <item x="1133"/>
        <item x="1139"/>
        <item x="1159"/>
        <item x="1219"/>
        <item x="1390"/>
        <item x="1402"/>
        <item x="1415"/>
        <item x="1458"/>
        <item x="1467"/>
        <item x="1488"/>
        <item x="1500"/>
        <item x="1507"/>
        <item x="1520"/>
        <item x="1532"/>
        <item x="1535"/>
        <item x="1548"/>
        <item x="15"/>
        <item x="116"/>
        <item x="166"/>
        <item x="172"/>
        <item x="173"/>
        <item x="187"/>
        <item x="212"/>
        <item x="222"/>
        <item x="243"/>
        <item x="271"/>
        <item x="302"/>
        <item x="396"/>
        <item x="418"/>
        <item x="445"/>
        <item x="482"/>
        <item x="495"/>
        <item x="513"/>
        <item x="605"/>
        <item x="633"/>
        <item x="718"/>
        <item x="750"/>
        <item x="760"/>
        <item x="808"/>
        <item x="823"/>
        <item x="845"/>
        <item x="860"/>
        <item x="878"/>
        <item x="897"/>
        <item x="892"/>
        <item x="938"/>
        <item x="950"/>
        <item x="974"/>
        <item x="1009"/>
        <item x="1011"/>
        <item x="1020"/>
        <item x="1040"/>
        <item x="1044"/>
        <item x="1048"/>
        <item x="1067"/>
        <item x="1087"/>
        <item x="1104"/>
        <item x="1113"/>
        <item x="1118"/>
        <item x="1131"/>
        <item x="1152"/>
        <item x="1151"/>
        <item x="1162"/>
        <item x="1171"/>
        <item x="1215"/>
        <item x="1225"/>
        <item x="1246"/>
        <item x="1245"/>
        <item x="1248"/>
        <item x="1260"/>
        <item x="1276"/>
        <item x="1277"/>
        <item x="1278"/>
        <item x="1292"/>
        <item x="1297"/>
        <item x="1302"/>
        <item x="1316"/>
        <item x="1325"/>
        <item x="1340"/>
        <item x="1343"/>
        <item x="1354"/>
        <item x="1359"/>
        <item x="1361"/>
        <item x="1373"/>
        <item x="1382"/>
        <item x="1383"/>
        <item x="1403"/>
        <item x="1416"/>
        <item x="1417"/>
        <item x="1418"/>
        <item x="1428"/>
        <item x="1435"/>
        <item x="1441"/>
        <item x="1448"/>
        <item x="1462"/>
        <item x="1471"/>
        <item x="1472"/>
        <item x="1473"/>
        <item x="1478"/>
        <item x="1483"/>
        <item x="1482"/>
        <item x="1486"/>
        <item x="1487"/>
        <item x="1491"/>
        <item x="1494"/>
        <item x="1501"/>
        <item x="1509"/>
        <item x="1513"/>
        <item x="1514"/>
        <item x="1517"/>
        <item x="1518"/>
        <item x="1521"/>
        <item x="1526"/>
        <item x="1527"/>
        <item x="1537"/>
        <item x="1540"/>
        <item x="1558"/>
        <item x="1576"/>
        <item x="1582"/>
        <item x="1596"/>
        <item x="1602"/>
        <item x="1603"/>
        <item x="1605"/>
        <item x="1606"/>
        <item x="1615"/>
        <item x="1618"/>
        <item x="1619"/>
        <item x="1622"/>
        <item x="1623"/>
        <item x="1631"/>
        <item x="1641"/>
        <item x="1645"/>
        <item x="1650"/>
        <item x="1652"/>
        <item x="1660"/>
        <item x="1665"/>
        <item x="1666"/>
        <item x="1670"/>
        <item x="1678"/>
        <item x="1692"/>
        <item x="1693"/>
        <item x="1700"/>
        <item x="1702"/>
        <item x="1713"/>
        <item x="1765"/>
        <item x="1916"/>
        <item x="197"/>
        <item x="203"/>
        <item x="235"/>
        <item x="240"/>
        <item x="236"/>
        <item x="250"/>
        <item x="259"/>
        <item x="278"/>
        <item x="295"/>
        <item x="321"/>
        <item x="370"/>
        <item x="385"/>
        <item x="391"/>
        <item x="483"/>
        <item x="489"/>
        <item x="519"/>
        <item x="536"/>
        <item x="542"/>
        <item x="566"/>
        <item x="618"/>
        <item x="632"/>
        <item x="711"/>
        <item x="721"/>
        <item x="732"/>
        <item x="761"/>
        <item x="809"/>
        <item x="816"/>
        <item x="841"/>
        <item x="856"/>
        <item x="911"/>
        <item x="917"/>
        <item x="971"/>
        <item x="1065"/>
        <item x="1068"/>
        <item x="1072"/>
        <item x="1122"/>
        <item x="1168"/>
        <item x="1216"/>
        <item x="1329"/>
        <item x="1496"/>
        <item x="1642"/>
        <item x="1679"/>
        <item x="1111"/>
        <item x="1218"/>
        <item x="1230"/>
        <item x="1355"/>
        <item x="1387"/>
        <item x="1430"/>
        <item x="1477"/>
        <item x="1492"/>
        <item x="1497"/>
        <item x="1502"/>
        <item x="1730"/>
        <item x="1747"/>
        <item x="1772"/>
        <item x="1834"/>
        <item x="1846"/>
        <item x="1899"/>
        <item t="default"/>
      </items>
    </pivotField>
    <pivotField numFmtId="165" showAll="0"/>
    <pivotField axis="axisRow" dataField="1" numFmtId="164" showAll="0">
      <items count="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t="default" sd="0"/>
      </items>
    </pivotField>
    <pivotField showAll="0">
      <items count="19">
        <item x="17"/>
        <item x="7"/>
        <item x="5"/>
        <item x="3"/>
        <item x="2"/>
        <item x="0"/>
        <item x="4"/>
        <item x="1"/>
        <item x="8"/>
        <item x="6"/>
        <item x="10"/>
        <item x="11"/>
        <item x="9"/>
        <item x="12"/>
        <item x="13"/>
        <item x="14"/>
        <item x="15"/>
        <item x="16"/>
        <item t="default"/>
      </items>
    </pivotField>
    <pivotField dataField="1" showAll="0">
      <items count="806">
        <item h="1" x="774"/>
        <item x="757"/>
        <item h="1" x="712"/>
        <item h="1" x="783"/>
        <item h="1" x="611"/>
        <item h="1" x="422"/>
        <item h="1" x="617"/>
        <item h="1" x="377"/>
        <item h="1" x="532"/>
        <item h="1" x="553"/>
        <item h="1" x="530"/>
        <item h="1" x="641"/>
        <item h="1" x="609"/>
        <item h="1" x="254"/>
        <item h="1" x="444"/>
        <item h="1" x="601"/>
        <item h="1" x="781"/>
        <item h="1" x="772"/>
        <item h="1" x="638"/>
        <item h="1" x="552"/>
        <item h="1" x="804"/>
        <item h="1" x="802"/>
        <item h="1" x="546"/>
        <item h="1" x="282"/>
        <item h="1" x="778"/>
        <item h="1" x="240"/>
        <item h="1" x="353"/>
        <item h="1" x="633"/>
        <item h="1" x="755"/>
        <item h="1" x="458"/>
        <item h="1" x="299"/>
        <item h="1" x="634"/>
        <item h="1" x="657"/>
        <item h="1" x="738"/>
        <item h="1" x="537"/>
        <item h="1" x="786"/>
        <item h="1" x="759"/>
        <item h="1" x="787"/>
        <item h="1" x="224"/>
        <item h="1" x="662"/>
        <item h="1" x="298"/>
        <item h="1" x="148"/>
        <item h="1" x="439"/>
        <item h="1" x="800"/>
        <item h="1" x="732"/>
        <item h="1" x="472"/>
        <item h="1" x="725"/>
        <item h="1" x="362"/>
        <item h="1" x="767"/>
        <item h="1" x="575"/>
        <item h="1" x="498"/>
        <item h="1" x="212"/>
        <item h="1" x="803"/>
        <item h="1" x="742"/>
        <item h="1" x="622"/>
        <item h="1" x="779"/>
        <item h="1" x="259"/>
        <item h="1" x="414"/>
        <item h="1" x="474"/>
        <item h="1" x="613"/>
        <item h="1" x="632"/>
        <item h="1" x="341"/>
        <item h="1" x="492"/>
        <item h="1" x="540"/>
        <item h="1" x="545"/>
        <item h="1" x="393"/>
        <item h="1" x="405"/>
        <item h="1" x="656"/>
        <item h="1" x="752"/>
        <item h="1" x="602"/>
        <item h="1" x="748"/>
        <item h="1" x="603"/>
        <item h="1" x="473"/>
        <item h="1" x="454"/>
        <item h="1" x="588"/>
        <item h="1" x="349"/>
        <item h="1" x="264"/>
        <item h="1" x="669"/>
        <item h="1" x="304"/>
        <item h="1" x="726"/>
        <item h="1" x="576"/>
        <item h="1" x="565"/>
        <item h="1" x="421"/>
        <item h="1" x="487"/>
        <item h="1" x="255"/>
        <item h="1" x="696"/>
        <item h="1" x="322"/>
        <item h="1" x="217"/>
        <item h="1" x="796"/>
        <item h="1" x="429"/>
        <item h="1" x="335"/>
        <item h="1" x="544"/>
        <item h="1" x="702"/>
        <item h="1" x="756"/>
        <item h="1" x="102"/>
        <item h="1" x="761"/>
        <item h="1" x="538"/>
        <item h="1" x="635"/>
        <item h="1" x="753"/>
        <item h="1" x="569"/>
        <item h="1" x="209"/>
        <item h="1" x="558"/>
        <item h="1" x="324"/>
        <item h="1" x="501"/>
        <item h="1" x="735"/>
        <item h="1" x="770"/>
        <item h="1" x="584"/>
        <item h="1" x="201"/>
        <item h="1" x="745"/>
        <item h="1" x="686"/>
        <item h="1" x="275"/>
        <item h="1" x="338"/>
        <item h="1" x="169"/>
        <item h="1" x="451"/>
        <item h="1" x="681"/>
        <item h="1" x="394"/>
        <item h="1" x="640"/>
        <item h="1" x="645"/>
        <item h="1" x="437"/>
        <item h="1" x="385"/>
        <item h="1" x="776"/>
        <item h="1" x="793"/>
        <item h="1" x="705"/>
        <item h="1" x="127"/>
        <item h="1" x="719"/>
        <item h="1" x="718"/>
        <item h="1" x="667"/>
        <item h="1" x="135"/>
        <item h="1" x="715"/>
        <item h="1" x="425"/>
        <item h="1" x="160"/>
        <item h="1" x="533"/>
        <item h="1" x="441"/>
        <item h="1" x="765"/>
        <item h="1" x="262"/>
        <item h="1" x="410"/>
        <item h="1" x="788"/>
        <item h="1" x="165"/>
        <item h="1" x="79"/>
        <item h="1" x="409"/>
        <item h="1" x="479"/>
        <item h="1" x="720"/>
        <item h="1" x="334"/>
        <item h="1" x="721"/>
        <item h="1" x="185"/>
        <item h="1" x="448"/>
        <item h="1" x="789"/>
        <item h="1" x="18"/>
        <item h="1" x="708"/>
        <item h="1" x="795"/>
        <item h="1" x="294"/>
        <item h="1" x="80"/>
        <item h="1" x="116"/>
        <item h="1" x="420"/>
        <item h="1" x="615"/>
        <item h="1" x="28"/>
        <item h="1" x="647"/>
        <item h="1" x="42"/>
        <item h="1" x="164"/>
        <item h="1" x="529"/>
        <item h="1" x="446"/>
        <item h="1" x="343"/>
        <item h="1" x="554"/>
        <item h="1" x="370"/>
        <item h="1" x="631"/>
        <item h="1" x="157"/>
        <item h="1" x="717"/>
        <item h="1" x="500"/>
        <item h="1" x="724"/>
        <item h="1" x="799"/>
        <item h="1" x="519"/>
        <item h="1" x="197"/>
        <item h="1" x="801"/>
        <item h="1" x="684"/>
        <item h="1" x="460"/>
        <item h="1" x="98"/>
        <item h="1" x="237"/>
        <item h="1" x="249"/>
        <item h="1" x="317"/>
        <item h="1" x="20"/>
        <item h="1" x="137"/>
        <item h="1" x="269"/>
        <item h="1" x="493"/>
        <item h="1" x="652"/>
        <item h="1" x="496"/>
        <item h="1" x="208"/>
        <item h="1" x="366"/>
        <item h="1" x="637"/>
        <item h="1" x="35"/>
        <item h="1" x="392"/>
        <item h="1" x="520"/>
        <item h="1" x="336"/>
        <item h="1" x="773"/>
        <item h="1" x="784"/>
        <item h="1" x="675"/>
        <item h="1" x="71"/>
        <item h="1" x="99"/>
        <item h="1" x="798"/>
        <item h="1" x="475"/>
        <item h="1" x="639"/>
        <item h="1" x="252"/>
        <item h="1" x="81"/>
        <item h="1" x="623"/>
        <item h="1" x="50"/>
        <item h="1" x="549"/>
        <item h="1" x="345"/>
        <item h="1" x="568"/>
        <item h="1" x="223"/>
        <item h="1" x="140"/>
        <item h="1" x="559"/>
        <item h="1" x="86"/>
        <item h="1" x="200"/>
        <item h="1" x="328"/>
        <item h="1" x="524"/>
        <item h="1" x="351"/>
        <item h="1" x="782"/>
        <item h="1" x="571"/>
        <item h="1" x="621"/>
        <item h="1" x="522"/>
        <item h="1" x="470"/>
        <item h="1" x="191"/>
        <item h="1" x="775"/>
        <item h="1" x="123"/>
        <item h="1" x="658"/>
        <item h="1" x="630"/>
        <item h="1" x="270"/>
        <item h="1" x="333"/>
        <item h="1" x="313"/>
        <item h="1" x="594"/>
        <item h="1" x="173"/>
        <item h="1" x="747"/>
        <item h="1" x="531"/>
        <item h="1" x="504"/>
        <item h="1" x="176"/>
        <item h="1" x="253"/>
        <item h="1" x="731"/>
        <item h="1" x="83"/>
        <item h="1" x="248"/>
        <item h="1" x="677"/>
        <item h="1" x="737"/>
        <item h="1" x="542"/>
        <item h="1" x="419"/>
        <item h="1" x="280"/>
        <item h="1" x="106"/>
        <item h="1" x="539"/>
        <item h="1" x="751"/>
        <item h="1" x="64"/>
        <item h="1" x="585"/>
        <item h="1" x="424"/>
        <item h="1" x="34"/>
        <item h="1" x="730"/>
        <item h="1" x="791"/>
        <item h="1" x="797"/>
        <item h="1" x="229"/>
        <item h="1" x="511"/>
        <item h="1" x="746"/>
        <item h="1" x="109"/>
        <item h="1" x="488"/>
        <item h="1" x="579"/>
        <item h="1" x="442"/>
        <item h="1" x="650"/>
        <item h="1" x="91"/>
        <item h="1" x="688"/>
        <item h="1" x="709"/>
        <item h="1" x="699"/>
        <item h="1" x="228"/>
        <item h="1" x="105"/>
        <item h="1" x="124"/>
        <item h="1" x="534"/>
        <item h="1" x="263"/>
        <item h="1" x="301"/>
        <item h="1" x="56"/>
        <item h="1" x="663"/>
        <item h="1" x="175"/>
        <item h="1" x="372"/>
        <item h="1" x="398"/>
        <item h="1" x="318"/>
        <item h="1" x="357"/>
        <item h="1" x="562"/>
        <item h="1" x="215"/>
        <item h="1" x="428"/>
        <item h="1" x="307"/>
        <item h="1" x="604"/>
        <item h="1" x="701"/>
        <item h="1" x="25"/>
        <item h="1" x="383"/>
        <item h="1" x="515"/>
        <item h="1" x="484"/>
        <item h="1" x="509"/>
        <item h="1" x="743"/>
        <item h="1" x="570"/>
        <item h="1" x="463"/>
        <item h="1" x="564"/>
        <item h="1" x="651"/>
        <item h="1" x="231"/>
        <item h="1" x="194"/>
        <item h="1" x="128"/>
        <item h="1" x="273"/>
        <item h="1" x="355"/>
        <item h="1" x="303"/>
        <item h="1" x="391"/>
        <item h="1" x="213"/>
        <item h="1" x="239"/>
        <item h="1" x="170"/>
        <item h="1" x="288"/>
        <item h="1" x="158"/>
        <item h="1" x="664"/>
        <item h="1" x="754"/>
        <item h="1" x="9"/>
        <item h="1" x="499"/>
        <item h="1" x="790"/>
        <item h="1" x="122"/>
        <item h="1" x="283"/>
        <item h="1" x="674"/>
        <item h="1" x="763"/>
        <item h="1" x="100"/>
        <item h="1" x="286"/>
        <item h="1" x="548"/>
        <item h="1" x="722"/>
        <item h="1" x="777"/>
        <item h="1" x="37"/>
        <item h="1" x="204"/>
        <item h="1" x="749"/>
        <item h="1" x="89"/>
        <item h="1" x="52"/>
        <item h="1" x="199"/>
        <item h="1" x="733"/>
        <item h="1" x="508"/>
        <item h="1" x="300"/>
        <item h="1" x="567"/>
        <item h="1" x="739"/>
        <item h="1" x="214"/>
        <item h="1" x="221"/>
        <item h="1" x="655"/>
        <item h="1" x="517"/>
        <item h="1" x="61"/>
        <item h="1" x="785"/>
        <item h="1" x="792"/>
        <item h="1" x="131"/>
        <item h="1" x="358"/>
        <item h="1" x="734"/>
        <item h="1" x="205"/>
        <item h="1" x="41"/>
        <item h="1" x="692"/>
        <item h="1" x="352"/>
        <item h="1" x="413"/>
        <item h="1" x="673"/>
        <item h="1" x="478"/>
        <item h="1" x="195"/>
        <item h="1" x="138"/>
        <item h="1" x="676"/>
        <item h="1" x="551"/>
        <item h="1" x="693"/>
        <item h="1" x="183"/>
        <item h="1" x="706"/>
        <item h="1" x="290"/>
        <item h="1" x="440"/>
        <item h="1" x="489"/>
        <item h="1" x="265"/>
        <item h="1" x="654"/>
        <item h="1" x="346"/>
        <item h="1" x="468"/>
        <item h="1" x="373"/>
        <item h="1" x="193"/>
        <item h="1" x="246"/>
        <item h="1" x="388"/>
        <item h="1" x="697"/>
        <item h="1" x="687"/>
        <item h="1" x="114"/>
        <item h="1" x="461"/>
        <item h="1" x="666"/>
        <item h="1" x="707"/>
        <item h="1" x="97"/>
        <item h="1" x="547"/>
        <item h="1" x="281"/>
        <item h="1" x="117"/>
        <item h="1" x="416"/>
        <item h="1" x="620"/>
        <item h="1" x="136"/>
        <item h="1" x="557"/>
        <item h="1" x="192"/>
        <item h="1" x="119"/>
        <item h="1" x="566"/>
        <item h="1" x="481"/>
        <item h="1" x="166"/>
        <item h="1" x="467"/>
        <item h="1" x="591"/>
        <item h="1" x="49"/>
        <item h="1" x="314"/>
        <item h="1" x="129"/>
        <item h="1" x="184"/>
        <item h="1" x="190"/>
        <item h="1" x="561"/>
        <item h="1" x="22"/>
        <item h="1" x="443"/>
        <item h="1" x="174"/>
        <item h="1" x="476"/>
        <item h="1" x="245"/>
        <item h="1" x="243"/>
        <item h="1" x="361"/>
        <item h="1" x="2"/>
        <item h="1" x="72"/>
        <item h="1" x="397"/>
        <item h="1" x="695"/>
        <item h="1" x="400"/>
        <item h="1" x="750"/>
        <item h="1" x="126"/>
        <item h="1" x="490"/>
        <item h="1" x="188"/>
        <item h="1" x="403"/>
        <item h="1" x="121"/>
        <item h="1" x="384"/>
        <item h="1" x="768"/>
        <item h="1" x="186"/>
        <item h="1" x="389"/>
        <item h="1" x="153"/>
        <item h="1" x="15"/>
        <item h="1" x="541"/>
        <item h="1" x="426"/>
        <item h="1" x="586"/>
        <item h="1" x="233"/>
        <item h="1" x="510"/>
        <item h="1" x="329"/>
        <item h="1" x="698"/>
        <item h="1" x="375"/>
        <item h="1" x="332"/>
        <item h="1" x="572"/>
        <item h="1" x="39"/>
        <item h="1" x="364"/>
        <item h="1" x="411"/>
        <item h="1" x="365"/>
        <item h="1" x="356"/>
        <item h="1" x="60"/>
        <item h="1" x="771"/>
        <item h="1" x="711"/>
        <item h="1" x="431"/>
        <item h="1" x="53"/>
        <item h="1" x="84"/>
        <item h="1" x="378"/>
        <item h="1" x="459"/>
        <item h="1" x="147"/>
        <item h="1" x="625"/>
        <item h="1" x="216"/>
        <item h="1" x="464"/>
        <item h="1" x="482"/>
        <item h="1" x="75"/>
        <item h="1" x="626"/>
        <item h="1" x="350"/>
        <item h="1" x="211"/>
        <item h="1" x="244"/>
        <item h="1" x="274"/>
        <item h="1" x="241"/>
        <item h="1" x="330"/>
        <item h="1" x="219"/>
        <item h="1" x="376"/>
        <item h="1" x="491"/>
        <item h="1" x="232"/>
        <item h="1" x="368"/>
        <item h="1" x="418"/>
        <item h="1" x="43"/>
        <item h="1" x="614"/>
        <item h="1" x="780"/>
        <item h="1" x="87"/>
        <item h="1" x="278"/>
        <item h="1" x="202"/>
        <item h="1" x="764"/>
        <item h="1" x="74"/>
        <item h="1" x="521"/>
        <item h="1" x="236"/>
        <item h="1" x="17"/>
        <item h="1" x="513"/>
        <item h="1" x="267"/>
        <item h="1" x="260"/>
        <item h="1" x="178"/>
        <item h="1" x="24"/>
        <item h="1" x="40"/>
        <item h="1" x="7"/>
        <item h="1" x="590"/>
        <item h="1" x="12"/>
        <item h="1" x="518"/>
        <item h="1" x="268"/>
        <item h="1" x="38"/>
        <item h="1" x="660"/>
        <item h="1" x="78"/>
        <item h="1" x="766"/>
        <item h="1" x="512"/>
        <item h="1" x="206"/>
        <item h="1" x="606"/>
        <item h="1" x="297"/>
        <item h="1" x="323"/>
        <item h="1" x="486"/>
        <item h="1" x="225"/>
        <item h="1" x="133"/>
        <item h="1" x="312"/>
        <item h="1" x="387"/>
        <item h="1" x="407"/>
        <item h="1" x="347"/>
        <item h="1" x="302"/>
        <item h="1" x="162"/>
        <item h="1" x="556"/>
        <item h="1" x="218"/>
        <item h="1" x="494"/>
        <item h="1" x="363"/>
        <item h="1" x="581"/>
        <item h="1" x="4"/>
        <item h="1" x="690"/>
        <item h="1" x="0"/>
        <item h="1" x="207"/>
        <item h="1" x="433"/>
        <item h="1" x="578"/>
        <item h="1" x="447"/>
        <item h="1" x="456"/>
        <item h="1" x="762"/>
        <item h="1" x="450"/>
        <item h="1" x="728"/>
        <item h="1" x="727"/>
        <item h="1" x="326"/>
        <item h="1" x="502"/>
        <item h="1" x="683"/>
        <item h="1" x="151"/>
        <item h="1" x="27"/>
        <item h="1" x="678"/>
        <item h="1" x="689"/>
        <item h="1" x="390"/>
        <item h="1" x="251"/>
        <item h="1" x="311"/>
        <item h="1" x="305"/>
        <item h="1" x="682"/>
        <item h="1" x="580"/>
        <item h="1" x="261"/>
        <item h="1" x="309"/>
        <item h="1" x="11"/>
        <item h="1" x="495"/>
        <item h="1" x="740"/>
        <item h="1" x="111"/>
        <item h="1" x="337"/>
        <item h="1" x="30"/>
        <item h="1" x="457"/>
        <item h="1" x="142"/>
        <item h="1" x="471"/>
        <item h="1" x="285"/>
        <item h="1" x="758"/>
        <item h="1" x="238"/>
        <item h="1" x="23"/>
        <item h="1" x="605"/>
        <item h="1" x="406"/>
        <item h="1" x="145"/>
        <item h="1" x="587"/>
        <item h="1" x="359"/>
        <item h="1" x="293"/>
        <item h="1" x="118"/>
        <item h="1" x="6"/>
        <item h="1" x="271"/>
        <item h="1" x="583"/>
        <item h="1" x="344"/>
        <item h="1" x="507"/>
        <item h="1" x="642"/>
        <item h="1" x="235"/>
        <item h="1" x="113"/>
        <item h="1" x="555"/>
        <item h="1" x="31"/>
        <item h="1" x="723"/>
        <item h="1" x="560"/>
        <item h="1" x="182"/>
        <item h="1" x="44"/>
        <item h="1" x="608"/>
        <item h="1" x="234"/>
        <item h="1" x="125"/>
        <item h="1" x="196"/>
        <item h="1" x="423"/>
        <item h="1" x="73"/>
        <item h="1" x="159"/>
        <item h="1" x="713"/>
        <item h="1" x="181"/>
        <item h="1" x="295"/>
        <item h="1" x="177"/>
        <item h="1" x="291"/>
        <item h="1" x="342"/>
        <item h="1" x="528"/>
        <item h="1" x="636"/>
        <item h="1" x="292"/>
        <item h="1" x="415"/>
        <item h="1" x="412"/>
        <item h="1" x="46"/>
        <item h="1" x="256"/>
        <item h="1" x="95"/>
        <item h="1" x="596"/>
        <item h="1" x="327"/>
        <item h="1" x="247"/>
        <item h="1" x="26"/>
        <item h="1" x="104"/>
        <item h="1" x="306"/>
        <item h="1" x="154"/>
        <item h="1" x="665"/>
        <item h="1" x="577"/>
        <item h="1" x="716"/>
        <item h="1" x="331"/>
        <item h="1" x="653"/>
        <item h="1" x="600"/>
        <item h="1" x="536"/>
        <item h="1" x="8"/>
        <item h="1" x="152"/>
        <item h="1" x="449"/>
        <item h="1" x="607"/>
        <item h="1" x="367"/>
        <item h="1" x="371"/>
        <item h="1" x="67"/>
        <item h="1" x="714"/>
        <item h="1" x="5"/>
        <item h="1" x="180"/>
        <item h="1" x="54"/>
        <item h="1" x="320"/>
        <item h="1" x="598"/>
        <item h="1" x="257"/>
        <item h="1" x="62"/>
        <item h="1" x="150"/>
        <item h="1" x="258"/>
        <item h="1" x="402"/>
        <item h="1" x="110"/>
        <item h="1" x="648"/>
        <item h="1" x="527"/>
        <item h="1" x="401"/>
        <item h="1" x="506"/>
        <item h="1" x="33"/>
        <item h="1" x="319"/>
        <item h="1" x="340"/>
        <item h="1" x="189"/>
        <item h="1" x="348"/>
        <item h="1" x="668"/>
        <item h="1" x="445"/>
        <item h="1" x="163"/>
        <item h="1" x="430"/>
        <item h="1" x="592"/>
        <item h="1" x="93"/>
        <item h="1" x="141"/>
        <item h="1" x="230"/>
        <item h="1" x="704"/>
        <item h="1" x="646"/>
        <item h="1" x="380"/>
        <item h="1" x="466"/>
        <item h="1" x="82"/>
        <item h="1" x="672"/>
        <item h="1" x="101"/>
        <item h="1" x="144"/>
        <item h="1" x="679"/>
        <item h="1" x="289"/>
        <item h="1" x="65"/>
        <item h="1" x="226"/>
        <item h="1" x="179"/>
        <item h="1" x="220"/>
        <item h="1" x="462"/>
        <item h="1" x="3"/>
        <item h="1" x="629"/>
        <item h="1" x="167"/>
        <item h="1" x="453"/>
        <item h="1" x="287"/>
        <item h="1" x="187"/>
        <item h="1" x="477"/>
        <item h="1" x="404"/>
        <item h="1" x="691"/>
        <item h="1" x="58"/>
        <item h="1" x="485"/>
        <item h="1" x="134"/>
        <item h="1" x="465"/>
        <item h="1" x="417"/>
        <item h="1" x="70"/>
        <item h="1" x="649"/>
        <item h="1" x="88"/>
        <item h="1" x="250"/>
        <item h="1" x="700"/>
        <item h="1" x="92"/>
        <item h="1" x="120"/>
        <item h="1" x="381"/>
        <item h="1" x="435"/>
        <item h="1" x="112"/>
        <item h="1" x="316"/>
        <item h="1" x="644"/>
        <item h="1" x="659"/>
        <item h="1" x="21"/>
        <item h="1" x="480"/>
        <item h="1" x="94"/>
        <item h="1" x="595"/>
        <item h="1" x="90"/>
        <item h="1" x="266"/>
        <item h="1" x="277"/>
        <item h="1" x="48"/>
        <item h="1" x="516"/>
        <item h="1" x="279"/>
        <item h="1" x="794"/>
        <item h="1" x="108"/>
        <item h="1" x="172"/>
        <item h="1" x="51"/>
        <item h="1" x="395"/>
        <item h="1" x="563"/>
        <item h="1" x="10"/>
        <item h="1" x="535"/>
        <item h="1" x="16"/>
        <item h="1" x="130"/>
        <item h="1" x="523"/>
        <item h="1" x="156"/>
        <item h="1" x="14"/>
        <item h="1" x="483"/>
        <item h="1" x="13"/>
        <item h="1" x="760"/>
        <item h="1" x="103"/>
        <item h="1" x="736"/>
        <item h="1" x="198"/>
        <item h="1" x="115"/>
        <item h="1" x="310"/>
        <item h="1" x="325"/>
        <item h="1" x="616"/>
        <item h="1" x="1"/>
        <item h="1" x="703"/>
        <item h="1" x="597"/>
        <item h="1" x="469"/>
        <item h="1" x="455"/>
        <item h="1" x="63"/>
        <item h="1" x="272"/>
        <item h="1" x="610"/>
        <item h="1" x="670"/>
        <item h="1" x="161"/>
        <item h="1" x="573"/>
        <item h="1" x="769"/>
        <item h="1" x="210"/>
        <item h="1" x="643"/>
        <item h="1" x="276"/>
        <item h="1" x="168"/>
        <item h="1" x="77"/>
        <item h="1" x="222"/>
        <item h="1" x="593"/>
        <item h="1" x="149"/>
        <item h="1" x="589"/>
        <item h="1" x="96"/>
        <item h="1" x="386"/>
        <item h="1" x="321"/>
        <item h="1" x="582"/>
        <item h="1" x="139"/>
        <item h="1" x="32"/>
        <item h="1" x="694"/>
        <item h="1" x="744"/>
        <item h="1" x="382"/>
        <item h="1" x="612"/>
        <item h="1" x="427"/>
        <item h="1" x="354"/>
        <item h="1" x="680"/>
        <item h="1" x="396"/>
        <item h="1" x="57"/>
        <item h="1" x="685"/>
        <item h="1" x="146"/>
        <item h="1" x="68"/>
        <item h="1" x="155"/>
        <item h="1" x="203"/>
        <item h="1" x="66"/>
        <item h="1" x="296"/>
        <item h="1" x="59"/>
        <item h="1" x="369"/>
        <item h="1" x="339"/>
        <item h="1" x="227"/>
        <item h="1" x="436"/>
        <item h="1" x="132"/>
        <item h="1" x="69"/>
        <item h="1" x="171"/>
        <item h="1" x="432"/>
        <item h="1" x="85"/>
        <item h="1" x="661"/>
        <item h="1" x="374"/>
        <item h="1" x="452"/>
        <item h="1" x="399"/>
        <item h="1" x="438"/>
        <item h="1" x="45"/>
        <item h="1" x="526"/>
        <item h="1" x="619"/>
        <item h="1" x="29"/>
        <item h="1" x="76"/>
        <item h="1" x="55"/>
        <item h="1" x="19"/>
        <item h="1" x="543"/>
        <item h="1" x="497"/>
        <item h="1" x="624"/>
        <item h="1" x="47"/>
        <item h="1" x="143"/>
        <item h="1" x="284"/>
        <item h="1" x="308"/>
        <item h="1" x="379"/>
        <item h="1" x="550"/>
        <item h="1" x="618"/>
        <item h="1" x="503"/>
        <item h="1" x="671"/>
        <item h="1" x="434"/>
        <item h="1" x="408"/>
        <item h="1" x="525"/>
        <item h="1" x="741"/>
        <item h="1" x="360"/>
        <item h="1" x="599"/>
        <item h="1" x="729"/>
        <item h="1" x="107"/>
        <item h="1" x="36"/>
        <item h="1" x="628"/>
        <item h="1" x="710"/>
        <item h="1" x="514"/>
        <item h="1" x="627"/>
        <item h="1" x="315"/>
        <item h="1" x="574"/>
        <item h="1" x="505"/>
        <item h="1" x="242"/>
        <item t="default"/>
      </items>
    </pivotField>
    <pivotField showAll="0">
      <items count="6">
        <item x="3"/>
        <item x="2"/>
        <item x="4"/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18">
        <item x="13"/>
        <item x="8"/>
        <item x="7"/>
        <item x="12"/>
        <item x="10"/>
        <item x="5"/>
        <item x="11"/>
        <item x="2"/>
        <item x="6"/>
        <item x="9"/>
        <item x="14"/>
        <item x="3"/>
        <item x="15"/>
        <item x="4"/>
        <item x="1"/>
        <item x="0"/>
        <item x="16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showAll="0"/>
  </pivotFields>
  <rowFields count="2">
    <field x="4"/>
    <field x="2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Recuento" fld="4" subtotal="count" baseField="4" baseItem="1"/>
    <dataField name="Promedio de Km" fld="6" subtotal="average" baseField="4" baseItem="1"/>
    <dataField name="Promedio de combustible" fld="19" subtotal="average" baseField="4" baseItem="1"/>
    <dataField name="Promedio de CV" fld="13" subtotal="average" baseField="4" baseItem="1" numFmtId="2"/>
  </dataFields>
  <formats count="36">
    <format dxfId="38">
      <pivotArea collapsedLevelsAreSubtotals="1" fieldPosition="0">
        <references count="2">
          <reference field="4294967294" count="1" selected="0">
            <x v="1"/>
          </reference>
          <reference field="4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39">
      <pivotArea collapsedLevelsAreSubtotals="1" fieldPosition="0">
        <references count="2">
          <reference field="4294967294" count="1" selected="0">
            <x v="2"/>
          </reference>
          <reference field="4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40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41">
      <pivotArea field="4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42">
      <pivotArea field="4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43">
      <pivotArea collapsedLevelsAreSubtotals="1" fieldPosition="0">
        <references count="2">
          <reference field="4294967294" count="1" selected="0">
            <x v="1"/>
          </reference>
          <reference field="4" count="1">
            <x v="1"/>
          </reference>
        </references>
      </pivotArea>
    </format>
    <format dxfId="44">
      <pivotArea collapsedLevelsAreSubtotals="1" fieldPosition="0">
        <references count="2">
          <reference field="4294967294" count="1" selected="0">
            <x v="1"/>
          </reference>
          <reference field="4" count="1">
            <x v="2"/>
          </reference>
        </references>
      </pivotArea>
    </format>
    <format dxfId="45">
      <pivotArea collapsedLevelsAreSubtotals="1" fieldPosition="0">
        <references count="2">
          <reference field="4294967294" count="1" selected="0">
            <x v="1"/>
          </reference>
          <reference field="4" count="1">
            <x v="3"/>
          </reference>
        </references>
      </pivotArea>
    </format>
    <format dxfId="46">
      <pivotArea collapsedLevelsAreSubtotals="1" fieldPosition="0">
        <references count="2">
          <reference field="4294967294" count="1" selected="0">
            <x v="1"/>
          </reference>
          <reference field="4" count="1">
            <x v="4"/>
          </reference>
        </references>
      </pivotArea>
    </format>
    <format dxfId="47">
      <pivotArea collapsedLevelsAreSubtotals="1" fieldPosition="0">
        <references count="2">
          <reference field="4294967294" count="1" selected="0">
            <x v="1"/>
          </reference>
          <reference field="4" count="1">
            <x v="5"/>
          </reference>
        </references>
      </pivotArea>
    </format>
    <format dxfId="48">
      <pivotArea collapsedLevelsAreSubtotals="1" fieldPosition="0">
        <references count="2">
          <reference field="4294967294" count="1" selected="0">
            <x v="1"/>
          </reference>
          <reference field="4" count="1">
            <x v="6"/>
          </reference>
        </references>
      </pivotArea>
    </format>
    <format dxfId="49">
      <pivotArea collapsedLevelsAreSubtotals="1" fieldPosition="0">
        <references count="2">
          <reference field="4294967294" count="1" selected="0">
            <x v="1"/>
          </reference>
          <reference field="4" count="1">
            <x v="7"/>
          </reference>
        </references>
      </pivotArea>
    </format>
    <format dxfId="50">
      <pivotArea collapsedLevelsAreSubtotals="1" fieldPosition="0">
        <references count="2">
          <reference field="4294967294" count="1" selected="0">
            <x v="1"/>
          </reference>
          <reference field="4" count="1">
            <x v="8"/>
          </reference>
        </references>
      </pivotArea>
    </format>
    <format dxfId="51">
      <pivotArea collapsedLevelsAreSubtotals="1" fieldPosition="0">
        <references count="2">
          <reference field="4294967294" count="1" selected="0">
            <x v="1"/>
          </reference>
          <reference field="4" count="1">
            <x v="9"/>
          </reference>
        </references>
      </pivotArea>
    </format>
    <format dxfId="52">
      <pivotArea collapsedLevelsAreSubtotals="1" fieldPosition="0">
        <references count="2">
          <reference field="4294967294" count="1" selected="0">
            <x v="1"/>
          </reference>
          <reference field="4" count="1">
            <x v="10"/>
          </reference>
        </references>
      </pivotArea>
    </format>
    <format dxfId="53">
      <pivotArea collapsedLevelsAreSubtotals="1" fieldPosition="0">
        <references count="2">
          <reference field="4294967294" count="1" selected="0">
            <x v="1"/>
          </reference>
          <reference field="4" count="1">
            <x v="11"/>
          </reference>
        </references>
      </pivotArea>
    </format>
    <format dxfId="54">
      <pivotArea type="all" dataOnly="0" outline="0" fieldPosition="0"/>
    </format>
    <format dxfId="55">
      <pivotArea outline="0" collapsedLevelsAreSubtotals="1" fieldPosition="0"/>
    </format>
    <format dxfId="56">
      <pivotArea field="4" type="button" dataOnly="0" labelOnly="1" outline="0" axis="axisRow" fieldPosition="0"/>
    </format>
    <format dxfId="57">
      <pivotArea dataOnly="0" labelOnly="1" fieldPosition="0">
        <references count="1">
          <reference field="4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58">
      <pivotArea dataOnly="0" labelOnly="1" grandRow="1" outline="0" fieldPosition="0"/>
    </format>
    <format dxfId="5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4" type="button" dataOnly="0" labelOnly="1" outline="0" axis="axisRow" fieldPosition="0"/>
    </format>
    <format dxfId="34">
      <pivotArea dataOnly="0" labelOnly="1" fieldPosition="0">
        <references count="1">
          <reference field="4" count="9">
            <x v="1"/>
            <x v="2"/>
            <x v="3"/>
            <x v="4"/>
            <x v="5"/>
            <x v="6"/>
            <x v="7"/>
            <x v="8"/>
            <x v="11"/>
          </reference>
        </references>
      </pivotArea>
    </format>
    <format dxfId="33">
      <pivotArea dataOnly="0" labelOnly="1" grandRow="1" outline="0" fieldPosition="0"/>
    </format>
    <format dxfId="32">
      <pivotArea dataOnly="0" labelOnly="1" fieldPosition="0">
        <references count="2">
          <reference field="2" count="5">
            <x v="105"/>
            <x v="106"/>
            <x v="107"/>
            <x v="108"/>
            <x v="109"/>
          </reference>
          <reference field="4" count="1" selected="0">
            <x v="6"/>
          </reference>
        </references>
      </pivotArea>
    </format>
    <format dxfId="3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4" type="button" dataOnly="0" labelOnly="1" outline="0" axis="axisRow" fieldPosition="0"/>
    </format>
    <format dxfId="13">
      <pivotArea dataOnly="0" labelOnly="1" fieldPosition="0">
        <references count="1">
          <reference field="4" count="9">
            <x v="1"/>
            <x v="2"/>
            <x v="3"/>
            <x v="4"/>
            <x v="5"/>
            <x v="6"/>
            <x v="7"/>
            <x v="8"/>
            <x v="11"/>
          </reference>
        </references>
      </pivotArea>
    </format>
    <format dxfId="12">
      <pivotArea dataOnly="0" labelOnly="1" grandRow="1" outline="0" fieldPosition="0"/>
    </format>
    <format dxfId="11">
      <pivotArea dataOnly="0" labelOnly="1" fieldPosition="0">
        <references count="2">
          <reference field="2" count="5">
            <x v="105"/>
            <x v="106"/>
            <x v="107"/>
            <x v="108"/>
            <x v="109"/>
          </reference>
          <reference field="4" count="1" selected="0">
            <x v="6"/>
          </reference>
        </references>
      </pivotArea>
    </format>
    <format dxfId="1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onditionalFormats count="3">
    <conditionalFormat priority="3">
      <pivotAreas count="22"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054">
              <x v="0"/>
              <x v="119"/>
              <x v="209"/>
              <x v="210"/>
              <x v="211"/>
              <x v="212"/>
              <x v="213"/>
              <x v="214"/>
              <x v="215"/>
              <x v="216"/>
              <x v="217"/>
              <x v="218"/>
              <x v="219"/>
              <x v="220"/>
              <x v="221"/>
              <x v="222"/>
              <x v="223"/>
              <x v="225"/>
              <x v="226"/>
              <x v="227"/>
              <x v="228"/>
              <x v="229"/>
              <x v="230"/>
              <x v="231"/>
              <x v="232"/>
              <x v="233"/>
              <x v="234"/>
              <x v="235"/>
              <x v="236"/>
              <x v="237"/>
              <x v="238"/>
              <x v="239"/>
              <x v="240"/>
              <x v="241"/>
              <x v="242"/>
              <x v="243"/>
              <x v="244"/>
              <x v="245"/>
              <x v="246"/>
              <x v="247"/>
              <x v="248"/>
              <x v="249"/>
              <x v="250"/>
              <x v="251"/>
              <x v="252"/>
              <x v="253"/>
              <x v="254"/>
              <x v="255"/>
              <x v="256"/>
              <x v="257"/>
              <x v="258"/>
              <x v="259"/>
              <x v="260"/>
              <x v="275"/>
              <x v="276"/>
              <x v="277"/>
              <x v="278"/>
              <x v="279"/>
              <x v="280"/>
              <x v="281"/>
              <x v="282"/>
              <x v="283"/>
              <x v="284"/>
              <x v="285"/>
              <x v="286"/>
              <x v="287"/>
              <x v="288"/>
              <x v="289"/>
              <x v="290"/>
              <x v="291"/>
              <x v="292"/>
              <x v="293"/>
              <x v="294"/>
              <x v="295"/>
              <x v="296"/>
              <x v="297"/>
              <x v="298"/>
              <x v="299"/>
              <x v="300"/>
              <x v="301"/>
              <x v="302"/>
              <x v="303"/>
              <x v="304"/>
              <x v="305"/>
              <x v="306"/>
              <x v="307"/>
              <x v="308"/>
              <x v="309"/>
              <x v="310"/>
              <x v="311"/>
              <x v="312"/>
              <x v="313"/>
              <x v="314"/>
              <x v="315"/>
              <x v="316"/>
              <x v="317"/>
              <x v="318"/>
              <x v="319"/>
              <x v="320"/>
              <x v="321"/>
              <x v="322"/>
              <x v="323"/>
              <x v="324"/>
              <x v="325"/>
              <x v="326"/>
              <x v="327"/>
              <x v="328"/>
              <x v="329"/>
              <x v="330"/>
              <x v="331"/>
              <x v="332"/>
              <x v="333"/>
              <x v="334"/>
              <x v="335"/>
              <x v="336"/>
              <x v="337"/>
              <x v="338"/>
              <x v="339"/>
              <x v="340"/>
              <x v="341"/>
              <x v="342"/>
              <x v="343"/>
              <x v="344"/>
              <x v="345"/>
              <x v="346"/>
              <x v="347"/>
              <x v="348"/>
              <x v="349"/>
              <x v="350"/>
              <x v="351"/>
              <x v="352"/>
              <x v="353"/>
              <x v="354"/>
              <x v="355"/>
              <x v="356"/>
              <x v="357"/>
              <x v="358"/>
              <x v="359"/>
              <x v="360"/>
              <x v="361"/>
              <x v="362"/>
              <x v="363"/>
              <x v="364"/>
              <x v="365"/>
              <x v="366"/>
              <x v="367"/>
              <x v="368"/>
              <x v="369"/>
              <x v="370"/>
              <x v="371"/>
              <x v="372"/>
              <x v="373"/>
              <x v="374"/>
              <x v="375"/>
              <x v="376"/>
              <x v="377"/>
              <x v="378"/>
              <x v="379"/>
              <x v="380"/>
              <x v="381"/>
              <x v="382"/>
              <x v="383"/>
              <x v="384"/>
              <x v="385"/>
              <x v="386"/>
              <x v="387"/>
              <x v="388"/>
              <x v="389"/>
              <x v="390"/>
              <x v="391"/>
              <x v="392"/>
              <x v="393"/>
              <x v="394"/>
              <x v="395"/>
              <x v="396"/>
              <x v="397"/>
              <x v="398"/>
              <x v="399"/>
              <x v="400"/>
              <x v="401"/>
              <x v="402"/>
              <x v="403"/>
              <x v="404"/>
              <x v="425"/>
              <x v="426"/>
              <x v="427"/>
              <x v="428"/>
              <x v="429"/>
              <x v="430"/>
              <x v="431"/>
              <x v="432"/>
              <x v="433"/>
              <x v="434"/>
              <x v="435"/>
              <x v="436"/>
              <x v="437"/>
              <x v="438"/>
              <x v="439"/>
              <x v="440"/>
              <x v="441"/>
              <x v="442"/>
              <x v="443"/>
              <x v="444"/>
              <x v="445"/>
              <x v="446"/>
              <x v="447"/>
              <x v="448"/>
              <x v="449"/>
              <x v="450"/>
              <x v="451"/>
              <x v="452"/>
              <x v="453"/>
              <x v="454"/>
              <x v="455"/>
              <x v="456"/>
              <x v="457"/>
              <x v="458"/>
              <x v="459"/>
              <x v="460"/>
              <x v="461"/>
              <x v="462"/>
              <x v="463"/>
              <x v="464"/>
              <x v="465"/>
              <x v="466"/>
              <x v="467"/>
              <x v="468"/>
              <x v="469"/>
              <x v="470"/>
              <x v="471"/>
              <x v="472"/>
              <x v="473"/>
              <x v="474"/>
              <x v="475"/>
              <x v="476"/>
              <x v="477"/>
              <x v="478"/>
              <x v="479"/>
              <x v="480"/>
              <x v="481"/>
              <x v="482"/>
              <x v="483"/>
              <x v="484"/>
              <x v="485"/>
              <x v="486"/>
              <x v="487"/>
              <x v="488"/>
              <x v="489"/>
              <x v="490"/>
              <x v="491"/>
              <x v="492"/>
              <x v="493"/>
              <x v="494"/>
              <x v="495"/>
              <x v="496"/>
              <x v="497"/>
              <x v="498"/>
              <x v="499"/>
              <x v="500"/>
              <x v="501"/>
              <x v="502"/>
              <x v="503"/>
              <x v="504"/>
              <x v="505"/>
              <x v="506"/>
              <x v="507"/>
              <x v="508"/>
              <x v="509"/>
              <x v="510"/>
              <x v="511"/>
              <x v="512"/>
              <x v="513"/>
              <x v="514"/>
              <x v="515"/>
              <x v="516"/>
              <x v="517"/>
              <x v="518"/>
              <x v="519"/>
              <x v="520"/>
              <x v="521"/>
              <x v="522"/>
              <x v="523"/>
              <x v="524"/>
              <x v="525"/>
              <x v="526"/>
              <x v="527"/>
              <x v="528"/>
              <x v="529"/>
              <x v="530"/>
              <x v="531"/>
              <x v="532"/>
              <x v="533"/>
              <x v="534"/>
              <x v="535"/>
              <x v="536"/>
              <x v="537"/>
              <x v="538"/>
              <x v="539"/>
              <x v="540"/>
              <x v="541"/>
              <x v="542"/>
              <x v="543"/>
              <x v="544"/>
              <x v="545"/>
              <x v="546"/>
              <x v="547"/>
              <x v="548"/>
              <x v="549"/>
              <x v="550"/>
              <x v="551"/>
              <x v="552"/>
              <x v="553"/>
              <x v="554"/>
              <x v="555"/>
              <x v="556"/>
              <x v="557"/>
              <x v="558"/>
              <x v="559"/>
              <x v="560"/>
              <x v="561"/>
              <x v="562"/>
              <x v="563"/>
              <x v="564"/>
              <x v="565"/>
              <x v="566"/>
              <x v="567"/>
              <x v="568"/>
              <x v="569"/>
              <x v="570"/>
              <x v="571"/>
              <x v="572"/>
              <x v="573"/>
              <x v="574"/>
              <x v="575"/>
              <x v="576"/>
              <x v="577"/>
              <x v="578"/>
              <x v="579"/>
              <x v="580"/>
              <x v="581"/>
              <x v="582"/>
              <x v="583"/>
              <x v="584"/>
              <x v="585"/>
              <x v="586"/>
              <x v="587"/>
              <x v="588"/>
              <x v="589"/>
              <x v="590"/>
              <x v="591"/>
              <x v="592"/>
              <x v="593"/>
              <x v="594"/>
              <x v="595"/>
              <x v="596"/>
              <x v="597"/>
              <x v="598"/>
              <x v="599"/>
              <x v="600"/>
              <x v="601"/>
              <x v="602"/>
              <x v="603"/>
              <x v="604"/>
              <x v="605"/>
              <x v="606"/>
              <x v="607"/>
              <x v="608"/>
              <x v="609"/>
              <x v="610"/>
              <x v="611"/>
              <x v="612"/>
              <x v="613"/>
              <x v="614"/>
              <x v="615"/>
              <x v="616"/>
              <x v="617"/>
              <x v="618"/>
              <x v="619"/>
              <x v="620"/>
              <x v="621"/>
              <x v="622"/>
              <x v="623"/>
              <x v="624"/>
              <x v="625"/>
              <x v="626"/>
              <x v="627"/>
              <x v="628"/>
              <x v="629"/>
              <x v="630"/>
              <x v="631"/>
              <x v="632"/>
              <x v="633"/>
              <x v="634"/>
              <x v="635"/>
              <x v="636"/>
              <x v="637"/>
              <x v="638"/>
              <x v="639"/>
              <x v="640"/>
              <x v="641"/>
              <x v="642"/>
              <x v="643"/>
              <x v="644"/>
              <x v="645"/>
              <x v="646"/>
              <x v="647"/>
              <x v="648"/>
              <x v="649"/>
              <x v="650"/>
              <x v="651"/>
              <x v="652"/>
              <x v="653"/>
              <x v="654"/>
              <x v="655"/>
              <x v="656"/>
              <x v="657"/>
              <x v="658"/>
              <x v="659"/>
              <x v="660"/>
              <x v="661"/>
              <x v="662"/>
              <x v="663"/>
              <x v="664"/>
              <x v="665"/>
              <x v="666"/>
              <x v="667"/>
              <x v="668"/>
              <x v="669"/>
              <x v="670"/>
              <x v="671"/>
              <x v="856"/>
              <x v="857"/>
              <x v="858"/>
              <x v="859"/>
              <x v="860"/>
              <x v="861"/>
              <x v="862"/>
              <x v="863"/>
              <x v="864"/>
              <x v="865"/>
              <x v="866"/>
              <x v="867"/>
              <x v="868"/>
              <x v="869"/>
              <x v="870"/>
              <x v="871"/>
              <x v="872"/>
              <x v="873"/>
              <x v="874"/>
              <x v="875"/>
              <x v="876"/>
              <x v="877"/>
              <x v="878"/>
              <x v="879"/>
              <x v="880"/>
              <x v="881"/>
              <x v="882"/>
              <x v="883"/>
              <x v="884"/>
              <x v="885"/>
              <x v="886"/>
              <x v="887"/>
              <x v="888"/>
              <x v="889"/>
              <x v="890"/>
              <x v="891"/>
              <x v="892"/>
              <x v="893"/>
              <x v="894"/>
              <x v="895"/>
              <x v="896"/>
              <x v="897"/>
              <x v="898"/>
              <x v="899"/>
              <x v="968"/>
              <x v="969"/>
              <x v="970"/>
              <x v="971"/>
              <x v="972"/>
              <x v="973"/>
              <x v="974"/>
              <x v="975"/>
              <x v="976"/>
              <x v="977"/>
              <x v="978"/>
              <x v="979"/>
              <x v="980"/>
              <x v="981"/>
              <x v="982"/>
              <x v="983"/>
              <x v="984"/>
              <x v="985"/>
              <x v="986"/>
              <x v="987"/>
              <x v="988"/>
              <x v="989"/>
              <x v="990"/>
              <x v="991"/>
              <x v="992"/>
              <x v="993"/>
              <x v="994"/>
              <x v="995"/>
              <x v="996"/>
              <x v="997"/>
              <x v="998"/>
              <x v="999"/>
              <x v="1000"/>
              <x v="1001"/>
              <x v="1002"/>
              <x v="1003"/>
              <x v="1004"/>
              <x v="1005"/>
              <x v="1006"/>
              <x v="1007"/>
              <x v="1008"/>
              <x v="1009"/>
              <x v="1010"/>
              <x v="1011"/>
              <x v="1012"/>
              <x v="1013"/>
              <x v="1014"/>
              <x v="1015"/>
              <x v="1016"/>
              <x v="1017"/>
              <x v="1018"/>
              <x v="1019"/>
              <x v="1020"/>
              <x v="1021"/>
              <x v="1022"/>
              <x v="1023"/>
              <x v="1024"/>
              <x v="1025"/>
              <x v="1026"/>
              <x v="1027"/>
              <x v="1028"/>
              <x v="1029"/>
              <x v="1030"/>
              <x v="1031"/>
              <x v="1032"/>
              <x v="1033"/>
              <x v="1034"/>
              <x v="1035"/>
              <x v="1036"/>
              <x v="1037"/>
              <x v="1038"/>
              <x v="1039"/>
              <x v="1040"/>
              <x v="1041"/>
              <x v="1042"/>
              <x v="1043"/>
              <x v="1044"/>
              <x v="1045"/>
              <x v="1046"/>
              <x v="1047"/>
              <x v="1048"/>
              <x v="1049"/>
              <x v="1050"/>
              <x v="1051"/>
              <x v="1052"/>
              <x v="1053"/>
              <x v="1054"/>
              <x v="1055"/>
              <x v="1056"/>
              <x v="1057"/>
              <x v="1058"/>
              <x v="1059"/>
              <x v="1060"/>
              <x v="1061"/>
              <x v="1062"/>
              <x v="1063"/>
              <x v="1064"/>
              <x v="1065"/>
              <x v="1066"/>
              <x v="1067"/>
              <x v="1068"/>
              <x v="1069"/>
              <x v="1070"/>
              <x v="1071"/>
              <x v="1072"/>
              <x v="1073"/>
              <x v="1074"/>
              <x v="1075"/>
              <x v="1076"/>
              <x v="1077"/>
              <x v="1078"/>
              <x v="1079"/>
              <x v="1080"/>
              <x v="1081"/>
              <x v="1082"/>
              <x v="1083"/>
              <x v="1084"/>
              <x v="1085"/>
              <x v="1086"/>
              <x v="1087"/>
              <x v="1088"/>
              <x v="1089"/>
              <x v="1090"/>
              <x v="1091"/>
              <x v="1092"/>
              <x v="1093"/>
              <x v="1094"/>
              <x v="1095"/>
              <x v="1096"/>
              <x v="1097"/>
              <x v="1098"/>
              <x v="1099"/>
              <x v="1100"/>
              <x v="1101"/>
              <x v="1102"/>
              <x v="1103"/>
              <x v="1104"/>
              <x v="1105"/>
              <x v="1106"/>
              <x v="1107"/>
              <x v="1108"/>
              <x v="1109"/>
              <x v="1110"/>
              <x v="1111"/>
              <x v="1112"/>
              <x v="1113"/>
              <x v="1114"/>
              <x v="1115"/>
              <x v="1116"/>
              <x v="1117"/>
              <x v="1118"/>
              <x v="1119"/>
              <x v="1120"/>
              <x v="1121"/>
              <x v="1122"/>
              <x v="1123"/>
              <x v="1124"/>
              <x v="1125"/>
              <x v="1126"/>
              <x v="1127"/>
              <x v="1128"/>
              <x v="1129"/>
              <x v="1130"/>
              <x v="1131"/>
              <x v="1132"/>
              <x v="1133"/>
              <x v="1134"/>
              <x v="1135"/>
              <x v="1136"/>
              <x v="1137"/>
              <x v="1138"/>
              <x v="1139"/>
              <x v="1140"/>
              <x v="1141"/>
              <x v="1142"/>
              <x v="1143"/>
              <x v="1144"/>
              <x v="1145"/>
              <x v="1146"/>
              <x v="1147"/>
              <x v="1148"/>
              <x v="1149"/>
              <x v="1150"/>
              <x v="1151"/>
              <x v="1152"/>
              <x v="1153"/>
              <x v="1154"/>
              <x v="1155"/>
              <x v="1156"/>
              <x v="1157"/>
              <x v="1158"/>
              <x v="1159"/>
              <x v="1160"/>
              <x v="1161"/>
              <x v="1162"/>
              <x v="1163"/>
              <x v="1164"/>
              <x v="1165"/>
              <x v="1166"/>
              <x v="1167"/>
              <x v="1168"/>
              <x v="1169"/>
              <x v="1170"/>
              <x v="1171"/>
              <x v="1172"/>
              <x v="1173"/>
              <x v="1174"/>
              <x v="1175"/>
              <x v="1176"/>
              <x v="1177"/>
              <x v="1178"/>
              <x v="1179"/>
              <x v="1180"/>
              <x v="1181"/>
              <x v="1182"/>
              <x v="1183"/>
              <x v="1184"/>
              <x v="1185"/>
              <x v="1186"/>
              <x v="1187"/>
              <x v="1188"/>
              <x v="1189"/>
              <x v="1190"/>
              <x v="1191"/>
              <x v="1192"/>
              <x v="1193"/>
              <x v="1194"/>
              <x v="1195"/>
              <x v="1196"/>
              <x v="1197"/>
              <x v="1198"/>
              <x v="1199"/>
              <x v="1200"/>
              <x v="1201"/>
              <x v="1202"/>
              <x v="1203"/>
              <x v="1204"/>
              <x v="1205"/>
              <x v="1206"/>
              <x v="1207"/>
              <x v="1208"/>
              <x v="1209"/>
              <x v="1210"/>
              <x v="1211"/>
              <x v="1212"/>
              <x v="1213"/>
              <x v="1214"/>
              <x v="1215"/>
              <x v="1216"/>
              <x v="1217"/>
              <x v="1218"/>
              <x v="1219"/>
              <x v="1220"/>
              <x v="1221"/>
              <x v="1222"/>
              <x v="1223"/>
              <x v="1224"/>
              <x v="1225"/>
              <x v="1226"/>
              <x v="1227"/>
              <x v="1228"/>
              <x v="1229"/>
              <x v="1230"/>
              <x v="1231"/>
              <x v="1232"/>
              <x v="1233"/>
              <x v="1234"/>
              <x v="1235"/>
              <x v="1236"/>
              <x v="1237"/>
              <x v="1238"/>
              <x v="1239"/>
              <x v="1240"/>
              <x v="1241"/>
              <x v="1242"/>
              <x v="1243"/>
              <x v="1244"/>
              <x v="1245"/>
              <x v="1246"/>
              <x v="1247"/>
              <x v="1248"/>
              <x v="1249"/>
              <x v="1250"/>
              <x v="1251"/>
              <x v="1252"/>
              <x v="1253"/>
              <x v="1254"/>
              <x v="1255"/>
              <x v="1256"/>
              <x v="1257"/>
              <x v="1258"/>
              <x v="1259"/>
              <x v="1260"/>
              <x v="1261"/>
              <x v="1262"/>
              <x v="1263"/>
              <x v="1264"/>
              <x v="1265"/>
              <x v="1266"/>
              <x v="1267"/>
              <x v="1268"/>
              <x v="1269"/>
              <x v="1270"/>
              <x v="1271"/>
              <x v="1272"/>
              <x v="1273"/>
              <x v="1274"/>
              <x v="1275"/>
              <x v="1276"/>
              <x v="1277"/>
              <x v="1278"/>
              <x v="1279"/>
              <x v="1280"/>
              <x v="1281"/>
              <x v="1282"/>
              <x v="1283"/>
              <x v="1284"/>
              <x v="1285"/>
              <x v="1286"/>
              <x v="1287"/>
              <x v="1288"/>
              <x v="1289"/>
              <x v="1290"/>
              <x v="1291"/>
              <x v="1292"/>
              <x v="1293"/>
              <x v="1294"/>
              <x v="1295"/>
              <x v="1296"/>
              <x v="1297"/>
              <x v="1298"/>
              <x v="1299"/>
              <x v="1300"/>
              <x v="1301"/>
              <x v="1302"/>
              <x v="1303"/>
              <x v="1304"/>
              <x v="1305"/>
              <x v="1306"/>
              <x v="1307"/>
              <x v="1308"/>
              <x v="1309"/>
              <x v="1310"/>
              <x v="1311"/>
              <x v="1312"/>
              <x v="1313"/>
              <x v="1314"/>
              <x v="1315"/>
              <x v="1316"/>
              <x v="1317"/>
              <x v="1318"/>
              <x v="1319"/>
              <x v="1320"/>
              <x v="1321"/>
              <x v="1322"/>
              <x v="1323"/>
              <x v="1324"/>
              <x v="1325"/>
              <x v="1326"/>
              <x v="1327"/>
              <x v="1328"/>
              <x v="1329"/>
              <x v="1330"/>
              <x v="1331"/>
              <x v="1332"/>
              <x v="1333"/>
              <x v="1334"/>
              <x v="1335"/>
              <x v="1336"/>
              <x v="1337"/>
              <x v="1338"/>
              <x v="1339"/>
              <x v="1340"/>
              <x v="1341"/>
              <x v="1342"/>
              <x v="1343"/>
              <x v="1344"/>
              <x v="1345"/>
              <x v="1346"/>
              <x v="1347"/>
              <x v="1348"/>
              <x v="1349"/>
              <x v="1350"/>
              <x v="1351"/>
              <x v="1352"/>
              <x v="1353"/>
              <x v="1354"/>
              <x v="1355"/>
              <x v="1356"/>
              <x v="1357"/>
              <x v="1358"/>
              <x v="1359"/>
              <x v="1360"/>
              <x v="1361"/>
              <x v="1362"/>
              <x v="1363"/>
              <x v="1364"/>
              <x v="1365"/>
              <x v="1393"/>
              <x v="1394"/>
              <x v="1395"/>
              <x v="1396"/>
              <x v="1397"/>
              <x v="1579"/>
              <x v="1583"/>
              <x v="1584"/>
              <x v="1585"/>
              <x v="1586"/>
              <x v="1587"/>
              <x v="1588"/>
              <x v="1589"/>
              <x v="1590"/>
              <x v="1591"/>
              <x v="1592"/>
              <x v="1593"/>
              <x v="1594"/>
              <x v="1595"/>
              <x v="1596"/>
              <x v="1597"/>
              <x v="1610"/>
              <x v="1611"/>
              <x v="1612"/>
              <x v="1613"/>
              <x v="1614"/>
              <x v="1615"/>
              <x v="1616"/>
              <x v="1617"/>
              <x v="1618"/>
              <x v="1619"/>
              <x v="1620"/>
              <x v="1621"/>
              <x v="1622"/>
              <x v="1623"/>
              <x v="1624"/>
              <x v="1625"/>
              <x v="1626"/>
              <x v="1627"/>
              <x v="1628"/>
              <x v="1629"/>
              <x v="1630"/>
              <x v="1631"/>
              <x v="1632"/>
              <x v="1633"/>
              <x v="1634"/>
              <x v="1635"/>
              <x v="1636"/>
              <x v="1637"/>
              <x v="1638"/>
              <x v="1639"/>
              <x v="1640"/>
              <x v="1641"/>
              <x v="1642"/>
              <x v="1643"/>
              <x v="1644"/>
              <x v="1645"/>
              <x v="1646"/>
              <x v="1647"/>
              <x v="1648"/>
              <x v="1649"/>
              <x v="1650"/>
              <x v="1656"/>
              <x v="1657"/>
              <x v="1658"/>
              <x v="1659"/>
              <x v="1660"/>
              <x v="1661"/>
              <x v="1662"/>
              <x v="1663"/>
              <x v="1664"/>
              <x v="1665"/>
              <x v="1666"/>
              <x v="1667"/>
              <x v="1668"/>
              <x v="1669"/>
              <x v="1670"/>
              <x v="1693"/>
              <x v="1694"/>
              <x v="1696"/>
              <x v="1697"/>
              <x v="1698"/>
              <x v="1699"/>
              <x v="1700"/>
              <x v="1701"/>
              <x v="1702"/>
              <x v="1703"/>
              <x v="1704"/>
              <x v="1705"/>
              <x v="1706"/>
              <x v="1707"/>
              <x v="1708"/>
              <x v="1709"/>
              <x v="1710"/>
              <x v="1711"/>
              <x v="1712"/>
              <x v="1713"/>
              <x v="1714"/>
              <x v="1715"/>
              <x v="1716"/>
              <x v="1717"/>
              <x v="1718"/>
              <x v="1719"/>
              <x v="1720"/>
              <x v="1721"/>
              <x v="1722"/>
              <x v="1723"/>
              <x v="1724"/>
              <x v="1725"/>
              <x v="1726"/>
              <x v="1727"/>
              <x v="1728"/>
              <x v="1747"/>
              <x v="1748"/>
              <x v="1749"/>
              <x v="1750"/>
              <x v="1751"/>
              <x v="1752"/>
              <x v="1753"/>
              <x v="1754"/>
              <x v="1755"/>
              <x v="1756"/>
              <x v="1757"/>
              <x v="1758"/>
              <x v="1759"/>
              <x v="1760"/>
              <x v="1761"/>
              <x v="1762"/>
              <x v="1763"/>
              <x v="1764"/>
              <x v="1765"/>
              <x v="1766"/>
              <x v="1767"/>
              <x v="1768"/>
              <x v="1769"/>
              <x v="1770"/>
              <x v="1771"/>
              <x v="1772"/>
              <x v="1773"/>
              <x v="1774"/>
              <x v="1775"/>
              <x v="1776"/>
              <x v="1777"/>
              <x v="1778"/>
              <x v="1779"/>
              <x v="1780"/>
              <x v="1781"/>
              <x v="1782"/>
              <x v="1783"/>
              <x v="1784"/>
              <x v="1877"/>
              <x v="1878"/>
              <x v="1879"/>
              <x v="1880"/>
              <x v="1881"/>
              <x v="1882"/>
              <x v="1883"/>
              <x v="1884"/>
              <x v="1885"/>
              <x v="1886"/>
              <x v="1887"/>
              <x v="1888"/>
              <x v="1889"/>
              <x v="1890"/>
              <x v="1891"/>
              <x v="1892"/>
              <x v="1893"/>
              <x v="1894"/>
              <x v="1895"/>
              <x v="1896"/>
              <x v="1897"/>
              <x v="1898"/>
              <x v="1899"/>
              <x v="1900"/>
              <x v="1901"/>
              <x v="1902"/>
              <x v="1903"/>
              <x v="1904"/>
              <x v="1905"/>
              <x v="1906"/>
              <x v="1907"/>
              <x v="1908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384"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120"/>
              <x v="121"/>
              <x v="122"/>
              <x v="123"/>
              <x v="124"/>
              <x v="125"/>
              <x v="126"/>
              <x v="127"/>
              <x v="128"/>
              <x v="129"/>
              <x v="130"/>
              <x v="131"/>
              <x v="132"/>
              <x v="261"/>
              <x v="405"/>
              <x v="406"/>
              <x v="407"/>
              <x v="408"/>
              <x v="409"/>
              <x v="410"/>
              <x v="411"/>
              <x v="412"/>
              <x v="413"/>
              <x v="414"/>
              <x v="415"/>
              <x v="416"/>
              <x v="417"/>
              <x v="418"/>
              <x v="419"/>
              <x v="420"/>
              <x v="421"/>
              <x v="422"/>
              <x v="423"/>
              <x v="424"/>
              <x v="672"/>
              <x v="673"/>
              <x v="674"/>
              <x v="675"/>
              <x v="676"/>
              <x v="677"/>
              <x v="678"/>
              <x v="679"/>
              <x v="680"/>
              <x v="681"/>
              <x v="682"/>
              <x v="683"/>
              <x v="684"/>
              <x v="685"/>
              <x v="686"/>
              <x v="687"/>
              <x v="688"/>
              <x v="689"/>
              <x v="690"/>
              <x v="691"/>
              <x v="692"/>
              <x v="693"/>
              <x v="694"/>
              <x v="695"/>
              <x v="696"/>
              <x v="697"/>
              <x v="698"/>
              <x v="699"/>
              <x v="700"/>
              <x v="701"/>
              <x v="702"/>
              <x v="703"/>
              <x v="704"/>
              <x v="705"/>
              <x v="706"/>
              <x v="707"/>
              <x v="708"/>
              <x v="709"/>
              <x v="710"/>
              <x v="711"/>
              <x v="712"/>
              <x v="713"/>
              <x v="714"/>
              <x v="715"/>
              <x v="716"/>
              <x v="717"/>
              <x v="718"/>
              <x v="719"/>
              <x v="720"/>
              <x v="721"/>
              <x v="722"/>
              <x v="723"/>
              <x v="724"/>
              <x v="725"/>
              <x v="726"/>
              <x v="727"/>
              <x v="728"/>
              <x v="729"/>
              <x v="730"/>
              <x v="731"/>
              <x v="732"/>
              <x v="733"/>
              <x v="734"/>
              <x v="735"/>
              <x v="736"/>
              <x v="737"/>
              <x v="738"/>
              <x v="739"/>
              <x v="740"/>
              <x v="741"/>
              <x v="742"/>
              <x v="743"/>
              <x v="744"/>
              <x v="745"/>
              <x v="746"/>
              <x v="747"/>
              <x v="748"/>
              <x v="749"/>
              <x v="750"/>
              <x v="751"/>
              <x v="752"/>
              <x v="753"/>
              <x v="754"/>
              <x v="755"/>
              <x v="767"/>
              <x v="782"/>
              <x v="783"/>
              <x v="784"/>
              <x v="785"/>
              <x v="786"/>
              <x v="787"/>
              <x v="788"/>
              <x v="789"/>
              <x v="790"/>
              <x v="791"/>
              <x v="798"/>
              <x v="799"/>
              <x v="800"/>
              <x v="801"/>
              <x v="802"/>
              <x v="803"/>
              <x v="804"/>
              <x v="805"/>
              <x v="806"/>
              <x v="807"/>
              <x v="808"/>
              <x v="809"/>
              <x v="810"/>
              <x v="811"/>
              <x v="812"/>
              <x v="813"/>
              <x v="814"/>
              <x v="815"/>
              <x v="900"/>
              <x v="901"/>
              <x v="902"/>
              <x v="903"/>
              <x v="904"/>
              <x v="905"/>
              <x v="906"/>
              <x v="907"/>
              <x v="908"/>
              <x v="909"/>
              <x v="910"/>
              <x v="911"/>
              <x v="912"/>
              <x v="913"/>
              <x v="914"/>
              <x v="915"/>
              <x v="916"/>
              <x v="917"/>
              <x v="918"/>
              <x v="919"/>
              <x v="920"/>
              <x v="921"/>
              <x v="922"/>
              <x v="923"/>
              <x v="924"/>
              <x v="925"/>
              <x v="926"/>
              <x v="927"/>
              <x v="928"/>
              <x v="929"/>
              <x v="930"/>
              <x v="931"/>
              <x v="932"/>
              <x v="933"/>
              <x v="934"/>
              <x v="935"/>
              <x v="936"/>
              <x v="937"/>
              <x v="938"/>
              <x v="939"/>
              <x v="940"/>
              <x v="941"/>
              <x v="942"/>
              <x v="943"/>
              <x v="944"/>
              <x v="945"/>
              <x v="946"/>
              <x v="947"/>
              <x v="948"/>
              <x v="949"/>
              <x v="950"/>
              <x v="951"/>
              <x v="952"/>
              <x v="953"/>
              <x v="954"/>
              <x v="955"/>
              <x v="956"/>
              <x v="957"/>
              <x v="1366"/>
              <x v="1367"/>
              <x v="1368"/>
              <x v="1369"/>
              <x v="1370"/>
              <x v="1371"/>
              <x v="1372"/>
              <x v="1373"/>
              <x v="1374"/>
              <x v="1375"/>
              <x v="1376"/>
              <x v="1377"/>
              <x v="1378"/>
              <x v="1379"/>
              <x v="1380"/>
              <x v="1381"/>
              <x v="1382"/>
              <x v="1383"/>
              <x v="1384"/>
              <x v="1385"/>
              <x v="1386"/>
              <x v="1387"/>
              <x v="1388"/>
              <x v="1389"/>
              <x v="1390"/>
              <x v="1391"/>
              <x v="1398"/>
              <x v="1399"/>
              <x v="1400"/>
              <x v="1401"/>
              <x v="1402"/>
              <x v="1403"/>
              <x v="1404"/>
              <x v="1405"/>
              <x v="1406"/>
              <x v="1407"/>
              <x v="1408"/>
              <x v="1409"/>
              <x v="1410"/>
              <x v="1411"/>
              <x v="1412"/>
              <x v="1413"/>
              <x v="1414"/>
              <x v="1415"/>
              <x v="1416"/>
              <x v="1417"/>
              <x v="1418"/>
              <x v="1419"/>
              <x v="1420"/>
              <x v="1421"/>
              <x v="1552"/>
              <x v="1553"/>
              <x v="1554"/>
              <x v="1555"/>
              <x v="1556"/>
              <x v="1557"/>
              <x v="1558"/>
              <x v="1559"/>
              <x v="1560"/>
              <x v="1568"/>
              <x v="1569"/>
              <x v="1580"/>
              <x v="1581"/>
              <x v="1651"/>
              <x v="1652"/>
              <x v="1671"/>
              <x v="1672"/>
              <x v="1673"/>
              <x v="1674"/>
              <x v="1675"/>
              <x v="1676"/>
              <x v="1677"/>
              <x v="1678"/>
              <x v="1679"/>
              <x v="1680"/>
              <x v="1681"/>
              <x v="1682"/>
              <x v="1683"/>
              <x v="1684"/>
              <x v="1685"/>
              <x v="1695"/>
              <x v="1729"/>
              <x v="1730"/>
              <x v="1731"/>
              <x v="1732"/>
              <x v="1733"/>
              <x v="1734"/>
              <x v="1735"/>
              <x v="1736"/>
              <x v="1737"/>
              <x v="1785"/>
              <x v="1786"/>
              <x v="1787"/>
              <x v="1788"/>
              <x v="1789"/>
              <x v="1790"/>
              <x v="1791"/>
              <x v="1792"/>
              <x v="1793"/>
              <x v="1794"/>
              <x v="1795"/>
              <x v="1796"/>
              <x v="1797"/>
              <x v="1798"/>
              <x v="1799"/>
              <x v="1800"/>
              <x v="1801"/>
              <x v="1802"/>
              <x v="1803"/>
              <x v="1804"/>
              <x v="1805"/>
              <x v="1806"/>
              <x v="1807"/>
              <x v="1808"/>
              <x v="1809"/>
              <x v="1810"/>
              <x v="1811"/>
              <x v="1812"/>
              <x v="1813"/>
              <x v="1814"/>
              <x v="1815"/>
              <x v="1816"/>
              <x v="1817"/>
              <x v="1818"/>
              <x v="1819"/>
              <x v="1820"/>
              <x v="1821"/>
              <x v="1822"/>
              <x v="1909"/>
              <x v="1910"/>
              <x v="1911"/>
              <x v="1912"/>
              <x v="1913"/>
              <x v="1914"/>
              <x v="1915"/>
              <x v="1919"/>
              <x v="1920"/>
              <x v="1921"/>
              <x v="1922"/>
              <x v="1923"/>
              <x v="1924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65">
              <x v="39"/>
              <x v="40"/>
              <x v="41"/>
              <x v="42"/>
              <x v="43"/>
              <x v="44"/>
              <x v="45"/>
              <x v="46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133"/>
              <x v="134"/>
              <x v="135"/>
              <x v="136"/>
              <x v="137"/>
              <x v="138"/>
              <x v="139"/>
              <x v="140"/>
              <x v="141"/>
              <x v="142"/>
              <x v="143"/>
              <x v="144"/>
              <x v="262"/>
              <x v="263"/>
              <x v="756"/>
              <x v="757"/>
              <x v="758"/>
              <x v="759"/>
              <x v="760"/>
              <x v="761"/>
              <x v="762"/>
              <x v="763"/>
              <x v="764"/>
              <x v="765"/>
              <x v="766"/>
              <x v="768"/>
              <x v="769"/>
              <x v="770"/>
              <x v="792"/>
              <x v="793"/>
              <x v="794"/>
              <x v="795"/>
              <x v="816"/>
              <x v="817"/>
              <x v="818"/>
              <x v="819"/>
              <x v="821"/>
              <x v="822"/>
              <x v="823"/>
              <x v="958"/>
              <x v="959"/>
              <x v="960"/>
              <x v="961"/>
              <x v="962"/>
              <x v="963"/>
              <x v="964"/>
              <x v="1422"/>
              <x v="1423"/>
              <x v="1424"/>
              <x v="1425"/>
              <x v="1426"/>
              <x v="1427"/>
              <x v="1428"/>
              <x v="1429"/>
              <x v="1430"/>
              <x v="1431"/>
              <x v="1432"/>
              <x v="1433"/>
              <x v="1434"/>
              <x v="1435"/>
              <x v="1436"/>
              <x v="1437"/>
              <x v="1438"/>
              <x v="1439"/>
              <x v="1440"/>
              <x v="1441"/>
              <x v="1442"/>
              <x v="1443"/>
              <x v="1444"/>
              <x v="1445"/>
              <x v="1446"/>
              <x v="1447"/>
              <x v="1448"/>
              <x v="1449"/>
              <x v="1450"/>
              <x v="1451"/>
              <x v="1452"/>
              <x v="1453"/>
              <x v="1561"/>
              <x v="1562"/>
              <x v="1563"/>
              <x v="1564"/>
              <x v="1565"/>
              <x v="1570"/>
              <x v="1571"/>
              <x v="1582"/>
              <x v="1686"/>
              <x v="1687"/>
              <x v="1738"/>
              <x v="1739"/>
              <x v="1740"/>
              <x v="1741"/>
              <x v="1742"/>
              <x v="1743"/>
              <x v="1744"/>
              <x v="1745"/>
              <x v="1746"/>
              <x v="1823"/>
              <x v="1824"/>
              <x v="1825"/>
              <x v="1826"/>
              <x v="1827"/>
              <x v="1828"/>
              <x v="1829"/>
              <x v="1830"/>
              <x v="1831"/>
              <x v="1832"/>
              <x v="1833"/>
              <x v="1834"/>
              <x v="1835"/>
              <x v="1836"/>
              <x v="1837"/>
              <x v="1838"/>
              <x v="1839"/>
              <x v="1840"/>
              <x v="1841"/>
              <x v="1842"/>
              <x v="1843"/>
              <x v="1844"/>
              <x v="1845"/>
              <x v="1846"/>
              <x v="1847"/>
              <x v="1848"/>
              <x v="1849"/>
              <x v="1850"/>
              <x v="1851"/>
              <x v="1916"/>
              <x v="1925"/>
              <x v="1926"/>
              <x v="1927"/>
              <x v="1928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02">
              <x v="73"/>
              <x v="74"/>
              <x v="75"/>
              <x v="76"/>
              <x v="77"/>
              <x v="78"/>
              <x v="79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145"/>
              <x v="146"/>
              <x v="147"/>
              <x v="148"/>
              <x v="149"/>
              <x v="150"/>
              <x v="151"/>
              <x v="152"/>
              <x v="153"/>
              <x v="154"/>
              <x v="155"/>
              <x v="156"/>
              <x v="157"/>
              <x v="158"/>
              <x v="159"/>
              <x v="264"/>
              <x v="265"/>
              <x v="266"/>
              <x v="267"/>
              <x v="771"/>
              <x v="772"/>
              <x v="773"/>
              <x v="774"/>
              <x v="796"/>
              <x v="820"/>
              <x v="824"/>
              <x v="825"/>
              <x v="826"/>
              <x v="827"/>
              <x v="828"/>
              <x v="965"/>
              <x v="966"/>
              <x v="967"/>
              <x v="1454"/>
              <x v="1455"/>
              <x v="1456"/>
              <x v="1457"/>
              <x v="1458"/>
              <x v="1459"/>
              <x v="1460"/>
              <x v="1461"/>
              <x v="1462"/>
              <x v="1463"/>
              <x v="1464"/>
              <x v="1465"/>
              <x v="1466"/>
              <x v="1467"/>
              <x v="1566"/>
              <x v="1572"/>
              <x v="1573"/>
              <x v="1574"/>
              <x v="1575"/>
              <x v="1598"/>
              <x v="1688"/>
              <x v="1689"/>
              <x v="1690"/>
              <x v="1691"/>
              <x v="1692"/>
              <x v="1852"/>
              <x v="1853"/>
              <x v="1854"/>
              <x v="1855"/>
              <x v="1856"/>
              <x v="1857"/>
              <x v="1858"/>
              <x v="1859"/>
              <x v="1860"/>
              <x v="1861"/>
              <x v="1862"/>
              <x v="1863"/>
              <x v="1864"/>
              <x v="1865"/>
              <x v="1866"/>
              <x v="1867"/>
              <x v="1868"/>
              <x v="1869"/>
              <x v="1870"/>
              <x v="1871"/>
              <x v="1872"/>
              <x v="1873"/>
              <x v="1917"/>
              <x v="1918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76">
              <x v="93"/>
              <x v="94"/>
              <x v="95"/>
              <x v="96"/>
              <x v="97"/>
              <x v="98"/>
              <x v="99"/>
              <x v="100"/>
              <x v="101"/>
              <x v="102"/>
              <x v="103"/>
              <x v="104"/>
              <x v="160"/>
              <x v="161"/>
              <x v="162"/>
              <x v="163"/>
              <x v="164"/>
              <x v="165"/>
              <x v="166"/>
              <x v="167"/>
              <x v="168"/>
              <x v="169"/>
              <x v="170"/>
              <x v="171"/>
              <x v="172"/>
              <x v="173"/>
              <x v="174"/>
              <x v="175"/>
              <x v="176"/>
              <x v="177"/>
              <x v="178"/>
              <x v="179"/>
              <x v="180"/>
              <x v="268"/>
              <x v="269"/>
              <x v="270"/>
              <x v="271"/>
              <x v="272"/>
              <x v="775"/>
              <x v="776"/>
              <x v="777"/>
              <x v="778"/>
              <x v="829"/>
              <x v="830"/>
              <x v="831"/>
              <x v="832"/>
              <x v="833"/>
              <x v="851"/>
              <x v="852"/>
              <x v="853"/>
              <x v="1468"/>
              <x v="1469"/>
              <x v="1470"/>
              <x v="1471"/>
              <x v="1472"/>
              <x v="1473"/>
              <x v="1474"/>
              <x v="1475"/>
              <x v="1476"/>
              <x v="1477"/>
              <x v="1478"/>
              <x v="1479"/>
              <x v="1480"/>
              <x v="1481"/>
              <x v="1482"/>
              <x v="1483"/>
              <x v="1484"/>
              <x v="1485"/>
              <x v="1567"/>
              <x v="1576"/>
              <x v="1577"/>
              <x v="1874"/>
              <x v="1875"/>
              <x v="1929"/>
              <x v="1930"/>
              <x v="1931"/>
            </reference>
            <reference field="4" count="1" selected="0">
              <x v="5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43">
              <x v="105"/>
              <x v="106"/>
              <x v="107"/>
              <x v="108"/>
              <x v="109"/>
              <x v="181"/>
              <x v="182"/>
              <x v="183"/>
              <x v="184"/>
              <x v="185"/>
              <x v="186"/>
              <x v="187"/>
              <x v="188"/>
              <x v="189"/>
              <x v="190"/>
              <x v="191"/>
              <x v="779"/>
              <x v="780"/>
              <x v="834"/>
              <x v="835"/>
              <x v="836"/>
              <x v="837"/>
              <x v="854"/>
              <x v="855"/>
              <x v="1486"/>
              <x v="1487"/>
              <x v="1488"/>
              <x v="1489"/>
              <x v="1490"/>
              <x v="1491"/>
              <x v="1492"/>
              <x v="1493"/>
              <x v="1494"/>
              <x v="1495"/>
              <x v="1496"/>
              <x v="1497"/>
              <x v="1498"/>
              <x v="1499"/>
              <x v="1500"/>
              <x v="1501"/>
              <x v="1578"/>
              <x v="1599"/>
              <x v="1600"/>
            </reference>
            <reference field="4" count="1" selected="0">
              <x v="6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33">
              <x v="110"/>
              <x v="111"/>
              <x v="112"/>
              <x v="113"/>
              <x v="114"/>
              <x v="192"/>
              <x v="193"/>
              <x v="194"/>
              <x v="195"/>
              <x v="196"/>
              <x v="197"/>
              <x v="198"/>
              <x v="199"/>
              <x v="781"/>
              <x v="797"/>
              <x v="838"/>
              <x v="839"/>
              <x v="840"/>
              <x v="841"/>
              <x v="1502"/>
              <x v="1503"/>
              <x v="1504"/>
              <x v="1505"/>
              <x v="1506"/>
              <x v="1507"/>
              <x v="1508"/>
              <x v="1509"/>
              <x v="1510"/>
              <x v="1511"/>
              <x v="1512"/>
              <x v="1513"/>
              <x v="1932"/>
              <x v="1933"/>
            </reference>
            <reference field="4" count="1" selected="0">
              <x v="7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26">
              <x v="115"/>
              <x v="116"/>
              <x v="200"/>
              <x v="201"/>
              <x v="202"/>
              <x v="203"/>
              <x v="842"/>
              <x v="843"/>
              <x v="844"/>
              <x v="845"/>
              <x v="846"/>
              <x v="1514"/>
              <x v="1515"/>
              <x v="1516"/>
              <x v="1517"/>
              <x v="1518"/>
              <x v="1519"/>
              <x v="1520"/>
              <x v="1521"/>
              <x v="1522"/>
              <x v="1523"/>
              <x v="1524"/>
              <x v="1525"/>
              <x v="1526"/>
              <x v="1527"/>
              <x v="1528"/>
            </reference>
            <reference field="4" count="1" selected="0">
              <x v="8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3">
              <x v="204"/>
              <x v="273"/>
              <x v="274"/>
              <x v="1529"/>
              <x v="1530"/>
              <x v="1531"/>
              <x v="1532"/>
              <x v="1533"/>
              <x v="1534"/>
              <x v="1535"/>
              <x v="1536"/>
              <x v="1537"/>
              <x v="1601"/>
            </reference>
            <reference field="4" count="1" selected="0">
              <x v="9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1">
              <x v="205"/>
              <x v="206"/>
              <x v="1392"/>
              <x v="1538"/>
              <x v="1539"/>
              <x v="1540"/>
              <x v="1541"/>
              <x v="1542"/>
              <x v="1602"/>
              <x v="1603"/>
              <x v="1934"/>
            </reference>
            <reference field="4" count="1" selected="0">
              <x v="10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28">
              <x v="117"/>
              <x v="118"/>
              <x v="207"/>
              <x v="208"/>
              <x v="224"/>
              <x v="847"/>
              <x v="848"/>
              <x v="849"/>
              <x v="850"/>
              <x v="1543"/>
              <x v="1544"/>
              <x v="1545"/>
              <x v="1546"/>
              <x v="1547"/>
              <x v="1548"/>
              <x v="1549"/>
              <x v="1550"/>
              <x v="1551"/>
              <x v="1604"/>
              <x v="1605"/>
              <x v="1606"/>
              <x v="1607"/>
              <x v="1608"/>
              <x v="1609"/>
              <x v="1653"/>
              <x v="1654"/>
              <x v="1655"/>
              <x v="1876"/>
            </reference>
            <reference field="4" count="1" selected="0">
              <x v="11"/>
            </reference>
          </references>
        </pivotArea>
      </pivotAreas>
    </conditionalFormat>
    <conditionalFormat priority="2">
      <pivotAreas count="22"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054">
              <x v="0"/>
              <x v="119"/>
              <x v="209"/>
              <x v="210"/>
              <x v="211"/>
              <x v="212"/>
              <x v="213"/>
              <x v="214"/>
              <x v="215"/>
              <x v="216"/>
              <x v="217"/>
              <x v="218"/>
              <x v="219"/>
              <x v="220"/>
              <x v="221"/>
              <x v="222"/>
              <x v="223"/>
              <x v="225"/>
              <x v="226"/>
              <x v="227"/>
              <x v="228"/>
              <x v="229"/>
              <x v="230"/>
              <x v="231"/>
              <x v="232"/>
              <x v="233"/>
              <x v="234"/>
              <x v="235"/>
              <x v="236"/>
              <x v="237"/>
              <x v="238"/>
              <x v="239"/>
              <x v="240"/>
              <x v="241"/>
              <x v="242"/>
              <x v="243"/>
              <x v="244"/>
              <x v="245"/>
              <x v="246"/>
              <x v="247"/>
              <x v="248"/>
              <x v="249"/>
              <x v="250"/>
              <x v="251"/>
              <x v="252"/>
              <x v="253"/>
              <x v="254"/>
              <x v="255"/>
              <x v="256"/>
              <x v="257"/>
              <x v="258"/>
              <x v="259"/>
              <x v="260"/>
              <x v="275"/>
              <x v="276"/>
              <x v="277"/>
              <x v="278"/>
              <x v="279"/>
              <x v="280"/>
              <x v="281"/>
              <x v="282"/>
              <x v="283"/>
              <x v="284"/>
              <x v="285"/>
              <x v="286"/>
              <x v="287"/>
              <x v="288"/>
              <x v="289"/>
              <x v="290"/>
              <x v="291"/>
              <x v="292"/>
              <x v="293"/>
              <x v="294"/>
              <x v="295"/>
              <x v="296"/>
              <x v="297"/>
              <x v="298"/>
              <x v="299"/>
              <x v="300"/>
              <x v="301"/>
              <x v="302"/>
              <x v="303"/>
              <x v="304"/>
              <x v="305"/>
              <x v="306"/>
              <x v="307"/>
              <x v="308"/>
              <x v="309"/>
              <x v="310"/>
              <x v="311"/>
              <x v="312"/>
              <x v="313"/>
              <x v="314"/>
              <x v="315"/>
              <x v="316"/>
              <x v="317"/>
              <x v="318"/>
              <x v="319"/>
              <x v="320"/>
              <x v="321"/>
              <x v="322"/>
              <x v="323"/>
              <x v="324"/>
              <x v="325"/>
              <x v="326"/>
              <x v="327"/>
              <x v="328"/>
              <x v="329"/>
              <x v="330"/>
              <x v="331"/>
              <x v="332"/>
              <x v="333"/>
              <x v="334"/>
              <x v="335"/>
              <x v="336"/>
              <x v="337"/>
              <x v="338"/>
              <x v="339"/>
              <x v="340"/>
              <x v="341"/>
              <x v="342"/>
              <x v="343"/>
              <x v="344"/>
              <x v="345"/>
              <x v="346"/>
              <x v="347"/>
              <x v="348"/>
              <x v="349"/>
              <x v="350"/>
              <x v="351"/>
              <x v="352"/>
              <x v="353"/>
              <x v="354"/>
              <x v="355"/>
              <x v="356"/>
              <x v="357"/>
              <x v="358"/>
              <x v="359"/>
              <x v="360"/>
              <x v="361"/>
              <x v="362"/>
              <x v="363"/>
              <x v="364"/>
              <x v="365"/>
              <x v="366"/>
              <x v="367"/>
              <x v="368"/>
              <x v="369"/>
              <x v="370"/>
              <x v="371"/>
              <x v="372"/>
              <x v="373"/>
              <x v="374"/>
              <x v="375"/>
              <x v="376"/>
              <x v="377"/>
              <x v="378"/>
              <x v="379"/>
              <x v="380"/>
              <x v="381"/>
              <x v="382"/>
              <x v="383"/>
              <x v="384"/>
              <x v="385"/>
              <x v="386"/>
              <x v="387"/>
              <x v="388"/>
              <x v="389"/>
              <x v="390"/>
              <x v="391"/>
              <x v="392"/>
              <x v="393"/>
              <x v="394"/>
              <x v="395"/>
              <x v="396"/>
              <x v="397"/>
              <x v="398"/>
              <x v="399"/>
              <x v="400"/>
              <x v="401"/>
              <x v="402"/>
              <x v="403"/>
              <x v="404"/>
              <x v="425"/>
              <x v="426"/>
              <x v="427"/>
              <x v="428"/>
              <x v="429"/>
              <x v="430"/>
              <x v="431"/>
              <x v="432"/>
              <x v="433"/>
              <x v="434"/>
              <x v="435"/>
              <x v="436"/>
              <x v="437"/>
              <x v="438"/>
              <x v="439"/>
              <x v="440"/>
              <x v="441"/>
              <x v="442"/>
              <x v="443"/>
              <x v="444"/>
              <x v="445"/>
              <x v="446"/>
              <x v="447"/>
              <x v="448"/>
              <x v="449"/>
              <x v="450"/>
              <x v="451"/>
              <x v="452"/>
              <x v="453"/>
              <x v="454"/>
              <x v="455"/>
              <x v="456"/>
              <x v="457"/>
              <x v="458"/>
              <x v="459"/>
              <x v="460"/>
              <x v="461"/>
              <x v="462"/>
              <x v="463"/>
              <x v="464"/>
              <x v="465"/>
              <x v="466"/>
              <x v="467"/>
              <x v="468"/>
              <x v="469"/>
              <x v="470"/>
              <x v="471"/>
              <x v="472"/>
              <x v="473"/>
              <x v="474"/>
              <x v="475"/>
              <x v="476"/>
              <x v="477"/>
              <x v="478"/>
              <x v="479"/>
              <x v="480"/>
              <x v="481"/>
              <x v="482"/>
              <x v="483"/>
              <x v="484"/>
              <x v="485"/>
              <x v="486"/>
              <x v="487"/>
              <x v="488"/>
              <x v="489"/>
              <x v="490"/>
              <x v="491"/>
              <x v="492"/>
              <x v="493"/>
              <x v="494"/>
              <x v="495"/>
              <x v="496"/>
              <x v="497"/>
              <x v="498"/>
              <x v="499"/>
              <x v="500"/>
              <x v="501"/>
              <x v="502"/>
              <x v="503"/>
              <x v="504"/>
              <x v="505"/>
              <x v="506"/>
              <x v="507"/>
              <x v="508"/>
              <x v="509"/>
              <x v="510"/>
              <x v="511"/>
              <x v="512"/>
              <x v="513"/>
              <x v="514"/>
              <x v="515"/>
              <x v="516"/>
              <x v="517"/>
              <x v="518"/>
              <x v="519"/>
              <x v="520"/>
              <x v="521"/>
              <x v="522"/>
              <x v="523"/>
              <x v="524"/>
              <x v="525"/>
              <x v="526"/>
              <x v="527"/>
              <x v="528"/>
              <x v="529"/>
              <x v="530"/>
              <x v="531"/>
              <x v="532"/>
              <x v="533"/>
              <x v="534"/>
              <x v="535"/>
              <x v="536"/>
              <x v="537"/>
              <x v="538"/>
              <x v="539"/>
              <x v="540"/>
              <x v="541"/>
              <x v="542"/>
              <x v="543"/>
              <x v="544"/>
              <x v="545"/>
              <x v="546"/>
              <x v="547"/>
              <x v="548"/>
              <x v="549"/>
              <x v="550"/>
              <x v="551"/>
              <x v="552"/>
              <x v="553"/>
              <x v="554"/>
              <x v="555"/>
              <x v="556"/>
              <x v="557"/>
              <x v="558"/>
              <x v="559"/>
              <x v="560"/>
              <x v="561"/>
              <x v="562"/>
              <x v="563"/>
              <x v="564"/>
              <x v="565"/>
              <x v="566"/>
              <x v="567"/>
              <x v="568"/>
              <x v="569"/>
              <x v="570"/>
              <x v="571"/>
              <x v="572"/>
              <x v="573"/>
              <x v="574"/>
              <x v="575"/>
              <x v="576"/>
              <x v="577"/>
              <x v="578"/>
              <x v="579"/>
              <x v="580"/>
              <x v="581"/>
              <x v="582"/>
              <x v="583"/>
              <x v="584"/>
              <x v="585"/>
              <x v="586"/>
              <x v="587"/>
              <x v="588"/>
              <x v="589"/>
              <x v="590"/>
              <x v="591"/>
              <x v="592"/>
              <x v="593"/>
              <x v="594"/>
              <x v="595"/>
              <x v="596"/>
              <x v="597"/>
              <x v="598"/>
              <x v="599"/>
              <x v="600"/>
              <x v="601"/>
              <x v="602"/>
              <x v="603"/>
              <x v="604"/>
              <x v="605"/>
              <x v="606"/>
              <x v="607"/>
              <x v="608"/>
              <x v="609"/>
              <x v="610"/>
              <x v="611"/>
              <x v="612"/>
              <x v="613"/>
              <x v="614"/>
              <x v="615"/>
              <x v="616"/>
              <x v="617"/>
              <x v="618"/>
              <x v="619"/>
              <x v="620"/>
              <x v="621"/>
              <x v="622"/>
              <x v="623"/>
              <x v="624"/>
              <x v="625"/>
              <x v="626"/>
              <x v="627"/>
              <x v="628"/>
              <x v="629"/>
              <x v="630"/>
              <x v="631"/>
              <x v="632"/>
              <x v="633"/>
              <x v="634"/>
              <x v="635"/>
              <x v="636"/>
              <x v="637"/>
              <x v="638"/>
              <x v="639"/>
              <x v="640"/>
              <x v="641"/>
              <x v="642"/>
              <x v="643"/>
              <x v="644"/>
              <x v="645"/>
              <x v="646"/>
              <x v="647"/>
              <x v="648"/>
              <x v="649"/>
              <x v="650"/>
              <x v="651"/>
              <x v="652"/>
              <x v="653"/>
              <x v="654"/>
              <x v="655"/>
              <x v="656"/>
              <x v="657"/>
              <x v="658"/>
              <x v="659"/>
              <x v="660"/>
              <x v="661"/>
              <x v="662"/>
              <x v="663"/>
              <x v="664"/>
              <x v="665"/>
              <x v="666"/>
              <x v="667"/>
              <x v="668"/>
              <x v="669"/>
              <x v="670"/>
              <x v="671"/>
              <x v="856"/>
              <x v="857"/>
              <x v="858"/>
              <x v="859"/>
              <x v="860"/>
              <x v="861"/>
              <x v="862"/>
              <x v="863"/>
              <x v="864"/>
              <x v="865"/>
              <x v="866"/>
              <x v="867"/>
              <x v="868"/>
              <x v="869"/>
              <x v="870"/>
              <x v="871"/>
              <x v="872"/>
              <x v="873"/>
              <x v="874"/>
              <x v="875"/>
              <x v="876"/>
              <x v="877"/>
              <x v="878"/>
              <x v="879"/>
              <x v="880"/>
              <x v="881"/>
              <x v="882"/>
              <x v="883"/>
              <x v="884"/>
              <x v="885"/>
              <x v="886"/>
              <x v="887"/>
              <x v="888"/>
              <x v="889"/>
              <x v="890"/>
              <x v="891"/>
              <x v="892"/>
              <x v="893"/>
              <x v="894"/>
              <x v="895"/>
              <x v="896"/>
              <x v="897"/>
              <x v="898"/>
              <x v="899"/>
              <x v="968"/>
              <x v="969"/>
              <x v="970"/>
              <x v="971"/>
              <x v="972"/>
              <x v="973"/>
              <x v="974"/>
              <x v="975"/>
              <x v="976"/>
              <x v="977"/>
              <x v="978"/>
              <x v="979"/>
              <x v="980"/>
              <x v="981"/>
              <x v="982"/>
              <x v="983"/>
              <x v="984"/>
              <x v="985"/>
              <x v="986"/>
              <x v="987"/>
              <x v="988"/>
              <x v="989"/>
              <x v="990"/>
              <x v="991"/>
              <x v="992"/>
              <x v="993"/>
              <x v="994"/>
              <x v="995"/>
              <x v="996"/>
              <x v="997"/>
              <x v="998"/>
              <x v="999"/>
              <x v="1000"/>
              <x v="1001"/>
              <x v="1002"/>
              <x v="1003"/>
              <x v="1004"/>
              <x v="1005"/>
              <x v="1006"/>
              <x v="1007"/>
              <x v="1008"/>
              <x v="1009"/>
              <x v="1010"/>
              <x v="1011"/>
              <x v="1012"/>
              <x v="1013"/>
              <x v="1014"/>
              <x v="1015"/>
              <x v="1016"/>
              <x v="1017"/>
              <x v="1018"/>
              <x v="1019"/>
              <x v="1020"/>
              <x v="1021"/>
              <x v="1022"/>
              <x v="1023"/>
              <x v="1024"/>
              <x v="1025"/>
              <x v="1026"/>
              <x v="1027"/>
              <x v="1028"/>
              <x v="1029"/>
              <x v="1030"/>
              <x v="1031"/>
              <x v="1032"/>
              <x v="1033"/>
              <x v="1034"/>
              <x v="1035"/>
              <x v="1036"/>
              <x v="1037"/>
              <x v="1038"/>
              <x v="1039"/>
              <x v="1040"/>
              <x v="1041"/>
              <x v="1042"/>
              <x v="1043"/>
              <x v="1044"/>
              <x v="1045"/>
              <x v="1046"/>
              <x v="1047"/>
              <x v="1048"/>
              <x v="1049"/>
              <x v="1050"/>
              <x v="1051"/>
              <x v="1052"/>
              <x v="1053"/>
              <x v="1054"/>
              <x v="1055"/>
              <x v="1056"/>
              <x v="1057"/>
              <x v="1058"/>
              <x v="1059"/>
              <x v="1060"/>
              <x v="1061"/>
              <x v="1062"/>
              <x v="1063"/>
              <x v="1064"/>
              <x v="1065"/>
              <x v="1066"/>
              <x v="1067"/>
              <x v="1068"/>
              <x v="1069"/>
              <x v="1070"/>
              <x v="1071"/>
              <x v="1072"/>
              <x v="1073"/>
              <x v="1074"/>
              <x v="1075"/>
              <x v="1076"/>
              <x v="1077"/>
              <x v="1078"/>
              <x v="1079"/>
              <x v="1080"/>
              <x v="1081"/>
              <x v="1082"/>
              <x v="1083"/>
              <x v="1084"/>
              <x v="1085"/>
              <x v="1086"/>
              <x v="1087"/>
              <x v="1088"/>
              <x v="1089"/>
              <x v="1090"/>
              <x v="1091"/>
              <x v="1092"/>
              <x v="1093"/>
              <x v="1094"/>
              <x v="1095"/>
              <x v="1096"/>
              <x v="1097"/>
              <x v="1098"/>
              <x v="1099"/>
              <x v="1100"/>
              <x v="1101"/>
              <x v="1102"/>
              <x v="1103"/>
              <x v="1104"/>
              <x v="1105"/>
              <x v="1106"/>
              <x v="1107"/>
              <x v="1108"/>
              <x v="1109"/>
              <x v="1110"/>
              <x v="1111"/>
              <x v="1112"/>
              <x v="1113"/>
              <x v="1114"/>
              <x v="1115"/>
              <x v="1116"/>
              <x v="1117"/>
              <x v="1118"/>
              <x v="1119"/>
              <x v="1120"/>
              <x v="1121"/>
              <x v="1122"/>
              <x v="1123"/>
              <x v="1124"/>
              <x v="1125"/>
              <x v="1126"/>
              <x v="1127"/>
              <x v="1128"/>
              <x v="1129"/>
              <x v="1130"/>
              <x v="1131"/>
              <x v="1132"/>
              <x v="1133"/>
              <x v="1134"/>
              <x v="1135"/>
              <x v="1136"/>
              <x v="1137"/>
              <x v="1138"/>
              <x v="1139"/>
              <x v="1140"/>
              <x v="1141"/>
              <x v="1142"/>
              <x v="1143"/>
              <x v="1144"/>
              <x v="1145"/>
              <x v="1146"/>
              <x v="1147"/>
              <x v="1148"/>
              <x v="1149"/>
              <x v="1150"/>
              <x v="1151"/>
              <x v="1152"/>
              <x v="1153"/>
              <x v="1154"/>
              <x v="1155"/>
              <x v="1156"/>
              <x v="1157"/>
              <x v="1158"/>
              <x v="1159"/>
              <x v="1160"/>
              <x v="1161"/>
              <x v="1162"/>
              <x v="1163"/>
              <x v="1164"/>
              <x v="1165"/>
              <x v="1166"/>
              <x v="1167"/>
              <x v="1168"/>
              <x v="1169"/>
              <x v="1170"/>
              <x v="1171"/>
              <x v="1172"/>
              <x v="1173"/>
              <x v="1174"/>
              <x v="1175"/>
              <x v="1176"/>
              <x v="1177"/>
              <x v="1178"/>
              <x v="1179"/>
              <x v="1180"/>
              <x v="1181"/>
              <x v="1182"/>
              <x v="1183"/>
              <x v="1184"/>
              <x v="1185"/>
              <x v="1186"/>
              <x v="1187"/>
              <x v="1188"/>
              <x v="1189"/>
              <x v="1190"/>
              <x v="1191"/>
              <x v="1192"/>
              <x v="1193"/>
              <x v="1194"/>
              <x v="1195"/>
              <x v="1196"/>
              <x v="1197"/>
              <x v="1198"/>
              <x v="1199"/>
              <x v="1200"/>
              <x v="1201"/>
              <x v="1202"/>
              <x v="1203"/>
              <x v="1204"/>
              <x v="1205"/>
              <x v="1206"/>
              <x v="1207"/>
              <x v="1208"/>
              <x v="1209"/>
              <x v="1210"/>
              <x v="1211"/>
              <x v="1212"/>
              <x v="1213"/>
              <x v="1214"/>
              <x v="1215"/>
              <x v="1216"/>
              <x v="1217"/>
              <x v="1218"/>
              <x v="1219"/>
              <x v="1220"/>
              <x v="1221"/>
              <x v="1222"/>
              <x v="1223"/>
              <x v="1224"/>
              <x v="1225"/>
              <x v="1226"/>
              <x v="1227"/>
              <x v="1228"/>
              <x v="1229"/>
              <x v="1230"/>
              <x v="1231"/>
              <x v="1232"/>
              <x v="1233"/>
              <x v="1234"/>
              <x v="1235"/>
              <x v="1236"/>
              <x v="1237"/>
              <x v="1238"/>
              <x v="1239"/>
              <x v="1240"/>
              <x v="1241"/>
              <x v="1242"/>
              <x v="1243"/>
              <x v="1244"/>
              <x v="1245"/>
              <x v="1246"/>
              <x v="1247"/>
              <x v="1248"/>
              <x v="1249"/>
              <x v="1250"/>
              <x v="1251"/>
              <x v="1252"/>
              <x v="1253"/>
              <x v="1254"/>
              <x v="1255"/>
              <x v="1256"/>
              <x v="1257"/>
              <x v="1258"/>
              <x v="1259"/>
              <x v="1260"/>
              <x v="1261"/>
              <x v="1262"/>
              <x v="1263"/>
              <x v="1264"/>
              <x v="1265"/>
              <x v="1266"/>
              <x v="1267"/>
              <x v="1268"/>
              <x v="1269"/>
              <x v="1270"/>
              <x v="1271"/>
              <x v="1272"/>
              <x v="1273"/>
              <x v="1274"/>
              <x v="1275"/>
              <x v="1276"/>
              <x v="1277"/>
              <x v="1278"/>
              <x v="1279"/>
              <x v="1280"/>
              <x v="1281"/>
              <x v="1282"/>
              <x v="1283"/>
              <x v="1284"/>
              <x v="1285"/>
              <x v="1286"/>
              <x v="1287"/>
              <x v="1288"/>
              <x v="1289"/>
              <x v="1290"/>
              <x v="1291"/>
              <x v="1292"/>
              <x v="1293"/>
              <x v="1294"/>
              <x v="1295"/>
              <x v="1296"/>
              <x v="1297"/>
              <x v="1298"/>
              <x v="1299"/>
              <x v="1300"/>
              <x v="1301"/>
              <x v="1302"/>
              <x v="1303"/>
              <x v="1304"/>
              <x v="1305"/>
              <x v="1306"/>
              <x v="1307"/>
              <x v="1308"/>
              <x v="1309"/>
              <x v="1310"/>
              <x v="1311"/>
              <x v="1312"/>
              <x v="1313"/>
              <x v="1314"/>
              <x v="1315"/>
              <x v="1316"/>
              <x v="1317"/>
              <x v="1318"/>
              <x v="1319"/>
              <x v="1320"/>
              <x v="1321"/>
              <x v="1322"/>
              <x v="1323"/>
              <x v="1324"/>
              <x v="1325"/>
              <x v="1326"/>
              <x v="1327"/>
              <x v="1328"/>
              <x v="1329"/>
              <x v="1330"/>
              <x v="1331"/>
              <x v="1332"/>
              <x v="1333"/>
              <x v="1334"/>
              <x v="1335"/>
              <x v="1336"/>
              <x v="1337"/>
              <x v="1338"/>
              <x v="1339"/>
              <x v="1340"/>
              <x v="1341"/>
              <x v="1342"/>
              <x v="1343"/>
              <x v="1344"/>
              <x v="1345"/>
              <x v="1346"/>
              <x v="1347"/>
              <x v="1348"/>
              <x v="1349"/>
              <x v="1350"/>
              <x v="1351"/>
              <x v="1352"/>
              <x v="1353"/>
              <x v="1354"/>
              <x v="1355"/>
              <x v="1356"/>
              <x v="1357"/>
              <x v="1358"/>
              <x v="1359"/>
              <x v="1360"/>
              <x v="1361"/>
              <x v="1362"/>
              <x v="1363"/>
              <x v="1364"/>
              <x v="1365"/>
              <x v="1393"/>
              <x v="1394"/>
              <x v="1395"/>
              <x v="1396"/>
              <x v="1397"/>
              <x v="1579"/>
              <x v="1583"/>
              <x v="1584"/>
              <x v="1585"/>
              <x v="1586"/>
              <x v="1587"/>
              <x v="1588"/>
              <x v="1589"/>
              <x v="1590"/>
              <x v="1591"/>
              <x v="1592"/>
              <x v="1593"/>
              <x v="1594"/>
              <x v="1595"/>
              <x v="1596"/>
              <x v="1597"/>
              <x v="1610"/>
              <x v="1611"/>
              <x v="1612"/>
              <x v="1613"/>
              <x v="1614"/>
              <x v="1615"/>
              <x v="1616"/>
              <x v="1617"/>
              <x v="1618"/>
              <x v="1619"/>
              <x v="1620"/>
              <x v="1621"/>
              <x v="1622"/>
              <x v="1623"/>
              <x v="1624"/>
              <x v="1625"/>
              <x v="1626"/>
              <x v="1627"/>
              <x v="1628"/>
              <x v="1629"/>
              <x v="1630"/>
              <x v="1631"/>
              <x v="1632"/>
              <x v="1633"/>
              <x v="1634"/>
              <x v="1635"/>
              <x v="1636"/>
              <x v="1637"/>
              <x v="1638"/>
              <x v="1639"/>
              <x v="1640"/>
              <x v="1641"/>
              <x v="1642"/>
              <x v="1643"/>
              <x v="1644"/>
              <x v="1645"/>
              <x v="1646"/>
              <x v="1647"/>
              <x v="1648"/>
              <x v="1649"/>
              <x v="1650"/>
              <x v="1656"/>
              <x v="1657"/>
              <x v="1658"/>
              <x v="1659"/>
              <x v="1660"/>
              <x v="1661"/>
              <x v="1662"/>
              <x v="1663"/>
              <x v="1664"/>
              <x v="1665"/>
              <x v="1666"/>
              <x v="1667"/>
              <x v="1668"/>
              <x v="1669"/>
              <x v="1670"/>
              <x v="1693"/>
              <x v="1694"/>
              <x v="1696"/>
              <x v="1697"/>
              <x v="1698"/>
              <x v="1699"/>
              <x v="1700"/>
              <x v="1701"/>
              <x v="1702"/>
              <x v="1703"/>
              <x v="1704"/>
              <x v="1705"/>
              <x v="1706"/>
              <x v="1707"/>
              <x v="1708"/>
              <x v="1709"/>
              <x v="1710"/>
              <x v="1711"/>
              <x v="1712"/>
              <x v="1713"/>
              <x v="1714"/>
              <x v="1715"/>
              <x v="1716"/>
              <x v="1717"/>
              <x v="1718"/>
              <x v="1719"/>
              <x v="1720"/>
              <x v="1721"/>
              <x v="1722"/>
              <x v="1723"/>
              <x v="1724"/>
              <x v="1725"/>
              <x v="1726"/>
              <x v="1727"/>
              <x v="1728"/>
              <x v="1747"/>
              <x v="1748"/>
              <x v="1749"/>
              <x v="1750"/>
              <x v="1751"/>
              <x v="1752"/>
              <x v="1753"/>
              <x v="1754"/>
              <x v="1755"/>
              <x v="1756"/>
              <x v="1757"/>
              <x v="1758"/>
              <x v="1759"/>
              <x v="1760"/>
              <x v="1761"/>
              <x v="1762"/>
              <x v="1763"/>
              <x v="1764"/>
              <x v="1765"/>
              <x v="1766"/>
              <x v="1767"/>
              <x v="1768"/>
              <x v="1769"/>
              <x v="1770"/>
              <x v="1771"/>
              <x v="1772"/>
              <x v="1773"/>
              <x v="1774"/>
              <x v="1775"/>
              <x v="1776"/>
              <x v="1777"/>
              <x v="1778"/>
              <x v="1779"/>
              <x v="1780"/>
              <x v="1781"/>
              <x v="1782"/>
              <x v="1783"/>
              <x v="1784"/>
              <x v="1877"/>
              <x v="1878"/>
              <x v="1879"/>
              <x v="1880"/>
              <x v="1881"/>
              <x v="1882"/>
              <x v="1883"/>
              <x v="1884"/>
              <x v="1885"/>
              <x v="1886"/>
              <x v="1887"/>
              <x v="1888"/>
              <x v="1889"/>
              <x v="1890"/>
              <x v="1891"/>
              <x v="1892"/>
              <x v="1893"/>
              <x v="1894"/>
              <x v="1895"/>
              <x v="1896"/>
              <x v="1897"/>
              <x v="1898"/>
              <x v="1899"/>
              <x v="1900"/>
              <x v="1901"/>
              <x v="1902"/>
              <x v="1903"/>
              <x v="1904"/>
              <x v="1905"/>
              <x v="1906"/>
              <x v="1907"/>
              <x v="1908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384"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120"/>
              <x v="121"/>
              <x v="122"/>
              <x v="123"/>
              <x v="124"/>
              <x v="125"/>
              <x v="126"/>
              <x v="127"/>
              <x v="128"/>
              <x v="129"/>
              <x v="130"/>
              <x v="131"/>
              <x v="132"/>
              <x v="261"/>
              <x v="405"/>
              <x v="406"/>
              <x v="407"/>
              <x v="408"/>
              <x v="409"/>
              <x v="410"/>
              <x v="411"/>
              <x v="412"/>
              <x v="413"/>
              <x v="414"/>
              <x v="415"/>
              <x v="416"/>
              <x v="417"/>
              <x v="418"/>
              <x v="419"/>
              <x v="420"/>
              <x v="421"/>
              <x v="422"/>
              <x v="423"/>
              <x v="424"/>
              <x v="672"/>
              <x v="673"/>
              <x v="674"/>
              <x v="675"/>
              <x v="676"/>
              <x v="677"/>
              <x v="678"/>
              <x v="679"/>
              <x v="680"/>
              <x v="681"/>
              <x v="682"/>
              <x v="683"/>
              <x v="684"/>
              <x v="685"/>
              <x v="686"/>
              <x v="687"/>
              <x v="688"/>
              <x v="689"/>
              <x v="690"/>
              <x v="691"/>
              <x v="692"/>
              <x v="693"/>
              <x v="694"/>
              <x v="695"/>
              <x v="696"/>
              <x v="697"/>
              <x v="698"/>
              <x v="699"/>
              <x v="700"/>
              <x v="701"/>
              <x v="702"/>
              <x v="703"/>
              <x v="704"/>
              <x v="705"/>
              <x v="706"/>
              <x v="707"/>
              <x v="708"/>
              <x v="709"/>
              <x v="710"/>
              <x v="711"/>
              <x v="712"/>
              <x v="713"/>
              <x v="714"/>
              <x v="715"/>
              <x v="716"/>
              <x v="717"/>
              <x v="718"/>
              <x v="719"/>
              <x v="720"/>
              <x v="721"/>
              <x v="722"/>
              <x v="723"/>
              <x v="724"/>
              <x v="725"/>
              <x v="726"/>
              <x v="727"/>
              <x v="728"/>
              <x v="729"/>
              <x v="730"/>
              <x v="731"/>
              <x v="732"/>
              <x v="733"/>
              <x v="734"/>
              <x v="735"/>
              <x v="736"/>
              <x v="737"/>
              <x v="738"/>
              <x v="739"/>
              <x v="740"/>
              <x v="741"/>
              <x v="742"/>
              <x v="743"/>
              <x v="744"/>
              <x v="745"/>
              <x v="746"/>
              <x v="747"/>
              <x v="748"/>
              <x v="749"/>
              <x v="750"/>
              <x v="751"/>
              <x v="752"/>
              <x v="753"/>
              <x v="754"/>
              <x v="755"/>
              <x v="767"/>
              <x v="782"/>
              <x v="783"/>
              <x v="784"/>
              <x v="785"/>
              <x v="786"/>
              <x v="787"/>
              <x v="788"/>
              <x v="789"/>
              <x v="790"/>
              <x v="791"/>
              <x v="798"/>
              <x v="799"/>
              <x v="800"/>
              <x v="801"/>
              <x v="802"/>
              <x v="803"/>
              <x v="804"/>
              <x v="805"/>
              <x v="806"/>
              <x v="807"/>
              <x v="808"/>
              <x v="809"/>
              <x v="810"/>
              <x v="811"/>
              <x v="812"/>
              <x v="813"/>
              <x v="814"/>
              <x v="815"/>
              <x v="900"/>
              <x v="901"/>
              <x v="902"/>
              <x v="903"/>
              <x v="904"/>
              <x v="905"/>
              <x v="906"/>
              <x v="907"/>
              <x v="908"/>
              <x v="909"/>
              <x v="910"/>
              <x v="911"/>
              <x v="912"/>
              <x v="913"/>
              <x v="914"/>
              <x v="915"/>
              <x v="916"/>
              <x v="917"/>
              <x v="918"/>
              <x v="919"/>
              <x v="920"/>
              <x v="921"/>
              <x v="922"/>
              <x v="923"/>
              <x v="924"/>
              <x v="925"/>
              <x v="926"/>
              <x v="927"/>
              <x v="928"/>
              <x v="929"/>
              <x v="930"/>
              <x v="931"/>
              <x v="932"/>
              <x v="933"/>
              <x v="934"/>
              <x v="935"/>
              <x v="936"/>
              <x v="937"/>
              <x v="938"/>
              <x v="939"/>
              <x v="940"/>
              <x v="941"/>
              <x v="942"/>
              <x v="943"/>
              <x v="944"/>
              <x v="945"/>
              <x v="946"/>
              <x v="947"/>
              <x v="948"/>
              <x v="949"/>
              <x v="950"/>
              <x v="951"/>
              <x v="952"/>
              <x v="953"/>
              <x v="954"/>
              <x v="955"/>
              <x v="956"/>
              <x v="957"/>
              <x v="1366"/>
              <x v="1367"/>
              <x v="1368"/>
              <x v="1369"/>
              <x v="1370"/>
              <x v="1371"/>
              <x v="1372"/>
              <x v="1373"/>
              <x v="1374"/>
              <x v="1375"/>
              <x v="1376"/>
              <x v="1377"/>
              <x v="1378"/>
              <x v="1379"/>
              <x v="1380"/>
              <x v="1381"/>
              <x v="1382"/>
              <x v="1383"/>
              <x v="1384"/>
              <x v="1385"/>
              <x v="1386"/>
              <x v="1387"/>
              <x v="1388"/>
              <x v="1389"/>
              <x v="1390"/>
              <x v="1391"/>
              <x v="1398"/>
              <x v="1399"/>
              <x v="1400"/>
              <x v="1401"/>
              <x v="1402"/>
              <x v="1403"/>
              <x v="1404"/>
              <x v="1405"/>
              <x v="1406"/>
              <x v="1407"/>
              <x v="1408"/>
              <x v="1409"/>
              <x v="1410"/>
              <x v="1411"/>
              <x v="1412"/>
              <x v="1413"/>
              <x v="1414"/>
              <x v="1415"/>
              <x v="1416"/>
              <x v="1417"/>
              <x v="1418"/>
              <x v="1419"/>
              <x v="1420"/>
              <x v="1421"/>
              <x v="1552"/>
              <x v="1553"/>
              <x v="1554"/>
              <x v="1555"/>
              <x v="1556"/>
              <x v="1557"/>
              <x v="1558"/>
              <x v="1559"/>
              <x v="1560"/>
              <x v="1568"/>
              <x v="1569"/>
              <x v="1580"/>
              <x v="1581"/>
              <x v="1651"/>
              <x v="1652"/>
              <x v="1671"/>
              <x v="1672"/>
              <x v="1673"/>
              <x v="1674"/>
              <x v="1675"/>
              <x v="1676"/>
              <x v="1677"/>
              <x v="1678"/>
              <x v="1679"/>
              <x v="1680"/>
              <x v="1681"/>
              <x v="1682"/>
              <x v="1683"/>
              <x v="1684"/>
              <x v="1685"/>
              <x v="1695"/>
              <x v="1729"/>
              <x v="1730"/>
              <x v="1731"/>
              <x v="1732"/>
              <x v="1733"/>
              <x v="1734"/>
              <x v="1735"/>
              <x v="1736"/>
              <x v="1737"/>
              <x v="1785"/>
              <x v="1786"/>
              <x v="1787"/>
              <x v="1788"/>
              <x v="1789"/>
              <x v="1790"/>
              <x v="1791"/>
              <x v="1792"/>
              <x v="1793"/>
              <x v="1794"/>
              <x v="1795"/>
              <x v="1796"/>
              <x v="1797"/>
              <x v="1798"/>
              <x v="1799"/>
              <x v="1800"/>
              <x v="1801"/>
              <x v="1802"/>
              <x v="1803"/>
              <x v="1804"/>
              <x v="1805"/>
              <x v="1806"/>
              <x v="1807"/>
              <x v="1808"/>
              <x v="1809"/>
              <x v="1810"/>
              <x v="1811"/>
              <x v="1812"/>
              <x v="1813"/>
              <x v="1814"/>
              <x v="1815"/>
              <x v="1816"/>
              <x v="1817"/>
              <x v="1818"/>
              <x v="1819"/>
              <x v="1820"/>
              <x v="1821"/>
              <x v="1822"/>
              <x v="1909"/>
              <x v="1910"/>
              <x v="1911"/>
              <x v="1912"/>
              <x v="1913"/>
              <x v="1914"/>
              <x v="1915"/>
              <x v="1919"/>
              <x v="1920"/>
              <x v="1921"/>
              <x v="1922"/>
              <x v="1923"/>
              <x v="1924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65">
              <x v="39"/>
              <x v="40"/>
              <x v="41"/>
              <x v="42"/>
              <x v="43"/>
              <x v="44"/>
              <x v="45"/>
              <x v="46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133"/>
              <x v="134"/>
              <x v="135"/>
              <x v="136"/>
              <x v="137"/>
              <x v="138"/>
              <x v="139"/>
              <x v="140"/>
              <x v="141"/>
              <x v="142"/>
              <x v="143"/>
              <x v="144"/>
              <x v="262"/>
              <x v="263"/>
              <x v="756"/>
              <x v="757"/>
              <x v="758"/>
              <x v="759"/>
              <x v="760"/>
              <x v="761"/>
              <x v="762"/>
              <x v="763"/>
              <x v="764"/>
              <x v="765"/>
              <x v="766"/>
              <x v="768"/>
              <x v="769"/>
              <x v="770"/>
              <x v="792"/>
              <x v="793"/>
              <x v="794"/>
              <x v="795"/>
              <x v="816"/>
              <x v="817"/>
              <x v="818"/>
              <x v="819"/>
              <x v="821"/>
              <x v="822"/>
              <x v="823"/>
              <x v="958"/>
              <x v="959"/>
              <x v="960"/>
              <x v="961"/>
              <x v="962"/>
              <x v="963"/>
              <x v="964"/>
              <x v="1422"/>
              <x v="1423"/>
              <x v="1424"/>
              <x v="1425"/>
              <x v="1426"/>
              <x v="1427"/>
              <x v="1428"/>
              <x v="1429"/>
              <x v="1430"/>
              <x v="1431"/>
              <x v="1432"/>
              <x v="1433"/>
              <x v="1434"/>
              <x v="1435"/>
              <x v="1436"/>
              <x v="1437"/>
              <x v="1438"/>
              <x v="1439"/>
              <x v="1440"/>
              <x v="1441"/>
              <x v="1442"/>
              <x v="1443"/>
              <x v="1444"/>
              <x v="1445"/>
              <x v="1446"/>
              <x v="1447"/>
              <x v="1448"/>
              <x v="1449"/>
              <x v="1450"/>
              <x v="1451"/>
              <x v="1452"/>
              <x v="1453"/>
              <x v="1561"/>
              <x v="1562"/>
              <x v="1563"/>
              <x v="1564"/>
              <x v="1565"/>
              <x v="1570"/>
              <x v="1571"/>
              <x v="1582"/>
              <x v="1686"/>
              <x v="1687"/>
              <x v="1738"/>
              <x v="1739"/>
              <x v="1740"/>
              <x v="1741"/>
              <x v="1742"/>
              <x v="1743"/>
              <x v="1744"/>
              <x v="1745"/>
              <x v="1746"/>
              <x v="1823"/>
              <x v="1824"/>
              <x v="1825"/>
              <x v="1826"/>
              <x v="1827"/>
              <x v="1828"/>
              <x v="1829"/>
              <x v="1830"/>
              <x v="1831"/>
              <x v="1832"/>
              <x v="1833"/>
              <x v="1834"/>
              <x v="1835"/>
              <x v="1836"/>
              <x v="1837"/>
              <x v="1838"/>
              <x v="1839"/>
              <x v="1840"/>
              <x v="1841"/>
              <x v="1842"/>
              <x v="1843"/>
              <x v="1844"/>
              <x v="1845"/>
              <x v="1846"/>
              <x v="1847"/>
              <x v="1848"/>
              <x v="1849"/>
              <x v="1850"/>
              <x v="1851"/>
              <x v="1916"/>
              <x v="1925"/>
              <x v="1926"/>
              <x v="1927"/>
              <x v="1928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02">
              <x v="73"/>
              <x v="74"/>
              <x v="75"/>
              <x v="76"/>
              <x v="77"/>
              <x v="78"/>
              <x v="79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145"/>
              <x v="146"/>
              <x v="147"/>
              <x v="148"/>
              <x v="149"/>
              <x v="150"/>
              <x v="151"/>
              <x v="152"/>
              <x v="153"/>
              <x v="154"/>
              <x v="155"/>
              <x v="156"/>
              <x v="157"/>
              <x v="158"/>
              <x v="159"/>
              <x v="264"/>
              <x v="265"/>
              <x v="266"/>
              <x v="267"/>
              <x v="771"/>
              <x v="772"/>
              <x v="773"/>
              <x v="774"/>
              <x v="796"/>
              <x v="820"/>
              <x v="824"/>
              <x v="825"/>
              <x v="826"/>
              <x v="827"/>
              <x v="828"/>
              <x v="965"/>
              <x v="966"/>
              <x v="967"/>
              <x v="1454"/>
              <x v="1455"/>
              <x v="1456"/>
              <x v="1457"/>
              <x v="1458"/>
              <x v="1459"/>
              <x v="1460"/>
              <x v="1461"/>
              <x v="1462"/>
              <x v="1463"/>
              <x v="1464"/>
              <x v="1465"/>
              <x v="1466"/>
              <x v="1467"/>
              <x v="1566"/>
              <x v="1572"/>
              <x v="1573"/>
              <x v="1574"/>
              <x v="1575"/>
              <x v="1598"/>
              <x v="1688"/>
              <x v="1689"/>
              <x v="1690"/>
              <x v="1691"/>
              <x v="1692"/>
              <x v="1852"/>
              <x v="1853"/>
              <x v="1854"/>
              <x v="1855"/>
              <x v="1856"/>
              <x v="1857"/>
              <x v="1858"/>
              <x v="1859"/>
              <x v="1860"/>
              <x v="1861"/>
              <x v="1862"/>
              <x v="1863"/>
              <x v="1864"/>
              <x v="1865"/>
              <x v="1866"/>
              <x v="1867"/>
              <x v="1868"/>
              <x v="1869"/>
              <x v="1870"/>
              <x v="1871"/>
              <x v="1872"/>
              <x v="1873"/>
              <x v="1917"/>
              <x v="1918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76">
              <x v="93"/>
              <x v="94"/>
              <x v="95"/>
              <x v="96"/>
              <x v="97"/>
              <x v="98"/>
              <x v="99"/>
              <x v="100"/>
              <x v="101"/>
              <x v="102"/>
              <x v="103"/>
              <x v="104"/>
              <x v="160"/>
              <x v="161"/>
              <x v="162"/>
              <x v="163"/>
              <x v="164"/>
              <x v="165"/>
              <x v="166"/>
              <x v="167"/>
              <x v="168"/>
              <x v="169"/>
              <x v="170"/>
              <x v="171"/>
              <x v="172"/>
              <x v="173"/>
              <x v="174"/>
              <x v="175"/>
              <x v="176"/>
              <x v="177"/>
              <x v="178"/>
              <x v="179"/>
              <x v="180"/>
              <x v="268"/>
              <x v="269"/>
              <x v="270"/>
              <x v="271"/>
              <x v="272"/>
              <x v="775"/>
              <x v="776"/>
              <x v="777"/>
              <x v="778"/>
              <x v="829"/>
              <x v="830"/>
              <x v="831"/>
              <x v="832"/>
              <x v="833"/>
              <x v="851"/>
              <x v="852"/>
              <x v="853"/>
              <x v="1468"/>
              <x v="1469"/>
              <x v="1470"/>
              <x v="1471"/>
              <x v="1472"/>
              <x v="1473"/>
              <x v="1474"/>
              <x v="1475"/>
              <x v="1476"/>
              <x v="1477"/>
              <x v="1478"/>
              <x v="1479"/>
              <x v="1480"/>
              <x v="1481"/>
              <x v="1482"/>
              <x v="1483"/>
              <x v="1484"/>
              <x v="1485"/>
              <x v="1567"/>
              <x v="1576"/>
              <x v="1577"/>
              <x v="1874"/>
              <x v="1875"/>
              <x v="1929"/>
              <x v="1930"/>
              <x v="1931"/>
            </reference>
            <reference field="4" count="1" selected="0">
              <x v="5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43">
              <x v="105"/>
              <x v="106"/>
              <x v="107"/>
              <x v="108"/>
              <x v="109"/>
              <x v="181"/>
              <x v="182"/>
              <x v="183"/>
              <x v="184"/>
              <x v="185"/>
              <x v="186"/>
              <x v="187"/>
              <x v="188"/>
              <x v="189"/>
              <x v="190"/>
              <x v="191"/>
              <x v="779"/>
              <x v="780"/>
              <x v="834"/>
              <x v="835"/>
              <x v="836"/>
              <x v="837"/>
              <x v="854"/>
              <x v="855"/>
              <x v="1486"/>
              <x v="1487"/>
              <x v="1488"/>
              <x v="1489"/>
              <x v="1490"/>
              <x v="1491"/>
              <x v="1492"/>
              <x v="1493"/>
              <x v="1494"/>
              <x v="1495"/>
              <x v="1496"/>
              <x v="1497"/>
              <x v="1498"/>
              <x v="1499"/>
              <x v="1500"/>
              <x v="1501"/>
              <x v="1578"/>
              <x v="1599"/>
              <x v="1600"/>
            </reference>
            <reference field="4" count="1" selected="0">
              <x v="6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33">
              <x v="110"/>
              <x v="111"/>
              <x v="112"/>
              <x v="113"/>
              <x v="114"/>
              <x v="192"/>
              <x v="193"/>
              <x v="194"/>
              <x v="195"/>
              <x v="196"/>
              <x v="197"/>
              <x v="198"/>
              <x v="199"/>
              <x v="781"/>
              <x v="797"/>
              <x v="838"/>
              <x v="839"/>
              <x v="840"/>
              <x v="841"/>
              <x v="1502"/>
              <x v="1503"/>
              <x v="1504"/>
              <x v="1505"/>
              <x v="1506"/>
              <x v="1507"/>
              <x v="1508"/>
              <x v="1509"/>
              <x v="1510"/>
              <x v="1511"/>
              <x v="1512"/>
              <x v="1513"/>
              <x v="1932"/>
              <x v="1933"/>
            </reference>
            <reference field="4" count="1" selected="0">
              <x v="7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26">
              <x v="115"/>
              <x v="116"/>
              <x v="200"/>
              <x v="201"/>
              <x v="202"/>
              <x v="203"/>
              <x v="842"/>
              <x v="843"/>
              <x v="844"/>
              <x v="845"/>
              <x v="846"/>
              <x v="1514"/>
              <x v="1515"/>
              <x v="1516"/>
              <x v="1517"/>
              <x v="1518"/>
              <x v="1519"/>
              <x v="1520"/>
              <x v="1521"/>
              <x v="1522"/>
              <x v="1523"/>
              <x v="1524"/>
              <x v="1525"/>
              <x v="1526"/>
              <x v="1527"/>
              <x v="1528"/>
            </reference>
            <reference field="4" count="1" selected="0">
              <x v="8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3">
              <x v="204"/>
              <x v="273"/>
              <x v="274"/>
              <x v="1529"/>
              <x v="1530"/>
              <x v="1531"/>
              <x v="1532"/>
              <x v="1533"/>
              <x v="1534"/>
              <x v="1535"/>
              <x v="1536"/>
              <x v="1537"/>
              <x v="1601"/>
            </reference>
            <reference field="4" count="1" selected="0">
              <x v="9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1">
              <x v="205"/>
              <x v="206"/>
              <x v="1392"/>
              <x v="1538"/>
              <x v="1539"/>
              <x v="1540"/>
              <x v="1541"/>
              <x v="1542"/>
              <x v="1602"/>
              <x v="1603"/>
              <x v="1934"/>
            </reference>
            <reference field="4" count="1" selected="0">
              <x v="10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28">
              <x v="117"/>
              <x v="118"/>
              <x v="207"/>
              <x v="208"/>
              <x v="224"/>
              <x v="847"/>
              <x v="848"/>
              <x v="849"/>
              <x v="850"/>
              <x v="1543"/>
              <x v="1544"/>
              <x v="1545"/>
              <x v="1546"/>
              <x v="1547"/>
              <x v="1548"/>
              <x v="1549"/>
              <x v="1550"/>
              <x v="1551"/>
              <x v="1604"/>
              <x v="1605"/>
              <x v="1606"/>
              <x v="1607"/>
              <x v="1608"/>
              <x v="1609"/>
              <x v="1653"/>
              <x v="1654"/>
              <x v="1655"/>
              <x v="1876"/>
            </reference>
            <reference field="4" count="1" selected="0">
              <x v="11"/>
            </reference>
          </references>
        </pivotArea>
      </pivotAreas>
    </conditionalFormat>
    <conditionalFormat priority="1">
      <pivotAreas count="22"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054">
              <x v="0"/>
              <x v="119"/>
              <x v="209"/>
              <x v="210"/>
              <x v="211"/>
              <x v="212"/>
              <x v="213"/>
              <x v="214"/>
              <x v="215"/>
              <x v="216"/>
              <x v="217"/>
              <x v="218"/>
              <x v="219"/>
              <x v="220"/>
              <x v="221"/>
              <x v="222"/>
              <x v="223"/>
              <x v="225"/>
              <x v="226"/>
              <x v="227"/>
              <x v="228"/>
              <x v="229"/>
              <x v="230"/>
              <x v="231"/>
              <x v="232"/>
              <x v="233"/>
              <x v="234"/>
              <x v="235"/>
              <x v="236"/>
              <x v="237"/>
              <x v="238"/>
              <x v="239"/>
              <x v="240"/>
              <x v="241"/>
              <x v="242"/>
              <x v="243"/>
              <x v="244"/>
              <x v="245"/>
              <x v="246"/>
              <x v="247"/>
              <x v="248"/>
              <x v="249"/>
              <x v="250"/>
              <x v="251"/>
              <x v="252"/>
              <x v="253"/>
              <x v="254"/>
              <x v="255"/>
              <x v="256"/>
              <x v="257"/>
              <x v="258"/>
              <x v="259"/>
              <x v="260"/>
              <x v="275"/>
              <x v="276"/>
              <x v="277"/>
              <x v="278"/>
              <x v="279"/>
              <x v="280"/>
              <x v="281"/>
              <x v="282"/>
              <x v="283"/>
              <x v="284"/>
              <x v="285"/>
              <x v="286"/>
              <x v="287"/>
              <x v="288"/>
              <x v="289"/>
              <x v="290"/>
              <x v="291"/>
              <x v="292"/>
              <x v="293"/>
              <x v="294"/>
              <x v="295"/>
              <x v="296"/>
              <x v="297"/>
              <x v="298"/>
              <x v="299"/>
              <x v="300"/>
              <x v="301"/>
              <x v="302"/>
              <x v="303"/>
              <x v="304"/>
              <x v="305"/>
              <x v="306"/>
              <x v="307"/>
              <x v="308"/>
              <x v="309"/>
              <x v="310"/>
              <x v="311"/>
              <x v="312"/>
              <x v="313"/>
              <x v="314"/>
              <x v="315"/>
              <x v="316"/>
              <x v="317"/>
              <x v="318"/>
              <x v="319"/>
              <x v="320"/>
              <x v="321"/>
              <x v="322"/>
              <x v="323"/>
              <x v="324"/>
              <x v="325"/>
              <x v="326"/>
              <x v="327"/>
              <x v="328"/>
              <x v="329"/>
              <x v="330"/>
              <x v="331"/>
              <x v="332"/>
              <x v="333"/>
              <x v="334"/>
              <x v="335"/>
              <x v="336"/>
              <x v="337"/>
              <x v="338"/>
              <x v="339"/>
              <x v="340"/>
              <x v="341"/>
              <x v="342"/>
              <x v="343"/>
              <x v="344"/>
              <x v="345"/>
              <x v="346"/>
              <x v="347"/>
              <x v="348"/>
              <x v="349"/>
              <x v="350"/>
              <x v="351"/>
              <x v="352"/>
              <x v="353"/>
              <x v="354"/>
              <x v="355"/>
              <x v="356"/>
              <x v="357"/>
              <x v="358"/>
              <x v="359"/>
              <x v="360"/>
              <x v="361"/>
              <x v="362"/>
              <x v="363"/>
              <x v="364"/>
              <x v="365"/>
              <x v="366"/>
              <x v="367"/>
              <x v="368"/>
              <x v="369"/>
              <x v="370"/>
              <x v="371"/>
              <x v="372"/>
              <x v="373"/>
              <x v="374"/>
              <x v="375"/>
              <x v="376"/>
              <x v="377"/>
              <x v="378"/>
              <x v="379"/>
              <x v="380"/>
              <x v="381"/>
              <x v="382"/>
              <x v="383"/>
              <x v="384"/>
              <x v="385"/>
              <x v="386"/>
              <x v="387"/>
              <x v="388"/>
              <x v="389"/>
              <x v="390"/>
              <x v="391"/>
              <x v="392"/>
              <x v="393"/>
              <x v="394"/>
              <x v="395"/>
              <x v="396"/>
              <x v="397"/>
              <x v="398"/>
              <x v="399"/>
              <x v="400"/>
              <x v="401"/>
              <x v="402"/>
              <x v="403"/>
              <x v="404"/>
              <x v="425"/>
              <x v="426"/>
              <x v="427"/>
              <x v="428"/>
              <x v="429"/>
              <x v="430"/>
              <x v="431"/>
              <x v="432"/>
              <x v="433"/>
              <x v="434"/>
              <x v="435"/>
              <x v="436"/>
              <x v="437"/>
              <x v="438"/>
              <x v="439"/>
              <x v="440"/>
              <x v="441"/>
              <x v="442"/>
              <x v="443"/>
              <x v="444"/>
              <x v="445"/>
              <x v="446"/>
              <x v="447"/>
              <x v="448"/>
              <x v="449"/>
              <x v="450"/>
              <x v="451"/>
              <x v="452"/>
              <x v="453"/>
              <x v="454"/>
              <x v="455"/>
              <x v="456"/>
              <x v="457"/>
              <x v="458"/>
              <x v="459"/>
              <x v="460"/>
              <x v="461"/>
              <x v="462"/>
              <x v="463"/>
              <x v="464"/>
              <x v="465"/>
              <x v="466"/>
              <x v="467"/>
              <x v="468"/>
              <x v="469"/>
              <x v="470"/>
              <x v="471"/>
              <x v="472"/>
              <x v="473"/>
              <x v="474"/>
              <x v="475"/>
              <x v="476"/>
              <x v="477"/>
              <x v="478"/>
              <x v="479"/>
              <x v="480"/>
              <x v="481"/>
              <x v="482"/>
              <x v="483"/>
              <x v="484"/>
              <x v="485"/>
              <x v="486"/>
              <x v="487"/>
              <x v="488"/>
              <x v="489"/>
              <x v="490"/>
              <x v="491"/>
              <x v="492"/>
              <x v="493"/>
              <x v="494"/>
              <x v="495"/>
              <x v="496"/>
              <x v="497"/>
              <x v="498"/>
              <x v="499"/>
              <x v="500"/>
              <x v="501"/>
              <x v="502"/>
              <x v="503"/>
              <x v="504"/>
              <x v="505"/>
              <x v="506"/>
              <x v="507"/>
              <x v="508"/>
              <x v="509"/>
              <x v="510"/>
              <x v="511"/>
              <x v="512"/>
              <x v="513"/>
              <x v="514"/>
              <x v="515"/>
              <x v="516"/>
              <x v="517"/>
              <x v="518"/>
              <x v="519"/>
              <x v="520"/>
              <x v="521"/>
              <x v="522"/>
              <x v="523"/>
              <x v="524"/>
              <x v="525"/>
              <x v="526"/>
              <x v="527"/>
              <x v="528"/>
              <x v="529"/>
              <x v="530"/>
              <x v="531"/>
              <x v="532"/>
              <x v="533"/>
              <x v="534"/>
              <x v="535"/>
              <x v="536"/>
              <x v="537"/>
              <x v="538"/>
              <x v="539"/>
              <x v="540"/>
              <x v="541"/>
              <x v="542"/>
              <x v="543"/>
              <x v="544"/>
              <x v="545"/>
              <x v="546"/>
              <x v="547"/>
              <x v="548"/>
              <x v="549"/>
              <x v="550"/>
              <x v="551"/>
              <x v="552"/>
              <x v="553"/>
              <x v="554"/>
              <x v="555"/>
              <x v="556"/>
              <x v="557"/>
              <x v="558"/>
              <x v="559"/>
              <x v="560"/>
              <x v="561"/>
              <x v="562"/>
              <x v="563"/>
              <x v="564"/>
              <x v="565"/>
              <x v="566"/>
              <x v="567"/>
              <x v="568"/>
              <x v="569"/>
              <x v="570"/>
              <x v="571"/>
              <x v="572"/>
              <x v="573"/>
              <x v="574"/>
              <x v="575"/>
              <x v="576"/>
              <x v="577"/>
              <x v="578"/>
              <x v="579"/>
              <x v="580"/>
              <x v="581"/>
              <x v="582"/>
              <x v="583"/>
              <x v="584"/>
              <x v="585"/>
              <x v="586"/>
              <x v="587"/>
              <x v="588"/>
              <x v="589"/>
              <x v="590"/>
              <x v="591"/>
              <x v="592"/>
              <x v="593"/>
              <x v="594"/>
              <x v="595"/>
              <x v="596"/>
              <x v="597"/>
              <x v="598"/>
              <x v="599"/>
              <x v="600"/>
              <x v="601"/>
              <x v="602"/>
              <x v="603"/>
              <x v="604"/>
              <x v="605"/>
              <x v="606"/>
              <x v="607"/>
              <x v="608"/>
              <x v="609"/>
              <x v="610"/>
              <x v="611"/>
              <x v="612"/>
              <x v="613"/>
              <x v="614"/>
              <x v="615"/>
              <x v="616"/>
              <x v="617"/>
              <x v="618"/>
              <x v="619"/>
              <x v="620"/>
              <x v="621"/>
              <x v="622"/>
              <x v="623"/>
              <x v="624"/>
              <x v="625"/>
              <x v="626"/>
              <x v="627"/>
              <x v="628"/>
              <x v="629"/>
              <x v="630"/>
              <x v="631"/>
              <x v="632"/>
              <x v="633"/>
              <x v="634"/>
              <x v="635"/>
              <x v="636"/>
              <x v="637"/>
              <x v="638"/>
              <x v="639"/>
              <x v="640"/>
              <x v="641"/>
              <x v="642"/>
              <x v="643"/>
              <x v="644"/>
              <x v="645"/>
              <x v="646"/>
              <x v="647"/>
              <x v="648"/>
              <x v="649"/>
              <x v="650"/>
              <x v="651"/>
              <x v="652"/>
              <x v="653"/>
              <x v="654"/>
              <x v="655"/>
              <x v="656"/>
              <x v="657"/>
              <x v="658"/>
              <x v="659"/>
              <x v="660"/>
              <x v="661"/>
              <x v="662"/>
              <x v="663"/>
              <x v="664"/>
              <x v="665"/>
              <x v="666"/>
              <x v="667"/>
              <x v="668"/>
              <x v="669"/>
              <x v="670"/>
              <x v="671"/>
              <x v="856"/>
              <x v="857"/>
              <x v="858"/>
              <x v="859"/>
              <x v="860"/>
              <x v="861"/>
              <x v="862"/>
              <x v="863"/>
              <x v="864"/>
              <x v="865"/>
              <x v="866"/>
              <x v="867"/>
              <x v="868"/>
              <x v="869"/>
              <x v="870"/>
              <x v="871"/>
              <x v="872"/>
              <x v="873"/>
              <x v="874"/>
              <x v="875"/>
              <x v="876"/>
              <x v="877"/>
              <x v="878"/>
              <x v="879"/>
              <x v="880"/>
              <x v="881"/>
              <x v="882"/>
              <x v="883"/>
              <x v="884"/>
              <x v="885"/>
              <x v="886"/>
              <x v="887"/>
              <x v="888"/>
              <x v="889"/>
              <x v="890"/>
              <x v="891"/>
              <x v="892"/>
              <x v="893"/>
              <x v="894"/>
              <x v="895"/>
              <x v="896"/>
              <x v="897"/>
              <x v="898"/>
              <x v="899"/>
              <x v="968"/>
              <x v="969"/>
              <x v="970"/>
              <x v="971"/>
              <x v="972"/>
              <x v="973"/>
              <x v="974"/>
              <x v="975"/>
              <x v="976"/>
              <x v="977"/>
              <x v="978"/>
              <x v="979"/>
              <x v="980"/>
              <x v="981"/>
              <x v="982"/>
              <x v="983"/>
              <x v="984"/>
              <x v="985"/>
              <x v="986"/>
              <x v="987"/>
              <x v="988"/>
              <x v="989"/>
              <x v="990"/>
              <x v="991"/>
              <x v="992"/>
              <x v="993"/>
              <x v="994"/>
              <x v="995"/>
              <x v="996"/>
              <x v="997"/>
              <x v="998"/>
              <x v="999"/>
              <x v="1000"/>
              <x v="1001"/>
              <x v="1002"/>
              <x v="1003"/>
              <x v="1004"/>
              <x v="1005"/>
              <x v="1006"/>
              <x v="1007"/>
              <x v="1008"/>
              <x v="1009"/>
              <x v="1010"/>
              <x v="1011"/>
              <x v="1012"/>
              <x v="1013"/>
              <x v="1014"/>
              <x v="1015"/>
              <x v="1016"/>
              <x v="1017"/>
              <x v="1018"/>
              <x v="1019"/>
              <x v="1020"/>
              <x v="1021"/>
              <x v="1022"/>
              <x v="1023"/>
              <x v="1024"/>
              <x v="1025"/>
              <x v="1026"/>
              <x v="1027"/>
              <x v="1028"/>
              <x v="1029"/>
              <x v="1030"/>
              <x v="1031"/>
              <x v="1032"/>
              <x v="1033"/>
              <x v="1034"/>
              <x v="1035"/>
              <x v="1036"/>
              <x v="1037"/>
              <x v="1038"/>
              <x v="1039"/>
              <x v="1040"/>
              <x v="1041"/>
              <x v="1042"/>
              <x v="1043"/>
              <x v="1044"/>
              <x v="1045"/>
              <x v="1046"/>
              <x v="1047"/>
              <x v="1048"/>
              <x v="1049"/>
              <x v="1050"/>
              <x v="1051"/>
              <x v="1052"/>
              <x v="1053"/>
              <x v="1054"/>
              <x v="1055"/>
              <x v="1056"/>
              <x v="1057"/>
              <x v="1058"/>
              <x v="1059"/>
              <x v="1060"/>
              <x v="1061"/>
              <x v="1062"/>
              <x v="1063"/>
              <x v="1064"/>
              <x v="1065"/>
              <x v="1066"/>
              <x v="1067"/>
              <x v="1068"/>
              <x v="1069"/>
              <x v="1070"/>
              <x v="1071"/>
              <x v="1072"/>
              <x v="1073"/>
              <x v="1074"/>
              <x v="1075"/>
              <x v="1076"/>
              <x v="1077"/>
              <x v="1078"/>
              <x v="1079"/>
              <x v="1080"/>
              <x v="1081"/>
              <x v="1082"/>
              <x v="1083"/>
              <x v="1084"/>
              <x v="1085"/>
              <x v="1086"/>
              <x v="1087"/>
              <x v="1088"/>
              <x v="1089"/>
              <x v="1090"/>
              <x v="1091"/>
              <x v="1092"/>
              <x v="1093"/>
              <x v="1094"/>
              <x v="1095"/>
              <x v="1096"/>
              <x v="1097"/>
              <x v="1098"/>
              <x v="1099"/>
              <x v="1100"/>
              <x v="1101"/>
              <x v="1102"/>
              <x v="1103"/>
              <x v="1104"/>
              <x v="1105"/>
              <x v="1106"/>
              <x v="1107"/>
              <x v="1108"/>
              <x v="1109"/>
              <x v="1110"/>
              <x v="1111"/>
              <x v="1112"/>
              <x v="1113"/>
              <x v="1114"/>
              <x v="1115"/>
              <x v="1116"/>
              <x v="1117"/>
              <x v="1118"/>
              <x v="1119"/>
              <x v="1120"/>
              <x v="1121"/>
              <x v="1122"/>
              <x v="1123"/>
              <x v="1124"/>
              <x v="1125"/>
              <x v="1126"/>
              <x v="1127"/>
              <x v="1128"/>
              <x v="1129"/>
              <x v="1130"/>
              <x v="1131"/>
              <x v="1132"/>
              <x v="1133"/>
              <x v="1134"/>
              <x v="1135"/>
              <x v="1136"/>
              <x v="1137"/>
              <x v="1138"/>
              <x v="1139"/>
              <x v="1140"/>
              <x v="1141"/>
              <x v="1142"/>
              <x v="1143"/>
              <x v="1144"/>
              <x v="1145"/>
              <x v="1146"/>
              <x v="1147"/>
              <x v="1148"/>
              <x v="1149"/>
              <x v="1150"/>
              <x v="1151"/>
              <x v="1152"/>
              <x v="1153"/>
              <x v="1154"/>
              <x v="1155"/>
              <x v="1156"/>
              <x v="1157"/>
              <x v="1158"/>
              <x v="1159"/>
              <x v="1160"/>
              <x v="1161"/>
              <x v="1162"/>
              <x v="1163"/>
              <x v="1164"/>
              <x v="1165"/>
              <x v="1166"/>
              <x v="1167"/>
              <x v="1168"/>
              <x v="1169"/>
              <x v="1170"/>
              <x v="1171"/>
              <x v="1172"/>
              <x v="1173"/>
              <x v="1174"/>
              <x v="1175"/>
              <x v="1176"/>
              <x v="1177"/>
              <x v="1178"/>
              <x v="1179"/>
              <x v="1180"/>
              <x v="1181"/>
              <x v="1182"/>
              <x v="1183"/>
              <x v="1184"/>
              <x v="1185"/>
              <x v="1186"/>
              <x v="1187"/>
              <x v="1188"/>
              <x v="1189"/>
              <x v="1190"/>
              <x v="1191"/>
              <x v="1192"/>
              <x v="1193"/>
              <x v="1194"/>
              <x v="1195"/>
              <x v="1196"/>
              <x v="1197"/>
              <x v="1198"/>
              <x v="1199"/>
              <x v="1200"/>
              <x v="1201"/>
              <x v="1202"/>
              <x v="1203"/>
              <x v="1204"/>
              <x v="1205"/>
              <x v="1206"/>
              <x v="1207"/>
              <x v="1208"/>
              <x v="1209"/>
              <x v="1210"/>
              <x v="1211"/>
              <x v="1212"/>
              <x v="1213"/>
              <x v="1214"/>
              <x v="1215"/>
              <x v="1216"/>
              <x v="1217"/>
              <x v="1218"/>
              <x v="1219"/>
              <x v="1220"/>
              <x v="1221"/>
              <x v="1222"/>
              <x v="1223"/>
              <x v="1224"/>
              <x v="1225"/>
              <x v="1226"/>
              <x v="1227"/>
              <x v="1228"/>
              <x v="1229"/>
              <x v="1230"/>
              <x v="1231"/>
              <x v="1232"/>
              <x v="1233"/>
              <x v="1234"/>
              <x v="1235"/>
              <x v="1236"/>
              <x v="1237"/>
              <x v="1238"/>
              <x v="1239"/>
              <x v="1240"/>
              <x v="1241"/>
              <x v="1242"/>
              <x v="1243"/>
              <x v="1244"/>
              <x v="1245"/>
              <x v="1246"/>
              <x v="1247"/>
              <x v="1248"/>
              <x v="1249"/>
              <x v="1250"/>
              <x v="1251"/>
              <x v="1252"/>
              <x v="1253"/>
              <x v="1254"/>
              <x v="1255"/>
              <x v="1256"/>
              <x v="1257"/>
              <x v="1258"/>
              <x v="1259"/>
              <x v="1260"/>
              <x v="1261"/>
              <x v="1262"/>
              <x v="1263"/>
              <x v="1264"/>
              <x v="1265"/>
              <x v="1266"/>
              <x v="1267"/>
              <x v="1268"/>
              <x v="1269"/>
              <x v="1270"/>
              <x v="1271"/>
              <x v="1272"/>
              <x v="1273"/>
              <x v="1274"/>
              <x v="1275"/>
              <x v="1276"/>
              <x v="1277"/>
              <x v="1278"/>
              <x v="1279"/>
              <x v="1280"/>
              <x v="1281"/>
              <x v="1282"/>
              <x v="1283"/>
              <x v="1284"/>
              <x v="1285"/>
              <x v="1286"/>
              <x v="1287"/>
              <x v="1288"/>
              <x v="1289"/>
              <x v="1290"/>
              <x v="1291"/>
              <x v="1292"/>
              <x v="1293"/>
              <x v="1294"/>
              <x v="1295"/>
              <x v="1296"/>
              <x v="1297"/>
              <x v="1298"/>
              <x v="1299"/>
              <x v="1300"/>
              <x v="1301"/>
              <x v="1302"/>
              <x v="1303"/>
              <x v="1304"/>
              <x v="1305"/>
              <x v="1306"/>
              <x v="1307"/>
              <x v="1308"/>
              <x v="1309"/>
              <x v="1310"/>
              <x v="1311"/>
              <x v="1312"/>
              <x v="1313"/>
              <x v="1314"/>
              <x v="1315"/>
              <x v="1316"/>
              <x v="1317"/>
              <x v="1318"/>
              <x v="1319"/>
              <x v="1320"/>
              <x v="1321"/>
              <x v="1322"/>
              <x v="1323"/>
              <x v="1324"/>
              <x v="1325"/>
              <x v="1326"/>
              <x v="1327"/>
              <x v="1328"/>
              <x v="1329"/>
              <x v="1330"/>
              <x v="1331"/>
              <x v="1332"/>
              <x v="1333"/>
              <x v="1334"/>
              <x v="1335"/>
              <x v="1336"/>
              <x v="1337"/>
              <x v="1338"/>
              <x v="1339"/>
              <x v="1340"/>
              <x v="1341"/>
              <x v="1342"/>
              <x v="1343"/>
              <x v="1344"/>
              <x v="1345"/>
              <x v="1346"/>
              <x v="1347"/>
              <x v="1348"/>
              <x v="1349"/>
              <x v="1350"/>
              <x v="1351"/>
              <x v="1352"/>
              <x v="1353"/>
              <x v="1354"/>
              <x v="1355"/>
              <x v="1356"/>
              <x v="1357"/>
              <x v="1358"/>
              <x v="1359"/>
              <x v="1360"/>
              <x v="1361"/>
              <x v="1362"/>
              <x v="1363"/>
              <x v="1364"/>
              <x v="1365"/>
              <x v="1393"/>
              <x v="1394"/>
              <x v="1395"/>
              <x v="1396"/>
              <x v="1397"/>
              <x v="1579"/>
              <x v="1583"/>
              <x v="1584"/>
              <x v="1585"/>
              <x v="1586"/>
              <x v="1587"/>
              <x v="1588"/>
              <x v="1589"/>
              <x v="1590"/>
              <x v="1591"/>
              <x v="1592"/>
              <x v="1593"/>
              <x v="1594"/>
              <x v="1595"/>
              <x v="1596"/>
              <x v="1597"/>
              <x v="1610"/>
              <x v="1611"/>
              <x v="1612"/>
              <x v="1613"/>
              <x v="1614"/>
              <x v="1615"/>
              <x v="1616"/>
              <x v="1617"/>
              <x v="1618"/>
              <x v="1619"/>
              <x v="1620"/>
              <x v="1621"/>
              <x v="1622"/>
              <x v="1623"/>
              <x v="1624"/>
              <x v="1625"/>
              <x v="1626"/>
              <x v="1627"/>
              <x v="1628"/>
              <x v="1629"/>
              <x v="1630"/>
              <x v="1631"/>
              <x v="1632"/>
              <x v="1633"/>
              <x v="1634"/>
              <x v="1635"/>
              <x v="1636"/>
              <x v="1637"/>
              <x v="1638"/>
              <x v="1639"/>
              <x v="1640"/>
              <x v="1641"/>
              <x v="1642"/>
              <x v="1643"/>
              <x v="1644"/>
              <x v="1645"/>
              <x v="1646"/>
              <x v="1647"/>
              <x v="1648"/>
              <x v="1649"/>
              <x v="1650"/>
              <x v="1656"/>
              <x v="1657"/>
              <x v="1658"/>
              <x v="1659"/>
              <x v="1660"/>
              <x v="1661"/>
              <x v="1662"/>
              <x v="1663"/>
              <x v="1664"/>
              <x v="1665"/>
              <x v="1666"/>
              <x v="1667"/>
              <x v="1668"/>
              <x v="1669"/>
              <x v="1670"/>
              <x v="1693"/>
              <x v="1694"/>
              <x v="1696"/>
              <x v="1697"/>
              <x v="1698"/>
              <x v="1699"/>
              <x v="1700"/>
              <x v="1701"/>
              <x v="1702"/>
              <x v="1703"/>
              <x v="1704"/>
              <x v="1705"/>
              <x v="1706"/>
              <x v="1707"/>
              <x v="1708"/>
              <x v="1709"/>
              <x v="1710"/>
              <x v="1711"/>
              <x v="1712"/>
              <x v="1713"/>
              <x v="1714"/>
              <x v="1715"/>
              <x v="1716"/>
              <x v="1717"/>
              <x v="1718"/>
              <x v="1719"/>
              <x v="1720"/>
              <x v="1721"/>
              <x v="1722"/>
              <x v="1723"/>
              <x v="1724"/>
              <x v="1725"/>
              <x v="1726"/>
              <x v="1727"/>
              <x v="1728"/>
              <x v="1747"/>
              <x v="1748"/>
              <x v="1749"/>
              <x v="1750"/>
              <x v="1751"/>
              <x v="1752"/>
              <x v="1753"/>
              <x v="1754"/>
              <x v="1755"/>
              <x v="1756"/>
              <x v="1757"/>
              <x v="1758"/>
              <x v="1759"/>
              <x v="1760"/>
              <x v="1761"/>
              <x v="1762"/>
              <x v="1763"/>
              <x v="1764"/>
              <x v="1765"/>
              <x v="1766"/>
              <x v="1767"/>
              <x v="1768"/>
              <x v="1769"/>
              <x v="1770"/>
              <x v="1771"/>
              <x v="1772"/>
              <x v="1773"/>
              <x v="1774"/>
              <x v="1775"/>
              <x v="1776"/>
              <x v="1777"/>
              <x v="1778"/>
              <x v="1779"/>
              <x v="1780"/>
              <x v="1781"/>
              <x v="1782"/>
              <x v="1783"/>
              <x v="1784"/>
              <x v="1877"/>
              <x v="1878"/>
              <x v="1879"/>
              <x v="1880"/>
              <x v="1881"/>
              <x v="1882"/>
              <x v="1883"/>
              <x v="1884"/>
              <x v="1885"/>
              <x v="1886"/>
              <x v="1887"/>
              <x v="1888"/>
              <x v="1889"/>
              <x v="1890"/>
              <x v="1891"/>
              <x v="1892"/>
              <x v="1893"/>
              <x v="1894"/>
              <x v="1895"/>
              <x v="1896"/>
              <x v="1897"/>
              <x v="1898"/>
              <x v="1899"/>
              <x v="1900"/>
              <x v="1901"/>
              <x v="1902"/>
              <x v="1903"/>
              <x v="1904"/>
              <x v="1905"/>
              <x v="1906"/>
              <x v="1907"/>
              <x v="1908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384"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120"/>
              <x v="121"/>
              <x v="122"/>
              <x v="123"/>
              <x v="124"/>
              <x v="125"/>
              <x v="126"/>
              <x v="127"/>
              <x v="128"/>
              <x v="129"/>
              <x v="130"/>
              <x v="131"/>
              <x v="132"/>
              <x v="261"/>
              <x v="405"/>
              <x v="406"/>
              <x v="407"/>
              <x v="408"/>
              <x v="409"/>
              <x v="410"/>
              <x v="411"/>
              <x v="412"/>
              <x v="413"/>
              <x v="414"/>
              <x v="415"/>
              <x v="416"/>
              <x v="417"/>
              <x v="418"/>
              <x v="419"/>
              <x v="420"/>
              <x v="421"/>
              <x v="422"/>
              <x v="423"/>
              <x v="424"/>
              <x v="672"/>
              <x v="673"/>
              <x v="674"/>
              <x v="675"/>
              <x v="676"/>
              <x v="677"/>
              <x v="678"/>
              <x v="679"/>
              <x v="680"/>
              <x v="681"/>
              <x v="682"/>
              <x v="683"/>
              <x v="684"/>
              <x v="685"/>
              <x v="686"/>
              <x v="687"/>
              <x v="688"/>
              <x v="689"/>
              <x v="690"/>
              <x v="691"/>
              <x v="692"/>
              <x v="693"/>
              <x v="694"/>
              <x v="695"/>
              <x v="696"/>
              <x v="697"/>
              <x v="698"/>
              <x v="699"/>
              <x v="700"/>
              <x v="701"/>
              <x v="702"/>
              <x v="703"/>
              <x v="704"/>
              <x v="705"/>
              <x v="706"/>
              <x v="707"/>
              <x v="708"/>
              <x v="709"/>
              <x v="710"/>
              <x v="711"/>
              <x v="712"/>
              <x v="713"/>
              <x v="714"/>
              <x v="715"/>
              <x v="716"/>
              <x v="717"/>
              <x v="718"/>
              <x v="719"/>
              <x v="720"/>
              <x v="721"/>
              <x v="722"/>
              <x v="723"/>
              <x v="724"/>
              <x v="725"/>
              <x v="726"/>
              <x v="727"/>
              <x v="728"/>
              <x v="729"/>
              <x v="730"/>
              <x v="731"/>
              <x v="732"/>
              <x v="733"/>
              <x v="734"/>
              <x v="735"/>
              <x v="736"/>
              <x v="737"/>
              <x v="738"/>
              <x v="739"/>
              <x v="740"/>
              <x v="741"/>
              <x v="742"/>
              <x v="743"/>
              <x v="744"/>
              <x v="745"/>
              <x v="746"/>
              <x v="747"/>
              <x v="748"/>
              <x v="749"/>
              <x v="750"/>
              <x v="751"/>
              <x v="752"/>
              <x v="753"/>
              <x v="754"/>
              <x v="755"/>
              <x v="767"/>
              <x v="782"/>
              <x v="783"/>
              <x v="784"/>
              <x v="785"/>
              <x v="786"/>
              <x v="787"/>
              <x v="788"/>
              <x v="789"/>
              <x v="790"/>
              <x v="791"/>
              <x v="798"/>
              <x v="799"/>
              <x v="800"/>
              <x v="801"/>
              <x v="802"/>
              <x v="803"/>
              <x v="804"/>
              <x v="805"/>
              <x v="806"/>
              <x v="807"/>
              <x v="808"/>
              <x v="809"/>
              <x v="810"/>
              <x v="811"/>
              <x v="812"/>
              <x v="813"/>
              <x v="814"/>
              <x v="815"/>
              <x v="900"/>
              <x v="901"/>
              <x v="902"/>
              <x v="903"/>
              <x v="904"/>
              <x v="905"/>
              <x v="906"/>
              <x v="907"/>
              <x v="908"/>
              <x v="909"/>
              <x v="910"/>
              <x v="911"/>
              <x v="912"/>
              <x v="913"/>
              <x v="914"/>
              <x v="915"/>
              <x v="916"/>
              <x v="917"/>
              <x v="918"/>
              <x v="919"/>
              <x v="920"/>
              <x v="921"/>
              <x v="922"/>
              <x v="923"/>
              <x v="924"/>
              <x v="925"/>
              <x v="926"/>
              <x v="927"/>
              <x v="928"/>
              <x v="929"/>
              <x v="930"/>
              <x v="931"/>
              <x v="932"/>
              <x v="933"/>
              <x v="934"/>
              <x v="935"/>
              <x v="936"/>
              <x v="937"/>
              <x v="938"/>
              <x v="939"/>
              <x v="940"/>
              <x v="941"/>
              <x v="942"/>
              <x v="943"/>
              <x v="944"/>
              <x v="945"/>
              <x v="946"/>
              <x v="947"/>
              <x v="948"/>
              <x v="949"/>
              <x v="950"/>
              <x v="951"/>
              <x v="952"/>
              <x v="953"/>
              <x v="954"/>
              <x v="955"/>
              <x v="956"/>
              <x v="957"/>
              <x v="1366"/>
              <x v="1367"/>
              <x v="1368"/>
              <x v="1369"/>
              <x v="1370"/>
              <x v="1371"/>
              <x v="1372"/>
              <x v="1373"/>
              <x v="1374"/>
              <x v="1375"/>
              <x v="1376"/>
              <x v="1377"/>
              <x v="1378"/>
              <x v="1379"/>
              <x v="1380"/>
              <x v="1381"/>
              <x v="1382"/>
              <x v="1383"/>
              <x v="1384"/>
              <x v="1385"/>
              <x v="1386"/>
              <x v="1387"/>
              <x v="1388"/>
              <x v="1389"/>
              <x v="1390"/>
              <x v="1391"/>
              <x v="1398"/>
              <x v="1399"/>
              <x v="1400"/>
              <x v="1401"/>
              <x v="1402"/>
              <x v="1403"/>
              <x v="1404"/>
              <x v="1405"/>
              <x v="1406"/>
              <x v="1407"/>
              <x v="1408"/>
              <x v="1409"/>
              <x v="1410"/>
              <x v="1411"/>
              <x v="1412"/>
              <x v="1413"/>
              <x v="1414"/>
              <x v="1415"/>
              <x v="1416"/>
              <x v="1417"/>
              <x v="1418"/>
              <x v="1419"/>
              <x v="1420"/>
              <x v="1421"/>
              <x v="1552"/>
              <x v="1553"/>
              <x v="1554"/>
              <x v="1555"/>
              <x v="1556"/>
              <x v="1557"/>
              <x v="1558"/>
              <x v="1559"/>
              <x v="1560"/>
              <x v="1568"/>
              <x v="1569"/>
              <x v="1580"/>
              <x v="1581"/>
              <x v="1651"/>
              <x v="1652"/>
              <x v="1671"/>
              <x v="1672"/>
              <x v="1673"/>
              <x v="1674"/>
              <x v="1675"/>
              <x v="1676"/>
              <x v="1677"/>
              <x v="1678"/>
              <x v="1679"/>
              <x v="1680"/>
              <x v="1681"/>
              <x v="1682"/>
              <x v="1683"/>
              <x v="1684"/>
              <x v="1685"/>
              <x v="1695"/>
              <x v="1729"/>
              <x v="1730"/>
              <x v="1731"/>
              <x v="1732"/>
              <x v="1733"/>
              <x v="1734"/>
              <x v="1735"/>
              <x v="1736"/>
              <x v="1737"/>
              <x v="1785"/>
              <x v="1786"/>
              <x v="1787"/>
              <x v="1788"/>
              <x v="1789"/>
              <x v="1790"/>
              <x v="1791"/>
              <x v="1792"/>
              <x v="1793"/>
              <x v="1794"/>
              <x v="1795"/>
              <x v="1796"/>
              <x v="1797"/>
              <x v="1798"/>
              <x v="1799"/>
              <x v="1800"/>
              <x v="1801"/>
              <x v="1802"/>
              <x v="1803"/>
              <x v="1804"/>
              <x v="1805"/>
              <x v="1806"/>
              <x v="1807"/>
              <x v="1808"/>
              <x v="1809"/>
              <x v="1810"/>
              <x v="1811"/>
              <x v="1812"/>
              <x v="1813"/>
              <x v="1814"/>
              <x v="1815"/>
              <x v="1816"/>
              <x v="1817"/>
              <x v="1818"/>
              <x v="1819"/>
              <x v="1820"/>
              <x v="1821"/>
              <x v="1822"/>
              <x v="1909"/>
              <x v="1910"/>
              <x v="1911"/>
              <x v="1912"/>
              <x v="1913"/>
              <x v="1914"/>
              <x v="1915"/>
              <x v="1919"/>
              <x v="1920"/>
              <x v="1921"/>
              <x v="1922"/>
              <x v="1923"/>
              <x v="1924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65">
              <x v="39"/>
              <x v="40"/>
              <x v="41"/>
              <x v="42"/>
              <x v="43"/>
              <x v="44"/>
              <x v="45"/>
              <x v="46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133"/>
              <x v="134"/>
              <x v="135"/>
              <x v="136"/>
              <x v="137"/>
              <x v="138"/>
              <x v="139"/>
              <x v="140"/>
              <x v="141"/>
              <x v="142"/>
              <x v="143"/>
              <x v="144"/>
              <x v="262"/>
              <x v="263"/>
              <x v="756"/>
              <x v="757"/>
              <x v="758"/>
              <x v="759"/>
              <x v="760"/>
              <x v="761"/>
              <x v="762"/>
              <x v="763"/>
              <x v="764"/>
              <x v="765"/>
              <x v="766"/>
              <x v="768"/>
              <x v="769"/>
              <x v="770"/>
              <x v="792"/>
              <x v="793"/>
              <x v="794"/>
              <x v="795"/>
              <x v="816"/>
              <x v="817"/>
              <x v="818"/>
              <x v="819"/>
              <x v="821"/>
              <x v="822"/>
              <x v="823"/>
              <x v="958"/>
              <x v="959"/>
              <x v="960"/>
              <x v="961"/>
              <x v="962"/>
              <x v="963"/>
              <x v="964"/>
              <x v="1422"/>
              <x v="1423"/>
              <x v="1424"/>
              <x v="1425"/>
              <x v="1426"/>
              <x v="1427"/>
              <x v="1428"/>
              <x v="1429"/>
              <x v="1430"/>
              <x v="1431"/>
              <x v="1432"/>
              <x v="1433"/>
              <x v="1434"/>
              <x v="1435"/>
              <x v="1436"/>
              <x v="1437"/>
              <x v="1438"/>
              <x v="1439"/>
              <x v="1440"/>
              <x v="1441"/>
              <x v="1442"/>
              <x v="1443"/>
              <x v="1444"/>
              <x v="1445"/>
              <x v="1446"/>
              <x v="1447"/>
              <x v="1448"/>
              <x v="1449"/>
              <x v="1450"/>
              <x v="1451"/>
              <x v="1452"/>
              <x v="1453"/>
              <x v="1561"/>
              <x v="1562"/>
              <x v="1563"/>
              <x v="1564"/>
              <x v="1565"/>
              <x v="1570"/>
              <x v="1571"/>
              <x v="1582"/>
              <x v="1686"/>
              <x v="1687"/>
              <x v="1738"/>
              <x v="1739"/>
              <x v="1740"/>
              <x v="1741"/>
              <x v="1742"/>
              <x v="1743"/>
              <x v="1744"/>
              <x v="1745"/>
              <x v="1746"/>
              <x v="1823"/>
              <x v="1824"/>
              <x v="1825"/>
              <x v="1826"/>
              <x v="1827"/>
              <x v="1828"/>
              <x v="1829"/>
              <x v="1830"/>
              <x v="1831"/>
              <x v="1832"/>
              <x v="1833"/>
              <x v="1834"/>
              <x v="1835"/>
              <x v="1836"/>
              <x v="1837"/>
              <x v="1838"/>
              <x v="1839"/>
              <x v="1840"/>
              <x v="1841"/>
              <x v="1842"/>
              <x v="1843"/>
              <x v="1844"/>
              <x v="1845"/>
              <x v="1846"/>
              <x v="1847"/>
              <x v="1848"/>
              <x v="1849"/>
              <x v="1850"/>
              <x v="1851"/>
              <x v="1916"/>
              <x v="1925"/>
              <x v="1926"/>
              <x v="1927"/>
              <x v="1928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02">
              <x v="73"/>
              <x v="74"/>
              <x v="75"/>
              <x v="76"/>
              <x v="77"/>
              <x v="78"/>
              <x v="79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145"/>
              <x v="146"/>
              <x v="147"/>
              <x v="148"/>
              <x v="149"/>
              <x v="150"/>
              <x v="151"/>
              <x v="152"/>
              <x v="153"/>
              <x v="154"/>
              <x v="155"/>
              <x v="156"/>
              <x v="157"/>
              <x v="158"/>
              <x v="159"/>
              <x v="264"/>
              <x v="265"/>
              <x v="266"/>
              <x v="267"/>
              <x v="771"/>
              <x v="772"/>
              <x v="773"/>
              <x v="774"/>
              <x v="796"/>
              <x v="820"/>
              <x v="824"/>
              <x v="825"/>
              <x v="826"/>
              <x v="827"/>
              <x v="828"/>
              <x v="965"/>
              <x v="966"/>
              <x v="967"/>
              <x v="1454"/>
              <x v="1455"/>
              <x v="1456"/>
              <x v="1457"/>
              <x v="1458"/>
              <x v="1459"/>
              <x v="1460"/>
              <x v="1461"/>
              <x v="1462"/>
              <x v="1463"/>
              <x v="1464"/>
              <x v="1465"/>
              <x v="1466"/>
              <x v="1467"/>
              <x v="1566"/>
              <x v="1572"/>
              <x v="1573"/>
              <x v="1574"/>
              <x v="1575"/>
              <x v="1598"/>
              <x v="1688"/>
              <x v="1689"/>
              <x v="1690"/>
              <x v="1691"/>
              <x v="1692"/>
              <x v="1852"/>
              <x v="1853"/>
              <x v="1854"/>
              <x v="1855"/>
              <x v="1856"/>
              <x v="1857"/>
              <x v="1858"/>
              <x v="1859"/>
              <x v="1860"/>
              <x v="1861"/>
              <x v="1862"/>
              <x v="1863"/>
              <x v="1864"/>
              <x v="1865"/>
              <x v="1866"/>
              <x v="1867"/>
              <x v="1868"/>
              <x v="1869"/>
              <x v="1870"/>
              <x v="1871"/>
              <x v="1872"/>
              <x v="1873"/>
              <x v="1917"/>
              <x v="1918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76">
              <x v="93"/>
              <x v="94"/>
              <x v="95"/>
              <x v="96"/>
              <x v="97"/>
              <x v="98"/>
              <x v="99"/>
              <x v="100"/>
              <x v="101"/>
              <x v="102"/>
              <x v="103"/>
              <x v="104"/>
              <x v="160"/>
              <x v="161"/>
              <x v="162"/>
              <x v="163"/>
              <x v="164"/>
              <x v="165"/>
              <x v="166"/>
              <x v="167"/>
              <x v="168"/>
              <x v="169"/>
              <x v="170"/>
              <x v="171"/>
              <x v="172"/>
              <x v="173"/>
              <x v="174"/>
              <x v="175"/>
              <x v="176"/>
              <x v="177"/>
              <x v="178"/>
              <x v="179"/>
              <x v="180"/>
              <x v="268"/>
              <x v="269"/>
              <x v="270"/>
              <x v="271"/>
              <x v="272"/>
              <x v="775"/>
              <x v="776"/>
              <x v="777"/>
              <x v="778"/>
              <x v="829"/>
              <x v="830"/>
              <x v="831"/>
              <x v="832"/>
              <x v="833"/>
              <x v="851"/>
              <x v="852"/>
              <x v="853"/>
              <x v="1468"/>
              <x v="1469"/>
              <x v="1470"/>
              <x v="1471"/>
              <x v="1472"/>
              <x v="1473"/>
              <x v="1474"/>
              <x v="1475"/>
              <x v="1476"/>
              <x v="1477"/>
              <x v="1478"/>
              <x v="1479"/>
              <x v="1480"/>
              <x v="1481"/>
              <x v="1482"/>
              <x v="1483"/>
              <x v="1484"/>
              <x v="1485"/>
              <x v="1567"/>
              <x v="1576"/>
              <x v="1577"/>
              <x v="1874"/>
              <x v="1875"/>
              <x v="1929"/>
              <x v="1930"/>
              <x v="1931"/>
            </reference>
            <reference field="4" count="1" selected="0">
              <x v="5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43">
              <x v="105"/>
              <x v="106"/>
              <x v="107"/>
              <x v="108"/>
              <x v="109"/>
              <x v="181"/>
              <x v="182"/>
              <x v="183"/>
              <x v="184"/>
              <x v="185"/>
              <x v="186"/>
              <x v="187"/>
              <x v="188"/>
              <x v="189"/>
              <x v="190"/>
              <x v="191"/>
              <x v="779"/>
              <x v="780"/>
              <x v="834"/>
              <x v="835"/>
              <x v="836"/>
              <x v="837"/>
              <x v="854"/>
              <x v="855"/>
              <x v="1486"/>
              <x v="1487"/>
              <x v="1488"/>
              <x v="1489"/>
              <x v="1490"/>
              <x v="1491"/>
              <x v="1492"/>
              <x v="1493"/>
              <x v="1494"/>
              <x v="1495"/>
              <x v="1496"/>
              <x v="1497"/>
              <x v="1498"/>
              <x v="1499"/>
              <x v="1500"/>
              <x v="1501"/>
              <x v="1578"/>
              <x v="1599"/>
              <x v="1600"/>
            </reference>
            <reference field="4" count="1" selected="0">
              <x v="6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33">
              <x v="110"/>
              <x v="111"/>
              <x v="112"/>
              <x v="113"/>
              <x v="114"/>
              <x v="192"/>
              <x v="193"/>
              <x v="194"/>
              <x v="195"/>
              <x v="196"/>
              <x v="197"/>
              <x v="198"/>
              <x v="199"/>
              <x v="781"/>
              <x v="797"/>
              <x v="838"/>
              <x v="839"/>
              <x v="840"/>
              <x v="841"/>
              <x v="1502"/>
              <x v="1503"/>
              <x v="1504"/>
              <x v="1505"/>
              <x v="1506"/>
              <x v="1507"/>
              <x v="1508"/>
              <x v="1509"/>
              <x v="1510"/>
              <x v="1511"/>
              <x v="1512"/>
              <x v="1513"/>
              <x v="1932"/>
              <x v="1933"/>
            </reference>
            <reference field="4" count="1" selected="0">
              <x v="7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26">
              <x v="115"/>
              <x v="116"/>
              <x v="200"/>
              <x v="201"/>
              <x v="202"/>
              <x v="203"/>
              <x v="842"/>
              <x v="843"/>
              <x v="844"/>
              <x v="845"/>
              <x v="846"/>
              <x v="1514"/>
              <x v="1515"/>
              <x v="1516"/>
              <x v="1517"/>
              <x v="1518"/>
              <x v="1519"/>
              <x v="1520"/>
              <x v="1521"/>
              <x v="1522"/>
              <x v="1523"/>
              <x v="1524"/>
              <x v="1525"/>
              <x v="1526"/>
              <x v="1527"/>
              <x v="1528"/>
            </reference>
            <reference field="4" count="1" selected="0">
              <x v="8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3">
              <x v="204"/>
              <x v="273"/>
              <x v="274"/>
              <x v="1529"/>
              <x v="1530"/>
              <x v="1531"/>
              <x v="1532"/>
              <x v="1533"/>
              <x v="1534"/>
              <x v="1535"/>
              <x v="1536"/>
              <x v="1537"/>
              <x v="1601"/>
            </reference>
            <reference field="4" count="1" selected="0">
              <x v="9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1">
              <x v="205"/>
              <x v="206"/>
              <x v="1392"/>
              <x v="1538"/>
              <x v="1539"/>
              <x v="1540"/>
              <x v="1541"/>
              <x v="1542"/>
              <x v="1602"/>
              <x v="1603"/>
              <x v="1934"/>
            </reference>
            <reference field="4" count="1" selected="0">
              <x v="10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28">
              <x v="117"/>
              <x v="118"/>
              <x v="207"/>
              <x v="208"/>
              <x v="224"/>
              <x v="847"/>
              <x v="848"/>
              <x v="849"/>
              <x v="850"/>
              <x v="1543"/>
              <x v="1544"/>
              <x v="1545"/>
              <x v="1546"/>
              <x v="1547"/>
              <x v="1548"/>
              <x v="1549"/>
              <x v="1550"/>
              <x v="1551"/>
              <x v="1604"/>
              <x v="1605"/>
              <x v="1606"/>
              <x v="1607"/>
              <x v="1608"/>
              <x v="1609"/>
              <x v="1653"/>
              <x v="1654"/>
              <x v="1655"/>
              <x v="1876"/>
            </reference>
            <reference field="4" count="1" selected="0">
              <x v="11"/>
            </reference>
          </references>
        </pivotArea>
      </pivotAreas>
    </conditionalFormat>
  </conditional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DB2135-2AC1-48CB-96A6-13391E22179F}" name="TablaDinámica5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3:J15" firstHeaderRow="0" firstDataRow="1" firstDataCol="1"/>
  <pivotFields count="20">
    <pivotField showAll="0">
      <items count="33">
        <item x="18"/>
        <item x="17"/>
        <item x="6"/>
        <item x="7"/>
        <item x="31"/>
        <item x="10"/>
        <item x="3"/>
        <item x="5"/>
        <item x="1"/>
        <item x="24"/>
        <item x="26"/>
        <item x="20"/>
        <item x="21"/>
        <item x="25"/>
        <item x="28"/>
        <item x="8"/>
        <item x="2"/>
        <item x="29"/>
        <item x="14"/>
        <item x="23"/>
        <item x="22"/>
        <item x="15"/>
        <item x="12"/>
        <item x="27"/>
        <item x="11"/>
        <item x="30"/>
        <item x="9"/>
        <item x="16"/>
        <item x="0"/>
        <item x="4"/>
        <item x="13"/>
        <item x="19"/>
        <item t="default"/>
      </items>
    </pivotField>
    <pivotField showAll="0">
      <items count="981">
        <item x="882"/>
        <item x="897"/>
        <item x="660"/>
        <item x="717"/>
        <item x="665"/>
        <item x="839"/>
        <item x="867"/>
        <item x="979"/>
        <item x="736"/>
        <item x="784"/>
        <item x="825"/>
        <item x="466"/>
        <item x="847"/>
        <item x="626"/>
        <item x="951"/>
        <item x="703"/>
        <item x="919"/>
        <item x="891"/>
        <item x="909"/>
        <item x="962"/>
        <item x="959"/>
        <item x="927"/>
        <item x="944"/>
        <item x="960"/>
        <item x="745"/>
        <item x="655"/>
        <item x="663"/>
        <item x="792"/>
        <item x="689"/>
        <item x="779"/>
        <item x="738"/>
        <item x="812"/>
        <item x="573"/>
        <item x="661"/>
        <item x="563"/>
        <item x="623"/>
        <item x="890"/>
        <item x="848"/>
        <item x="767"/>
        <item x="860"/>
        <item x="690"/>
        <item x="809"/>
        <item x="883"/>
        <item x="622"/>
        <item x="672"/>
        <item x="948"/>
        <item x="715"/>
        <item x="771"/>
        <item x="673"/>
        <item x="841"/>
        <item x="915"/>
        <item x="826"/>
        <item x="903"/>
        <item x="181"/>
        <item x="241"/>
        <item x="654"/>
        <item x="750"/>
        <item x="881"/>
        <item x="880"/>
        <item x="729"/>
        <item x="749"/>
        <item x="782"/>
        <item x="806"/>
        <item x="92"/>
        <item x="34"/>
        <item x="216"/>
        <item x="61"/>
        <item x="20"/>
        <item x="83"/>
        <item x="140"/>
        <item x="81"/>
        <item x="6"/>
        <item x="12"/>
        <item x="121"/>
        <item x="23"/>
        <item x="168"/>
        <item x="14"/>
        <item x="62"/>
        <item x="202"/>
        <item x="146"/>
        <item x="333"/>
        <item x="835"/>
        <item x="402"/>
        <item x="415"/>
        <item x="171"/>
        <item x="405"/>
        <item x="174"/>
        <item x="248"/>
        <item x="379"/>
        <item x="214"/>
        <item x="490"/>
        <item x="209"/>
        <item x="269"/>
        <item x="444"/>
        <item x="198"/>
        <item x="89"/>
        <item x="138"/>
        <item x="553"/>
        <item x="275"/>
        <item x="523"/>
        <item x="372"/>
        <item x="329"/>
        <item x="208"/>
        <item x="228"/>
        <item x="419"/>
        <item x="739"/>
        <item x="692"/>
        <item x="458"/>
        <item x="363"/>
        <item x="351"/>
        <item x="408"/>
        <item x="479"/>
        <item x="253"/>
        <item x="325"/>
        <item x="307"/>
        <item x="243"/>
        <item x="318"/>
        <item x="407"/>
        <item x="435"/>
        <item x="615"/>
        <item x="614"/>
        <item x="47"/>
        <item x="283"/>
        <item x="158"/>
        <item x="116"/>
        <item x="103"/>
        <item x="139"/>
        <item x="126"/>
        <item x="460"/>
        <item x="801"/>
        <item x="700"/>
        <item x="239"/>
        <item x="845"/>
        <item x="971"/>
        <item x="972"/>
        <item x="917"/>
        <item x="916"/>
        <item x="866"/>
        <item x="652"/>
        <item x="562"/>
        <item x="914"/>
        <item x="258"/>
        <item x="412"/>
        <item x="605"/>
        <item x="793"/>
        <item x="901"/>
        <item x="811"/>
        <item x="861"/>
        <item x="836"/>
        <item x="913"/>
        <item x="950"/>
        <item x="905"/>
        <item x="932"/>
        <item x="908"/>
        <item x="947"/>
        <item x="91"/>
        <item x="75"/>
        <item x="321"/>
        <item x="271"/>
        <item x="295"/>
        <item x="120"/>
        <item x="203"/>
        <item x="251"/>
        <item x="270"/>
        <item x="190"/>
        <item x="172"/>
        <item x="242"/>
        <item x="382"/>
        <item x="331"/>
        <item x="222"/>
        <item x="451"/>
        <item x="497"/>
        <item x="542"/>
        <item x="503"/>
        <item x="357"/>
        <item x="324"/>
        <item x="543"/>
        <item x="462"/>
        <item x="512"/>
        <item x="341"/>
        <item x="404"/>
        <item x="375"/>
        <item x="348"/>
        <item x="273"/>
        <item x="297"/>
        <item x="381"/>
        <item x="378"/>
        <item x="587"/>
        <item x="459"/>
        <item x="416"/>
        <item x="327"/>
        <item x="148"/>
        <item x="66"/>
        <item x="65"/>
        <item x="60"/>
        <item x="78"/>
        <item x="24"/>
        <item x="219"/>
        <item x="264"/>
        <item x="72"/>
        <item x="432"/>
        <item x="508"/>
        <item x="342"/>
        <item x="199"/>
        <item x="246"/>
        <item x="471"/>
        <item x="289"/>
        <item x="549"/>
        <item x="388"/>
        <item x="306"/>
        <item x="349"/>
        <item x="527"/>
        <item x="427"/>
        <item x="662"/>
        <item x="579"/>
        <item x="513"/>
        <item x="668"/>
        <item x="612"/>
        <item x="674"/>
        <item x="26"/>
        <item x="98"/>
        <item x="776"/>
        <item x="838"/>
        <item x="945"/>
        <item x="636"/>
        <item x="798"/>
        <item x="586"/>
        <item x="656"/>
        <item x="634"/>
        <item x="669"/>
        <item x="815"/>
        <item x="733"/>
        <item x="760"/>
        <item x="830"/>
        <item x="843"/>
        <item x="728"/>
        <item x="855"/>
        <item x="765"/>
        <item x="912"/>
        <item x="851"/>
        <item x="127"/>
        <item x="534"/>
        <item x="221"/>
        <item x="536"/>
        <item x="421"/>
        <item x="591"/>
        <item x="601"/>
        <item x="646"/>
        <item x="873"/>
        <item x="496"/>
        <item x="594"/>
        <item x="456"/>
        <item x="658"/>
        <item x="514"/>
        <item x="525"/>
        <item x="533"/>
        <item x="557"/>
        <item x="620"/>
        <item x="493"/>
        <item x="506"/>
        <item x="528"/>
        <item x="600"/>
        <item x="731"/>
        <item x="705"/>
        <item x="772"/>
        <item x="727"/>
        <item x="761"/>
        <item x="699"/>
        <item x="762"/>
        <item x="606"/>
        <item x="629"/>
        <item x="590"/>
        <item x="524"/>
        <item x="559"/>
        <item x="521"/>
        <item x="584"/>
        <item x="478"/>
        <item x="106"/>
        <item x="240"/>
        <item x="611"/>
        <item x="67"/>
        <item x="837"/>
        <item x="888"/>
        <item x="850"/>
        <item x="898"/>
        <item x="907"/>
        <item x="938"/>
        <item x="904"/>
        <item x="929"/>
        <item x="946"/>
        <item x="426"/>
        <item x="476"/>
        <item x="187"/>
        <item x="425"/>
        <item x="218"/>
        <item x="183"/>
        <item x="195"/>
        <item x="82"/>
        <item x="558"/>
        <item x="374"/>
        <item x="355"/>
        <item x="531"/>
        <item x="314"/>
        <item x="345"/>
        <item x="434"/>
        <item x="406"/>
        <item x="373"/>
        <item x="423"/>
        <item x="437"/>
        <item x="554"/>
        <item x="454"/>
        <item x="122"/>
        <item x="808"/>
        <item x="651"/>
        <item x="940"/>
        <item x="926"/>
        <item x="911"/>
        <item x="884"/>
        <item x="796"/>
        <item x="935"/>
        <item x="552"/>
        <item x="714"/>
        <item x="642"/>
        <item x="737"/>
        <item x="518"/>
        <item x="564"/>
        <item x="616"/>
        <item x="215"/>
        <item x="237"/>
        <item x="418"/>
        <item x="519"/>
        <item x="292"/>
        <item x="304"/>
        <item x="328"/>
        <item x="368"/>
        <item x="293"/>
        <item x="441"/>
        <item x="84"/>
        <item x="230"/>
        <item x="108"/>
        <item x="119"/>
        <item x="391"/>
        <item x="344"/>
        <item x="224"/>
        <item x="371"/>
        <item x="369"/>
        <item x="298"/>
        <item x="390"/>
        <item x="675"/>
        <item x="621"/>
        <item x="582"/>
        <item x="610"/>
        <item x="285"/>
        <item x="430"/>
        <item x="400"/>
        <item x="468"/>
        <item x="593"/>
        <item x="317"/>
        <item x="431"/>
        <item x="294"/>
        <item x="286"/>
        <item x="340"/>
        <item x="403"/>
        <item x="350"/>
        <item x="347"/>
        <item x="359"/>
        <item x="392"/>
        <item x="488"/>
        <item x="443"/>
        <item x="319"/>
        <item x="360"/>
        <item x="335"/>
        <item x="507"/>
        <item x="516"/>
        <item x="874"/>
        <item x="870"/>
        <item x="777"/>
        <item x="854"/>
        <item x="802"/>
        <item x="57"/>
        <item x="142"/>
        <item x="69"/>
        <item x="35"/>
        <item x="22"/>
        <item x="110"/>
        <item x="37"/>
        <item x="491"/>
        <item x="197"/>
        <item x="500"/>
        <item x="364"/>
        <item x="481"/>
        <item x="417"/>
        <item x="386"/>
        <item x="365"/>
        <item x="473"/>
        <item x="566"/>
        <item x="632"/>
        <item x="452"/>
        <item x="875"/>
        <item x="900"/>
        <item x="38"/>
        <item x="5"/>
        <item x="48"/>
        <item x="207"/>
        <item x="117"/>
        <item x="95"/>
        <item x="104"/>
        <item x="267"/>
        <item x="252"/>
        <item x="77"/>
        <item x="233"/>
        <item x="800"/>
        <item x="871"/>
        <item x="818"/>
        <item x="786"/>
        <item x="863"/>
        <item x="939"/>
        <item x="925"/>
        <item x="41"/>
        <item x="88"/>
        <item x="137"/>
        <item x="80"/>
        <item x="59"/>
        <item x="58"/>
        <item x="44"/>
        <item x="336"/>
        <item x="235"/>
        <item x="167"/>
        <item x="822"/>
        <item x="846"/>
        <item x="828"/>
        <item x="592"/>
        <item x="633"/>
        <item x="735"/>
        <item x="627"/>
        <item x="465"/>
        <item x="670"/>
        <item x="889"/>
        <item x="973"/>
        <item x="977"/>
        <item x="710"/>
        <item x="730"/>
        <item x="746"/>
        <item x="819"/>
        <item x="720"/>
        <item x="794"/>
        <item x="429"/>
        <item x="484"/>
        <item x="455"/>
        <item x="941"/>
        <item x="859"/>
        <item x="937"/>
        <item x="910"/>
        <item x="804"/>
        <item x="886"/>
        <item x="954"/>
        <item x="906"/>
        <item x="956"/>
        <item x="865"/>
        <item x="877"/>
        <item x="943"/>
        <item x="928"/>
        <item x="969"/>
        <item x="970"/>
        <item x="56"/>
        <item x="123"/>
        <item x="79"/>
        <item x="132"/>
        <item x="261"/>
        <item x="260"/>
        <item x="164"/>
        <item x="399"/>
        <item x="211"/>
        <item x="170"/>
        <item x="309"/>
        <item x="213"/>
        <item x="302"/>
        <item x="124"/>
        <item x="346"/>
        <item x="446"/>
        <item x="469"/>
        <item x="433"/>
        <item x="354"/>
        <item x="147"/>
        <item x="194"/>
        <item x="155"/>
        <item x="178"/>
        <item x="231"/>
        <item x="130"/>
        <item x="32"/>
        <item x="764"/>
        <item x="734"/>
        <item x="721"/>
        <item x="783"/>
        <item x="799"/>
        <item x="774"/>
        <item x="797"/>
        <item x="756"/>
        <item x="763"/>
        <item x="707"/>
        <item x="732"/>
        <item x="704"/>
        <item x="741"/>
        <item x="572"/>
        <item x="517"/>
        <item x="585"/>
        <item x="631"/>
        <item x="74"/>
        <item x="163"/>
        <item x="113"/>
        <item x="4"/>
        <item x="46"/>
        <item x="17"/>
        <item x="11"/>
        <item x="45"/>
        <item x="16"/>
        <item x="40"/>
        <item x="28"/>
        <item x="25"/>
        <item x="125"/>
        <item x="71"/>
        <item x="290"/>
        <item x="315"/>
        <item x="300"/>
        <item x="296"/>
        <item x="53"/>
        <item x="102"/>
        <item x="210"/>
        <item x="225"/>
        <item x="159"/>
        <item x="99"/>
        <item x="129"/>
        <item x="156"/>
        <item x="143"/>
        <item x="316"/>
        <item x="278"/>
        <item x="10"/>
        <item x="312"/>
        <item x="330"/>
        <item x="691"/>
        <item x="759"/>
        <item x="667"/>
        <item x="773"/>
        <item x="726"/>
        <item x="832"/>
        <item x="13"/>
        <item x="461"/>
        <item x="547"/>
        <item x="387"/>
        <item x="522"/>
        <item x="538"/>
        <item x="393"/>
        <item x="643"/>
        <item x="570"/>
        <item x="766"/>
        <item x="769"/>
        <item x="743"/>
        <item x="696"/>
        <item x="788"/>
        <item x="753"/>
        <item x="810"/>
        <item x="840"/>
        <item x="824"/>
        <item x="30"/>
        <item x="277"/>
        <item x="262"/>
        <item x="301"/>
        <item x="288"/>
        <item x="180"/>
        <item x="483"/>
        <item x="326"/>
        <item x="498"/>
        <item x="574"/>
        <item x="706"/>
        <item x="701"/>
        <item x="259"/>
        <item x="145"/>
        <item x="76"/>
        <item x="200"/>
        <item x="151"/>
        <item x="152"/>
        <item x="101"/>
        <item x="68"/>
        <item x="150"/>
        <item x="958"/>
        <item x="54"/>
        <item x="957"/>
        <item x="949"/>
        <item x="370"/>
        <item x="1"/>
        <item x="583"/>
        <item x="680"/>
        <item x="787"/>
        <item x="795"/>
        <item x="814"/>
        <item x="256"/>
        <item x="420"/>
        <item x="245"/>
        <item x="953"/>
        <item x="744"/>
        <item x="0"/>
        <item x="463"/>
        <item x="448"/>
        <item x="337"/>
        <item x="520"/>
        <item x="580"/>
        <item x="544"/>
        <item x="532"/>
        <item x="893"/>
        <item x="718"/>
        <item x="687"/>
        <item x="650"/>
        <item x="664"/>
        <item x="617"/>
        <item x="862"/>
        <item x="502"/>
        <item x="678"/>
        <item x="649"/>
        <item x="775"/>
        <item x="367"/>
        <item x="268"/>
        <item x="153"/>
        <item x="133"/>
        <item x="109"/>
        <item x="279"/>
        <item x="548"/>
        <item x="447"/>
        <item x="136"/>
        <item x="111"/>
        <item x="377"/>
        <item x="439"/>
        <item x="128"/>
        <item x="535"/>
        <item x="154"/>
        <item x="864"/>
        <item x="844"/>
        <item x="657"/>
        <item x="648"/>
        <item x="770"/>
        <item x="740"/>
        <item x="712"/>
        <item x="671"/>
        <item x="781"/>
        <item x="853"/>
        <item x="785"/>
        <item x="748"/>
        <item x="725"/>
        <item x="682"/>
        <item x="829"/>
        <item x="505"/>
        <item x="896"/>
        <item x="921"/>
        <item x="856"/>
        <item x="813"/>
        <item x="791"/>
        <item x="816"/>
        <item x="902"/>
        <item x="869"/>
        <item x="961"/>
        <item x="963"/>
        <item x="64"/>
        <item x="55"/>
        <item x="975"/>
        <item x="978"/>
        <item x="918"/>
        <item x="924"/>
        <item x="931"/>
        <item x="967"/>
        <item x="263"/>
        <item x="529"/>
        <item x="186"/>
        <item x="135"/>
        <item x="185"/>
        <item x="265"/>
        <item x="530"/>
        <item x="539"/>
        <item x="609"/>
        <item x="817"/>
        <item x="107"/>
        <item x="70"/>
        <item x="31"/>
        <item x="541"/>
        <item x="411"/>
        <item x="15"/>
        <item x="3"/>
        <item x="63"/>
        <item x="115"/>
        <item x="842"/>
        <item x="568"/>
        <item x="930"/>
        <item x="885"/>
        <item x="149"/>
        <item x="457"/>
        <item x="790"/>
        <item x="323"/>
        <item x="757"/>
        <item x="805"/>
        <item x="96"/>
        <item x="504"/>
        <item x="396"/>
        <item x="182"/>
        <item x="8"/>
        <item x="2"/>
        <item x="73"/>
        <item x="7"/>
        <item x="272"/>
        <item x="311"/>
        <item x="274"/>
        <item x="205"/>
        <item x="232"/>
        <item x="19"/>
        <item x="467"/>
        <item x="683"/>
        <item x="754"/>
        <item x="716"/>
        <item x="966"/>
        <item x="974"/>
        <item x="920"/>
        <item x="952"/>
        <item x="976"/>
        <item x="758"/>
        <item x="305"/>
        <item x="144"/>
        <item x="410"/>
        <item x="477"/>
        <item x="637"/>
        <item x="659"/>
        <item x="398"/>
        <item x="608"/>
        <item x="550"/>
        <item x="694"/>
        <item x="618"/>
        <item x="598"/>
        <item x="565"/>
        <item x="638"/>
        <item x="177"/>
        <item x="220"/>
        <item x="356"/>
        <item x="338"/>
        <item x="489"/>
        <item x="343"/>
        <item x="362"/>
        <item x="414"/>
        <item x="555"/>
        <item x="492"/>
        <item x="695"/>
        <item x="751"/>
        <item x="681"/>
        <item x="747"/>
        <item x="647"/>
        <item x="688"/>
        <item x="709"/>
        <item x="676"/>
        <item x="640"/>
        <item x="639"/>
        <item x="653"/>
        <item x="807"/>
        <item x="42"/>
        <item x="588"/>
        <item x="625"/>
        <item x="679"/>
        <item x="27"/>
        <item x="201"/>
        <item x="188"/>
        <item x="236"/>
        <item x="358"/>
        <item x="189"/>
        <item x="105"/>
        <item x="114"/>
        <item x="486"/>
        <item x="820"/>
        <item x="686"/>
        <item x="857"/>
        <item x="713"/>
        <item x="247"/>
        <item x="87"/>
        <item x="184"/>
        <item x="18"/>
        <item x="49"/>
        <item x="352"/>
        <item x="308"/>
        <item x="397"/>
        <item x="112"/>
        <item x="299"/>
        <item x="100"/>
        <item x="227"/>
        <item x="442"/>
        <item x="85"/>
        <item x="438"/>
        <item x="86"/>
        <item x="97"/>
        <item x="226"/>
        <item x="192"/>
        <item x="339"/>
        <item x="234"/>
        <item x="436"/>
        <item x="509"/>
        <item x="480"/>
        <item x="21"/>
        <item x="90"/>
        <item x="684"/>
        <item x="196"/>
        <item x="332"/>
        <item x="166"/>
        <item x="303"/>
        <item x="395"/>
        <item x="724"/>
        <item x="693"/>
        <item x="752"/>
        <item x="366"/>
        <item x="280"/>
        <item x="755"/>
        <item x="723"/>
        <item x="722"/>
        <item x="677"/>
        <item x="711"/>
        <item x="685"/>
        <item x="287"/>
        <item x="173"/>
        <item x="179"/>
        <item x="160"/>
        <item x="254"/>
        <item x="217"/>
        <item x="313"/>
        <item x="244"/>
        <item x="255"/>
        <item x="157"/>
        <item x="487"/>
        <item x="858"/>
        <item x="778"/>
        <item x="879"/>
        <item x="702"/>
        <item x="780"/>
        <item x="697"/>
        <item x="742"/>
        <item x="482"/>
        <item x="380"/>
        <item x="401"/>
        <item x="322"/>
        <item x="361"/>
        <item x="578"/>
        <item x="635"/>
        <item x="630"/>
        <item x="719"/>
        <item x="936"/>
        <item x="965"/>
        <item x="424"/>
        <item x="204"/>
        <item x="141"/>
        <item x="472"/>
        <item x="628"/>
        <item x="134"/>
        <item x="422"/>
        <item x="175"/>
        <item x="475"/>
        <item x="546"/>
        <item x="394"/>
        <item x="464"/>
        <item x="581"/>
        <item x="595"/>
        <item x="569"/>
        <item x="540"/>
        <item x="576"/>
        <item x="604"/>
        <item x="589"/>
        <item x="383"/>
        <item x="510"/>
        <item x="257"/>
        <item x="389"/>
        <item x="619"/>
        <item x="474"/>
        <item x="249"/>
        <item x="320"/>
        <item x="50"/>
        <item x="281"/>
        <item x="165"/>
        <item x="353"/>
        <item x="161"/>
        <item x="238"/>
        <item x="501"/>
        <item x="561"/>
        <item x="596"/>
        <item x="613"/>
        <item x="409"/>
        <item x="445"/>
        <item x="385"/>
        <item x="537"/>
        <item x="511"/>
        <item x="450"/>
        <item x="449"/>
        <item x="575"/>
        <item x="384"/>
        <item x="577"/>
        <item x="29"/>
        <item x="39"/>
        <item x="282"/>
        <item x="413"/>
        <item x="276"/>
        <item x="131"/>
        <item x="43"/>
        <item x="93"/>
        <item x="51"/>
        <item x="9"/>
        <item x="52"/>
        <item x="223"/>
        <item x="310"/>
        <item x="94"/>
        <item x="162"/>
        <item x="440"/>
        <item x="934"/>
        <item x="485"/>
        <item x="376"/>
        <item x="470"/>
        <item x="334"/>
        <item x="852"/>
        <item x="803"/>
        <item x="789"/>
        <item x="878"/>
        <item x="827"/>
        <item x="887"/>
        <item x="872"/>
        <item x="599"/>
        <item x="895"/>
        <item x="942"/>
        <item x="933"/>
        <item x="666"/>
        <item x="892"/>
        <item x="964"/>
        <item x="968"/>
        <item x="876"/>
        <item x="894"/>
        <item x="768"/>
        <item x="923"/>
        <item x="955"/>
        <item x="212"/>
        <item x="169"/>
        <item x="229"/>
        <item x="176"/>
        <item x="193"/>
        <item x="284"/>
        <item x="33"/>
        <item x="206"/>
        <item x="831"/>
        <item x="899"/>
        <item x="868"/>
        <item x="823"/>
        <item x="922"/>
        <item x="849"/>
        <item x="624"/>
        <item x="644"/>
        <item x="560"/>
        <item x="545"/>
        <item x="645"/>
        <item x="551"/>
        <item x="567"/>
        <item x="556"/>
        <item x="453"/>
        <item x="641"/>
        <item x="708"/>
        <item x="698"/>
        <item x="495"/>
        <item x="603"/>
        <item x="494"/>
        <item x="266"/>
        <item x="602"/>
        <item x="250"/>
        <item x="515"/>
        <item x="428"/>
        <item x="499"/>
        <item x="571"/>
        <item x="607"/>
        <item x="821"/>
        <item x="833"/>
        <item x="834"/>
        <item x="36"/>
        <item x="118"/>
        <item x="526"/>
        <item x="597"/>
        <item x="291"/>
        <item x="191"/>
        <item t="default"/>
      </items>
    </pivotField>
    <pivotField axis="axisRow" showAll="0">
      <items count="1936">
        <item x="976"/>
        <item x="1099"/>
        <item x="1117"/>
        <item x="1202"/>
        <item x="1203"/>
        <item x="1255"/>
        <item x="1263"/>
        <item x="1271"/>
        <item x="1270"/>
        <item x="1268"/>
        <item x="1279"/>
        <item x="1281"/>
        <item x="1285"/>
        <item x="1284"/>
        <item x="1293"/>
        <item x="1296"/>
        <item x="1305"/>
        <item x="1304"/>
        <item x="1303"/>
        <item x="1321"/>
        <item x="1322"/>
        <item x="1332"/>
        <item x="1335"/>
        <item x="1339"/>
        <item x="1341"/>
        <item x="1353"/>
        <item x="1351"/>
        <item x="1380"/>
        <item x="1374"/>
        <item x="1377"/>
        <item x="1385"/>
        <item x="1391"/>
        <item x="1398"/>
        <item x="1421"/>
        <item x="1424"/>
        <item x="1423"/>
        <item x="1431"/>
        <item x="1434"/>
        <item x="1436"/>
        <item x="1443"/>
        <item x="1449"/>
        <item x="1450"/>
        <item x="1459"/>
        <item x="1474"/>
        <item x="1475"/>
        <item x="1479"/>
        <item x="1484"/>
        <item x="1498"/>
        <item x="1504"/>
        <item x="1510"/>
        <item x="1515"/>
        <item x="1516"/>
        <item x="1522"/>
        <item x="1523"/>
        <item x="1525"/>
        <item x="1543"/>
        <item x="1544"/>
        <item x="1554"/>
        <item x="1555"/>
        <item x="1556"/>
        <item x="1557"/>
        <item x="1559"/>
        <item x="1565"/>
        <item x="1563"/>
        <item x="1568"/>
        <item x="1569"/>
        <item x="1579"/>
        <item x="1577"/>
        <item x="1581"/>
        <item x="1583"/>
        <item x="1586"/>
        <item x="1587"/>
        <item x="1597"/>
        <item x="1616"/>
        <item x="1627"/>
        <item x="1632"/>
        <item x="1634"/>
        <item x="1628"/>
        <item x="1630"/>
        <item x="1629"/>
        <item x="1639"/>
        <item x="1636"/>
        <item x="1635"/>
        <item x="1646"/>
        <item x="1648"/>
        <item x="1649"/>
        <item x="1654"/>
        <item x="1668"/>
        <item x="1676"/>
        <item x="1685"/>
        <item x="1683"/>
        <item x="1689"/>
        <item x="1694"/>
        <item x="1707"/>
        <item x="1709"/>
        <item x="1712"/>
        <item x="1726"/>
        <item x="1736"/>
        <item x="1743"/>
        <item x="1746"/>
        <item x="1754"/>
        <item x="1759"/>
        <item x="1758"/>
        <item x="1768"/>
        <item x="1776"/>
        <item x="1794"/>
        <item x="1795"/>
        <item x="1805"/>
        <item x="1811"/>
        <item x="1816"/>
        <item x="1825"/>
        <item x="1826"/>
        <item x="1830"/>
        <item x="1835"/>
        <item x="1837"/>
        <item x="1867"/>
        <item x="1880"/>
        <item x="1911"/>
        <item x="1913"/>
        <item x="898"/>
        <item x="1166"/>
        <item x="1213"/>
        <item x="1280"/>
        <item x="1288"/>
        <item x="1294"/>
        <item x="1295"/>
        <item x="1306"/>
        <item x="1348"/>
        <item x="1363"/>
        <item x="1384"/>
        <item x="1388"/>
        <item x="1419"/>
        <item x="1437"/>
        <item x="1476"/>
        <item x="1508"/>
        <item x="1519"/>
        <item x="1536"/>
        <item x="1546"/>
        <item x="1578"/>
        <item x="1584"/>
        <item x="1585"/>
        <item x="1593"/>
        <item x="1591"/>
        <item x="1592"/>
        <item x="1598"/>
        <item x="1608"/>
        <item x="1611"/>
        <item x="1614"/>
        <item x="1620"/>
        <item x="1621"/>
        <item x="1633"/>
        <item x="1638"/>
        <item x="1643"/>
        <item x="1644"/>
        <item x="1647"/>
        <item x="1655"/>
        <item x="1667"/>
        <item x="1674"/>
        <item x="1684"/>
        <item x="1682"/>
        <item x="1706"/>
        <item x="1708"/>
        <item x="1714"/>
        <item x="1715"/>
        <item x="1718"/>
        <item x="1719"/>
        <item x="1724"/>
        <item x="1734"/>
        <item x="1740"/>
        <item x="1742"/>
        <item x="1749"/>
        <item x="1761"/>
        <item x="1762"/>
        <item x="1764"/>
        <item x="1766"/>
        <item x="1771"/>
        <item x="1773"/>
        <item x="1775"/>
        <item x="1777"/>
        <item x="1779"/>
        <item x="1778"/>
        <item x="1782"/>
        <item x="1787"/>
        <item x="1788"/>
        <item x="1791"/>
        <item x="1792"/>
        <item x="1796"/>
        <item x="1803"/>
        <item x="1804"/>
        <item x="1813"/>
        <item x="1815"/>
        <item x="1823"/>
        <item x="1827"/>
        <item x="1829"/>
        <item x="1832"/>
        <item x="1842"/>
        <item x="1844"/>
        <item x="1847"/>
        <item x="1851"/>
        <item x="1854"/>
        <item x="1857"/>
        <item x="1866"/>
        <item x="1869"/>
        <item x="1873"/>
        <item x="1890"/>
        <item x="1898"/>
        <item x="1902"/>
        <item x="1914"/>
        <item x="1919"/>
        <item x="35"/>
        <item x="63"/>
        <item x="168"/>
        <item x="191"/>
        <item x="328"/>
        <item x="461"/>
        <item x="460"/>
        <item x="40"/>
        <item x="75"/>
        <item x="95"/>
        <item x="119"/>
        <item x="193"/>
        <item x="218"/>
        <item x="230"/>
        <item x="365"/>
        <item x="1934"/>
        <item x="73"/>
        <item x="280"/>
        <item x="10"/>
        <item x="59"/>
        <item x="71"/>
        <item x="77"/>
        <item x="78"/>
        <item x="122"/>
        <item x="144"/>
        <item x="157"/>
        <item x="167"/>
        <item x="244"/>
        <item x="324"/>
        <item x="397"/>
        <item x="411"/>
        <item x="433"/>
        <item x="435"/>
        <item x="451"/>
        <item x="456"/>
        <item x="477"/>
        <item x="554"/>
        <item x="555"/>
        <item x="586"/>
        <item x="631"/>
        <item x="646"/>
        <item x="658"/>
        <item x="682"/>
        <item x="709"/>
        <item x="715"/>
        <item x="805"/>
        <item x="806"/>
        <item x="843"/>
        <item x="890"/>
        <item x="919"/>
        <item x="999"/>
        <item x="1005"/>
        <item x="1063"/>
        <item x="1493"/>
        <item x="1541"/>
        <item x="1669"/>
        <item x="1675"/>
        <item x="1690"/>
        <item x="1691"/>
        <item x="1705"/>
        <item x="1716"/>
        <item x="1722"/>
        <item x="1733"/>
        <item x="1739"/>
        <item x="1893"/>
        <item x="1894"/>
        <item x="30"/>
        <item x="33"/>
        <item x="39"/>
        <item x="79"/>
        <item x="90"/>
        <item x="89"/>
        <item x="88"/>
        <item x="102"/>
        <item x="87"/>
        <item x="117"/>
        <item x="118"/>
        <item x="125"/>
        <item x="151"/>
        <item x="150"/>
        <item x="158"/>
        <item x="170"/>
        <item x="181"/>
        <item x="211"/>
        <item x="198"/>
        <item x="199"/>
        <item x="221"/>
        <item x="227"/>
        <item x="245"/>
        <item x="247"/>
        <item x="263"/>
        <item x="254"/>
        <item x="270"/>
        <item x="285"/>
        <item x="269"/>
        <item x="268"/>
        <item x="300"/>
        <item x="314"/>
        <item x="320"/>
        <item x="336"/>
        <item x="325"/>
        <item x="383"/>
        <item x="379"/>
        <item x="382"/>
        <item x="381"/>
        <item x="378"/>
        <item x="398"/>
        <item x="402"/>
        <item x="410"/>
        <item x="403"/>
        <item x="416"/>
        <item x="415"/>
        <item x="450"/>
        <item x="471"/>
        <item x="470"/>
        <item x="457"/>
        <item x="462"/>
        <item x="476"/>
        <item x="472"/>
        <item x="506"/>
        <item x="496"/>
        <item x="509"/>
        <item x="508"/>
        <item x="511"/>
        <item x="520"/>
        <item x="521"/>
        <item x="530"/>
        <item x="534"/>
        <item x="551"/>
        <item x="550"/>
        <item x="549"/>
        <item x="562"/>
        <item x="565"/>
        <item x="578"/>
        <item x="601"/>
        <item x="589"/>
        <item x="588"/>
        <item x="621"/>
        <item x="629"/>
        <item x="643"/>
        <item x="652"/>
        <item x="655"/>
        <item x="657"/>
        <item x="661"/>
        <item x="660"/>
        <item x="672"/>
        <item x="681"/>
        <item x="680"/>
        <item x="687"/>
        <item x="696"/>
        <item x="730"/>
        <item x="735"/>
        <item x="740"/>
        <item x="751"/>
        <item x="757"/>
        <item x="778"/>
        <item x="774"/>
        <item x="782"/>
        <item x="789"/>
        <item x="797"/>
        <item x="807"/>
        <item x="801"/>
        <item x="802"/>
        <item x="810"/>
        <item x="820"/>
        <item x="826"/>
        <item x="819"/>
        <item x="828"/>
        <item x="848"/>
        <item x="874"/>
        <item x="886"/>
        <item x="887"/>
        <item x="905"/>
        <item x="908"/>
        <item x="910"/>
        <item x="921"/>
        <item x="920"/>
        <item x="934"/>
        <item x="940"/>
        <item x="937"/>
        <item x="946"/>
        <item x="947"/>
        <item x="969"/>
        <item x="967"/>
        <item x="973"/>
        <item x="986"/>
        <item x="987"/>
        <item x="995"/>
        <item x="994"/>
        <item x="1012"/>
        <item x="1016"/>
        <item x="1023"/>
        <item x="1022"/>
        <item x="1024"/>
        <item x="1021"/>
        <item x="1053"/>
        <item x="1064"/>
        <item x="1069"/>
        <item x="1080"/>
        <item x="1074"/>
        <item x="1095"/>
        <item x="1128"/>
        <item x="1132"/>
        <item x="1143"/>
        <item x="1169"/>
        <item x="1188"/>
        <item x="1189"/>
        <item x="1214"/>
        <item x="1235"/>
        <item x="1264"/>
        <item x="1282"/>
        <item x="1299"/>
        <item x="1307"/>
        <item x="1323"/>
        <item x="1342"/>
        <item x="1394"/>
        <item x="2"/>
        <item x="4"/>
        <item x="7"/>
        <item x="8"/>
        <item x="12"/>
        <item x="19"/>
        <item x="21"/>
        <item x="22"/>
        <item x="23"/>
        <item x="25"/>
        <item x="28"/>
        <item x="31"/>
        <item x="34"/>
        <item x="36"/>
        <item x="43"/>
        <item x="45"/>
        <item x="47"/>
        <item x="49"/>
        <item x="53"/>
        <item x="54"/>
        <item x="56"/>
        <item x="60"/>
        <item x="61"/>
        <item x="57"/>
        <item x="72"/>
        <item x="69"/>
        <item x="67"/>
        <item x="76"/>
        <item x="100"/>
        <item x="94"/>
        <item x="101"/>
        <item x="99"/>
        <item x="97"/>
        <item x="93"/>
        <item x="106"/>
        <item x="105"/>
        <item x="124"/>
        <item x="123"/>
        <item x="134"/>
        <item x="130"/>
        <item x="129"/>
        <item x="127"/>
        <item x="128"/>
        <item x="147"/>
        <item x="149"/>
        <item x="171"/>
        <item x="174"/>
        <item x="177"/>
        <item x="185"/>
        <item x="186"/>
        <item x="206"/>
        <item x="205"/>
        <item x="200"/>
        <item x="220"/>
        <item x="219"/>
        <item x="226"/>
        <item x="234"/>
        <item x="242"/>
        <item x="251"/>
        <item x="253"/>
        <item x="261"/>
        <item x="267"/>
        <item x="282"/>
        <item x="283"/>
        <item x="281"/>
        <item x="286"/>
        <item x="288"/>
        <item x="291"/>
        <item x="292"/>
        <item x="297"/>
        <item x="296"/>
        <item x="294"/>
        <item x="312"/>
        <item x="311"/>
        <item x="310"/>
        <item x="313"/>
        <item x="318"/>
        <item x="323"/>
        <item x="322"/>
        <item x="337"/>
        <item x="327"/>
        <item x="334"/>
        <item x="338"/>
        <item x="342"/>
        <item x="344"/>
        <item x="347"/>
        <item x="350"/>
        <item x="361"/>
        <item x="374"/>
        <item x="373"/>
        <item x="395"/>
        <item x="394"/>
        <item x="399"/>
        <item x="400"/>
        <item x="408"/>
        <item x="406"/>
        <item x="424"/>
        <item x="425"/>
        <item x="423"/>
        <item x="434"/>
        <item x="436"/>
        <item x="442"/>
        <item x="440"/>
        <item x="438"/>
        <item x="446"/>
        <item x="444"/>
        <item x="452"/>
        <item x="466"/>
        <item x="458"/>
        <item x="459"/>
        <item x="467"/>
        <item x="475"/>
        <item x="484"/>
        <item x="478"/>
        <item x="479"/>
        <item x="491"/>
        <item x="492"/>
        <item x="497"/>
        <item x="503"/>
        <item x="502"/>
        <item x="504"/>
        <item x="499"/>
        <item x="524"/>
        <item x="527"/>
        <item x="543"/>
        <item x="544"/>
        <item x="541"/>
        <item x="538"/>
        <item x="552"/>
        <item x="559"/>
        <item x="560"/>
        <item x="563"/>
        <item x="567"/>
        <item x="572"/>
        <item x="577"/>
        <item x="569"/>
        <item x="568"/>
        <item x="570"/>
        <item x="579"/>
        <item x="583"/>
        <item x="582"/>
        <item x="593"/>
        <item x="600"/>
        <item x="595"/>
        <item x="594"/>
        <item x="597"/>
        <item x="604"/>
        <item x="602"/>
        <item x="603"/>
        <item x="612"/>
        <item x="613"/>
        <item x="610"/>
        <item x="609"/>
        <item x="615"/>
        <item x="619"/>
        <item x="616"/>
        <item x="622"/>
        <item x="626"/>
        <item x="639"/>
        <item x="644"/>
        <item x="653"/>
        <item x="659"/>
        <item x="666"/>
        <item x="670"/>
        <item x="674"/>
        <item x="675"/>
        <item x="676"/>
        <item x="673"/>
        <item x="683"/>
        <item x="684"/>
        <item x="698"/>
        <item x="702"/>
        <item x="703"/>
        <item x="723"/>
        <item x="716"/>
        <item x="722"/>
        <item x="725"/>
        <item x="733"/>
        <item x="745"/>
        <item x="754"/>
        <item x="753"/>
        <item x="756"/>
        <item x="752"/>
        <item x="758"/>
        <item x="759"/>
        <item x="766"/>
        <item x="775"/>
        <item x="770"/>
        <item x="763"/>
        <item x="767"/>
        <item x="768"/>
        <item x="769"/>
        <item x="783"/>
        <item x="794"/>
        <item x="813"/>
        <item x="812"/>
        <item x="824"/>
        <item x="825"/>
        <item x="829"/>
        <item x="833"/>
        <item x="839"/>
        <item x="844"/>
        <item x="847"/>
        <item x="853"/>
        <item x="866"/>
        <item x="859"/>
        <item x="861"/>
        <item x="862"/>
        <item x="879"/>
        <item x="882"/>
        <item x="896"/>
        <item x="901"/>
        <item x="904"/>
        <item x="895"/>
        <item x="906"/>
        <item x="912"/>
        <item x="914"/>
        <item x="927"/>
        <item x="923"/>
        <item x="930"/>
        <item x="944"/>
        <item x="949"/>
        <item x="952"/>
        <item x="956"/>
        <item x="962"/>
        <item x="965"/>
        <item x="968"/>
        <item x="985"/>
        <item x="975"/>
        <item x="982"/>
        <item x="977"/>
        <item x="990"/>
        <item x="996"/>
        <item x="1006"/>
        <item x="1008"/>
        <item x="1017"/>
        <item x="1018"/>
        <item x="1029"/>
        <item x="1030"/>
        <item x="1028"/>
        <item x="1034"/>
        <item x="1038"/>
        <item x="1037"/>
        <item x="1039"/>
        <item x="1043"/>
        <item x="1046"/>
        <item x="1051"/>
        <item x="1061"/>
        <item x="1060"/>
        <item x="1062"/>
        <item x="1076"/>
        <item x="1082"/>
        <item x="1088"/>
        <item x="1091"/>
        <item x="1092"/>
        <item x="1096"/>
        <item x="1106"/>
        <item x="1107"/>
        <item x="1112"/>
        <item x="1114"/>
        <item x="1121"/>
        <item x="1123"/>
        <item x="1127"/>
        <item x="1130"/>
        <item x="1135"/>
        <item x="1138"/>
        <item x="1137"/>
        <item x="1134"/>
        <item x="1145"/>
        <item x="1146"/>
        <item x="1149"/>
        <item x="1154"/>
        <item x="1148"/>
        <item x="1156"/>
        <item x="1158"/>
        <item x="1160"/>
        <item x="1161"/>
        <item x="1163"/>
        <item x="1167"/>
        <item x="1170"/>
        <item x="1174"/>
        <item x="1176"/>
        <item x="1177"/>
        <item x="1179"/>
        <item x="1182"/>
        <item x="1185"/>
        <item x="1186"/>
        <item x="1184"/>
        <item x="1187"/>
        <item x="1190"/>
        <item x="1194"/>
        <item x="1199"/>
        <item x="1201"/>
        <item x="1200"/>
        <item x="1198"/>
        <item x="1204"/>
        <item x="1205"/>
        <item x="1206"/>
        <item x="1207"/>
        <item x="1210"/>
        <item x="1217"/>
        <item x="1224"/>
        <item x="1226"/>
        <item x="1229"/>
        <item x="1237"/>
        <item x="1236"/>
        <item x="1241"/>
        <item x="1242"/>
        <item x="1247"/>
        <item x="1251"/>
        <item x="1252"/>
        <item x="1262"/>
        <item x="1273"/>
        <item x="1283"/>
        <item x="1290"/>
        <item x="1298"/>
        <item x="1308"/>
        <item x="1310"/>
        <item x="1356"/>
        <item x="1358"/>
        <item x="1362"/>
        <item x="1365"/>
        <item x="1370"/>
        <item x="1393"/>
        <item x="1401"/>
        <item x="1406"/>
        <item x="1409"/>
        <item x="1412"/>
        <item x="1410"/>
        <item x="1408"/>
        <item x="1427"/>
        <item x="1440"/>
        <item x="1444"/>
        <item x="1455"/>
        <item x="1456"/>
        <item x="1464"/>
        <item x="1465"/>
        <item x="1485"/>
        <item x="1499"/>
        <item x="1505"/>
        <item x="1549"/>
        <item x="1550"/>
        <item x="1429"/>
        <item x="1503"/>
        <item x="1580"/>
        <item x="1601"/>
        <item x="1626"/>
        <item x="1656"/>
        <item x="1671"/>
        <item x="1704"/>
        <item x="1711"/>
        <item x="1729"/>
        <item x="1753"/>
        <item x="1767"/>
        <item x="1786"/>
        <item x="1807"/>
        <item x="1833"/>
        <item x="1140"/>
        <item x="1153"/>
        <item x="1227"/>
        <item x="1231"/>
        <item x="1233"/>
        <item x="1269"/>
        <item x="1301"/>
        <item x="1324"/>
        <item x="1407"/>
        <item x="1414"/>
        <item x="1463"/>
        <item x="1534"/>
        <item x="1567"/>
        <item x="1600"/>
        <item x="1637"/>
        <item x="1852"/>
        <item x="1142"/>
        <item x="1212"/>
        <item x="1239"/>
        <item x="1240"/>
        <item x="1254"/>
        <item x="1261"/>
        <item x="1265"/>
        <item x="1289"/>
        <item x="1309"/>
        <item x="1314"/>
        <item x="1319"/>
        <item x="1328"/>
        <item x="1338"/>
        <item x="1347"/>
        <item x="1349"/>
        <item x="1350"/>
        <item x="1367"/>
        <item x="1371"/>
        <item x="1442"/>
        <item x="1446"/>
        <item x="1453"/>
        <item x="1480"/>
        <item x="1640"/>
        <item x="1511"/>
        <item x="1538"/>
        <item x="1571"/>
        <item x="1613"/>
        <item x="1661"/>
        <item x="1688"/>
        <item x="1696"/>
        <item x="1703"/>
        <item x="1717"/>
        <item x="1723"/>
        <item x="1735"/>
        <item x="1751"/>
        <item x="1774"/>
        <item x="1784"/>
        <item x="1797"/>
        <item x="1801"/>
        <item x="1819"/>
        <item x="1839"/>
        <item x="1840"/>
        <item x="1845"/>
        <item x="1848"/>
        <item x="1859"/>
        <item x="1860"/>
        <item x="1872"/>
        <item x="1877"/>
        <item x="1882"/>
        <item x="1918"/>
        <item x="1928"/>
        <item x="1932"/>
        <item x="1933"/>
        <item x="1728"/>
        <item x="1769"/>
        <item x="1770"/>
        <item x="1790"/>
        <item x="1806"/>
        <item x="48"/>
        <item x="74"/>
        <item x="86"/>
        <item x="213"/>
        <item x="255"/>
        <item x="326"/>
        <item x="392"/>
        <item x="417"/>
        <item x="480"/>
        <item x="501"/>
        <item x="512"/>
        <item x="537"/>
        <item x="540"/>
        <item x="581"/>
        <item x="587"/>
        <item x="620"/>
        <item x="649"/>
        <item x="688"/>
        <item x="692"/>
        <item x="704"/>
        <item x="712"/>
        <item x="714"/>
        <item x="736"/>
        <item x="765"/>
        <item x="773"/>
        <item x="788"/>
        <item x="790"/>
        <item x="821"/>
        <item x="876"/>
        <item x="881"/>
        <item x="922"/>
        <item x="932"/>
        <item x="942"/>
        <item x="953"/>
        <item x="954"/>
        <item x="963"/>
        <item x="997"/>
        <item x="992"/>
        <item x="998"/>
        <item x="1013"/>
        <item x="1019"/>
        <item x="1025"/>
        <item x="1026"/>
        <item x="1027"/>
        <item x="1059"/>
        <item x="1058"/>
        <item x="1066"/>
        <item x="1077"/>
        <item x="1073"/>
        <item x="1075"/>
        <item x="1079"/>
        <item x="1085"/>
        <item x="1086"/>
        <item x="1090"/>
        <item x="1097"/>
        <item x="1103"/>
        <item x="1110"/>
        <item x="1115"/>
        <item x="1126"/>
        <item x="1136"/>
        <item x="1150"/>
        <item x="1155"/>
        <item x="1164"/>
        <item x="1165"/>
        <item x="1172"/>
        <item x="1173"/>
        <item x="1180"/>
        <item x="1181"/>
        <item x="1191"/>
        <item x="1197"/>
        <item x="1211"/>
        <item x="1209"/>
        <item x="1220"/>
        <item x="1221"/>
        <item x="1234"/>
        <item x="1238"/>
        <item x="1243"/>
        <item x="1250"/>
        <item x="1267"/>
        <item x="1275"/>
        <item x="1274"/>
        <item x="1312"/>
        <item x="1311"/>
        <item x="1315"/>
        <item x="1320"/>
        <item x="1318"/>
        <item x="1330"/>
        <item x="1331"/>
        <item x="1337"/>
        <item x="1345"/>
        <item x="1346"/>
        <item x="1352"/>
        <item x="1357"/>
        <item x="1369"/>
        <item x="1375"/>
        <item x="1392"/>
        <item x="1397"/>
        <item x="1395"/>
        <item x="1396"/>
        <item x="1399"/>
        <item x="1432"/>
        <item x="1433"/>
        <item x="1438"/>
        <item x="1447"/>
        <item x="1452"/>
        <item x="1454"/>
        <item x="1469"/>
        <item x="1495"/>
        <item x="1575"/>
        <item x="1607"/>
        <item x="1609"/>
        <item x="1610"/>
        <item x="3"/>
        <item x="5"/>
        <item x="6"/>
        <item x="9"/>
        <item x="11"/>
        <item x="13"/>
        <item x="14"/>
        <item x="17"/>
        <item x="16"/>
        <item x="18"/>
        <item x="20"/>
        <item x="24"/>
        <item x="26"/>
        <item x="29"/>
        <item x="27"/>
        <item x="32"/>
        <item x="37"/>
        <item x="38"/>
        <item x="44"/>
        <item x="42"/>
        <item x="46"/>
        <item x="50"/>
        <item x="51"/>
        <item x="52"/>
        <item x="58"/>
        <item x="62"/>
        <item x="64"/>
        <item x="65"/>
        <item x="66"/>
        <item x="70"/>
        <item x="68"/>
        <item x="81"/>
        <item x="82"/>
        <item x="85"/>
        <item x="83"/>
        <item x="80"/>
        <item x="84"/>
        <item x="91"/>
        <item x="96"/>
        <item x="98"/>
        <item x="108"/>
        <item x="111"/>
        <item x="109"/>
        <item x="110"/>
        <item x="107"/>
        <item x="113"/>
        <item x="112"/>
        <item x="115"/>
        <item x="120"/>
        <item x="121"/>
        <item x="133"/>
        <item x="126"/>
        <item x="131"/>
        <item x="132"/>
        <item x="136"/>
        <item x="135"/>
        <item x="137"/>
        <item x="142"/>
        <item x="139"/>
        <item x="143"/>
        <item x="140"/>
        <item x="141"/>
        <item x="145"/>
        <item x="146"/>
        <item x="148"/>
        <item x="155"/>
        <item x="156"/>
        <item x="154"/>
        <item x="153"/>
        <item x="159"/>
        <item x="165"/>
        <item x="161"/>
        <item x="162"/>
        <item x="169"/>
        <item x="160"/>
        <item x="175"/>
        <item x="178"/>
        <item x="180"/>
        <item x="179"/>
        <item x="184"/>
        <item x="189"/>
        <item x="195"/>
        <item x="194"/>
        <item x="209"/>
        <item x="210"/>
        <item x="202"/>
        <item x="204"/>
        <item x="207"/>
        <item x="196"/>
        <item x="201"/>
        <item x="214"/>
        <item x="215"/>
        <item x="216"/>
        <item x="225"/>
        <item x="223"/>
        <item x="231"/>
        <item x="233"/>
        <item x="228"/>
        <item x="229"/>
        <item x="232"/>
        <item x="239"/>
        <item x="241"/>
        <item x="238"/>
        <item x="246"/>
        <item x="248"/>
        <item x="249"/>
        <item x="258"/>
        <item x="260"/>
        <item x="262"/>
        <item x="256"/>
        <item x="264"/>
        <item x="265"/>
        <item x="266"/>
        <item x="274"/>
        <item x="279"/>
        <item x="277"/>
        <item x="290"/>
        <item x="289"/>
        <item x="299"/>
        <item x="307"/>
        <item x="305"/>
        <item x="308"/>
        <item x="304"/>
        <item x="309"/>
        <item x="303"/>
        <item x="315"/>
        <item x="317"/>
        <item x="330"/>
        <item x="333"/>
        <item x="331"/>
        <item x="332"/>
        <item x="329"/>
        <item x="343"/>
        <item x="345"/>
        <item x="340"/>
        <item x="346"/>
        <item x="341"/>
        <item x="348"/>
        <item x="351"/>
        <item x="352"/>
        <item x="353"/>
        <item x="356"/>
        <item x="357"/>
        <item x="380"/>
        <item x="371"/>
        <item x="367"/>
        <item x="377"/>
        <item x="366"/>
        <item x="363"/>
        <item x="364"/>
        <item x="368"/>
        <item x="372"/>
        <item x="387"/>
        <item x="386"/>
        <item x="388"/>
        <item x="389"/>
        <item x="390"/>
        <item x="401"/>
        <item x="407"/>
        <item x="404"/>
        <item x="405"/>
        <item x="412"/>
        <item x="422"/>
        <item x="428"/>
        <item x="429"/>
        <item x="426"/>
        <item x="421"/>
        <item x="427"/>
        <item x="420"/>
        <item x="431"/>
        <item x="419"/>
        <item x="432"/>
        <item x="437"/>
        <item x="443"/>
        <item x="441"/>
        <item x="447"/>
        <item x="448"/>
        <item x="449"/>
        <item x="453"/>
        <item x="455"/>
        <item x="465"/>
        <item x="463"/>
        <item x="464"/>
        <item x="468"/>
        <item x="474"/>
        <item x="473"/>
        <item x="485"/>
        <item x="481"/>
        <item x="493"/>
        <item x="500"/>
        <item x="505"/>
        <item x="515"/>
        <item x="514"/>
        <item x="518"/>
        <item x="516"/>
        <item x="517"/>
        <item x="525"/>
        <item x="522"/>
        <item x="523"/>
        <item x="526"/>
        <item x="528"/>
        <item x="529"/>
        <item x="531"/>
        <item x="532"/>
        <item x="533"/>
        <item x="535"/>
        <item x="545"/>
        <item x="539"/>
        <item x="548"/>
        <item x="556"/>
        <item x="557"/>
        <item x="558"/>
        <item x="564"/>
        <item x="561"/>
        <item x="574"/>
        <item x="571"/>
        <item x="575"/>
        <item x="576"/>
        <item x="573"/>
        <item x="592"/>
        <item x="598"/>
        <item x="590"/>
        <item x="596"/>
        <item x="591"/>
        <item x="599"/>
        <item x="607"/>
        <item x="611"/>
        <item x="608"/>
        <item x="614"/>
        <item x="617"/>
        <item x="624"/>
        <item x="625"/>
        <item x="628"/>
        <item x="630"/>
        <item x="627"/>
        <item x="637"/>
        <item x="635"/>
        <item x="645"/>
        <item x="641"/>
        <item x="636"/>
        <item x="638"/>
        <item x="647"/>
        <item x="650"/>
        <item x="651"/>
        <item x="656"/>
        <item x="664"/>
        <item x="667"/>
        <item x="669"/>
        <item x="663"/>
        <item x="662"/>
        <item x="665"/>
        <item x="671"/>
        <item x="677"/>
        <item x="679"/>
        <item x="678"/>
        <item x="685"/>
        <item x="694"/>
        <item x="690"/>
        <item x="689"/>
        <item x="691"/>
        <item x="695"/>
        <item x="697"/>
        <item x="699"/>
        <item x="700"/>
        <item x="701"/>
        <item x="705"/>
        <item x="706"/>
        <item x="707"/>
        <item x="708"/>
        <item x="710"/>
        <item x="729"/>
        <item x="727"/>
        <item x="734"/>
        <item x="724"/>
        <item x="720"/>
        <item x="726"/>
        <item x="731"/>
        <item x="717"/>
        <item x="738"/>
        <item x="737"/>
        <item x="739"/>
        <item x="741"/>
        <item x="742"/>
        <item x="748"/>
        <item x="746"/>
        <item x="744"/>
        <item x="747"/>
        <item x="749"/>
        <item x="755"/>
        <item x="772"/>
        <item x="764"/>
        <item x="779"/>
        <item x="776"/>
        <item x="780"/>
        <item x="771"/>
        <item x="777"/>
        <item x="781"/>
        <item x="784"/>
        <item x="785"/>
        <item x="786"/>
        <item x="787"/>
        <item x="803"/>
        <item x="799"/>
        <item x="796"/>
        <item x="795"/>
        <item x="800"/>
        <item x="798"/>
        <item x="804"/>
        <item x="793"/>
        <item x="811"/>
        <item x="814"/>
        <item x="815"/>
        <item x="822"/>
        <item x="827"/>
        <item x="830"/>
        <item x="835"/>
        <item x="838"/>
        <item x="834"/>
        <item x="831"/>
        <item x="836"/>
        <item x="837"/>
        <item x="832"/>
        <item x="842"/>
        <item x="840"/>
        <item x="846"/>
        <item x="850"/>
        <item x="849"/>
        <item x="851"/>
        <item x="855"/>
        <item x="854"/>
        <item x="852"/>
        <item x="857"/>
        <item x="867"/>
        <item x="868"/>
        <item x="863"/>
        <item x="869"/>
        <item x="864"/>
        <item x="870"/>
        <item x="873"/>
        <item x="865"/>
        <item x="871"/>
        <item x="872"/>
        <item x="875"/>
        <item x="877"/>
        <item x="883"/>
        <item x="884"/>
        <item x="889"/>
        <item x="888"/>
        <item x="891"/>
        <item x="900"/>
        <item x="902"/>
        <item x="903"/>
        <item x="893"/>
        <item x="907"/>
        <item x="913"/>
        <item x="916"/>
        <item x="915"/>
        <item x="928"/>
        <item x="924"/>
        <item x="925"/>
        <item x="926"/>
        <item x="929"/>
        <item x="931"/>
        <item x="935"/>
        <item x="933"/>
        <item x="939"/>
        <item x="945"/>
        <item x="948"/>
        <item x="958"/>
        <item x="959"/>
        <item x="951"/>
        <item x="957"/>
        <item x="955"/>
        <item x="961"/>
        <item x="964"/>
        <item x="970"/>
        <item x="978"/>
        <item x="979"/>
        <item x="983"/>
        <item x="981"/>
        <item x="980"/>
        <item x="984"/>
        <item x="972"/>
        <item x="989"/>
        <item x="988"/>
        <item x="991"/>
        <item x="1004"/>
        <item x="1003"/>
        <item x="993"/>
        <item x="1002"/>
        <item x="1010"/>
        <item x="1015"/>
        <item x="1014"/>
        <item x="1031"/>
        <item x="1042"/>
        <item x="1045"/>
        <item x="1047"/>
        <item x="1049"/>
        <item x="1055"/>
        <item x="1054"/>
        <item x="1056"/>
        <item x="1070"/>
        <item x="1083"/>
        <item x="1081"/>
        <item x="1084"/>
        <item x="1093"/>
        <item x="1094"/>
        <item x="1101"/>
        <item x="1108"/>
        <item x="1105"/>
        <item x="1109"/>
        <item x="1120"/>
        <item x="1124"/>
        <item x="1125"/>
        <item x="1129"/>
        <item x="1141"/>
        <item x="1144"/>
        <item x="1147"/>
        <item x="1157"/>
        <item x="1208"/>
        <item x="1222"/>
        <item x="1223"/>
        <item x="1228"/>
        <item x="1249"/>
        <item x="1905"/>
        <item x="217"/>
        <item x="498"/>
        <item x="792"/>
        <item x="899"/>
        <item x="1001"/>
        <item x="1078"/>
        <item x="1098"/>
        <item x="1102"/>
        <item x="1178"/>
        <item x="1195"/>
        <item x="1192"/>
        <item x="1193"/>
        <item x="1232"/>
        <item x="1244"/>
        <item x="1259"/>
        <item x="1258"/>
        <item x="1272"/>
        <item x="1266"/>
        <item x="1300"/>
        <item x="1327"/>
        <item x="1334"/>
        <item x="1376"/>
        <item x="1372"/>
        <item x="1381"/>
        <item x="1379"/>
        <item x="1389"/>
        <item x="1420"/>
        <item x="1411"/>
        <item x="1426"/>
        <item x="1439"/>
        <item x="1451"/>
        <item x="1445"/>
        <item x="1460"/>
        <item x="1490"/>
        <item x="1506"/>
        <item x="1512"/>
        <item x="1524"/>
        <item x="1531"/>
        <item x="1529"/>
        <item x="1530"/>
        <item x="1528"/>
        <item x="1533"/>
        <item x="1539"/>
        <item x="1545"/>
        <item x="1547"/>
        <item x="1551"/>
        <item x="1552"/>
        <item x="1553"/>
        <item x="1566"/>
        <item x="1560"/>
        <item x="1561"/>
        <item x="1564"/>
        <item x="1562"/>
        <item x="1570"/>
        <item x="1573"/>
        <item x="1588"/>
        <item x="1589"/>
        <item x="1590"/>
        <item x="1594"/>
        <item x="1595"/>
        <item x="1599"/>
        <item x="1604"/>
        <item x="1612"/>
        <item x="1617"/>
        <item x="1625"/>
        <item x="1624"/>
        <item x="1653"/>
        <item x="1651"/>
        <item x="1663"/>
        <item x="1664"/>
        <item x="1680"/>
        <item x="1686"/>
        <item x="1681"/>
        <item x="1695"/>
        <item x="1697"/>
        <item x="1710"/>
        <item x="1720"/>
        <item x="1727"/>
        <item x="1731"/>
        <item x="1737"/>
        <item x="1738"/>
        <item x="1744"/>
        <item x="1745"/>
        <item x="1741"/>
        <item x="1748"/>
        <item x="1757"/>
        <item x="1752"/>
        <item x="1750"/>
        <item x="1755"/>
        <item x="1756"/>
        <item x="1760"/>
        <item x="1763"/>
        <item x="1780"/>
        <item x="1783"/>
        <item x="1781"/>
        <item x="1785"/>
        <item x="1789"/>
        <item x="1793"/>
        <item x="1798"/>
        <item x="1799"/>
        <item x="1800"/>
        <item x="1802"/>
        <item x="1808"/>
        <item x="1809"/>
        <item x="1812"/>
        <item x="1814"/>
        <item x="1821"/>
        <item x="1820"/>
        <item x="1822"/>
        <item x="1828"/>
        <item x="1824"/>
        <item x="1831"/>
        <item x="1836"/>
        <item x="1838"/>
        <item x="1841"/>
        <item x="1843"/>
        <item x="1849"/>
        <item x="1850"/>
        <item x="1853"/>
        <item x="1855"/>
        <item x="1856"/>
        <item x="1858"/>
        <item x="1864"/>
        <item x="1863"/>
        <item x="1862"/>
        <item x="1861"/>
        <item x="1865"/>
        <item x="1868"/>
        <item x="1870"/>
        <item x="1871"/>
        <item x="1874"/>
        <item x="1875"/>
        <item x="1878"/>
        <item x="1876"/>
        <item x="1879"/>
        <item x="1881"/>
        <item x="1883"/>
        <item x="1884"/>
        <item x="1885"/>
        <item x="1886"/>
        <item x="1889"/>
        <item x="1887"/>
        <item x="1891"/>
        <item x="1892"/>
        <item x="1895"/>
        <item x="1896"/>
        <item x="1897"/>
        <item x="1900"/>
        <item x="1901"/>
        <item x="1903"/>
        <item x="1908"/>
        <item x="1910"/>
        <item x="1917"/>
        <item x="1920"/>
        <item x="1921"/>
        <item x="1922"/>
        <item x="1927"/>
        <item x="1926"/>
        <item x="1929"/>
        <item x="1344"/>
        <item x="1364"/>
        <item x="1368"/>
        <item x="1400"/>
        <item x="1404"/>
        <item x="1405"/>
        <item x="1413"/>
        <item x="1422"/>
        <item x="1425"/>
        <item x="1457"/>
        <item x="1461"/>
        <item x="1466"/>
        <item x="1470"/>
        <item x="1481"/>
        <item x="1698"/>
        <item x="1732"/>
        <item x="1253"/>
        <item x="1317"/>
        <item x="1468"/>
        <item x="1572"/>
        <item x="1662"/>
        <item x="1673"/>
        <item x="1672"/>
        <item x="1701"/>
        <item x="1721"/>
        <item x="1725"/>
        <item x="1810"/>
        <item x="713"/>
        <item x="1256"/>
        <item x="1313"/>
        <item x="1489"/>
        <item x="188"/>
        <item x="208"/>
        <item x="252"/>
        <item x="293"/>
        <item x="298"/>
        <item x="376"/>
        <item x="409"/>
        <item x="430"/>
        <item x="490"/>
        <item x="585"/>
        <item x="640"/>
        <item x="668"/>
        <item x="693"/>
        <item x="719"/>
        <item x="762"/>
        <item x="1699"/>
        <item x="1818"/>
        <item x="1817"/>
        <item x="1888"/>
        <item x="1906"/>
        <item x="1904"/>
        <item x="1907"/>
        <item x="1909"/>
        <item x="1912"/>
        <item x="1915"/>
        <item x="1923"/>
        <item x="1924"/>
        <item x="92"/>
        <item x="104"/>
        <item x="114"/>
        <item x="138"/>
        <item x="152"/>
        <item x="163"/>
        <item x="164"/>
        <item x="176"/>
        <item x="182"/>
        <item x="183"/>
        <item x="190"/>
        <item x="192"/>
        <item x="224"/>
        <item x="257"/>
        <item x="273"/>
        <item x="275"/>
        <item x="276"/>
        <item x="301"/>
        <item x="306"/>
        <item x="316"/>
        <item x="349"/>
        <item x="354"/>
        <item x="355"/>
        <item x="360"/>
        <item x="375"/>
        <item x="384"/>
        <item x="393"/>
        <item x="414"/>
        <item x="439"/>
        <item x="454"/>
        <item x="494"/>
        <item x="487"/>
        <item x="547"/>
        <item x="686"/>
        <item x="728"/>
        <item x="817"/>
        <item x="818"/>
        <item x="918"/>
        <item x="936"/>
        <item x="960"/>
        <item x="1035"/>
        <item x="1089"/>
        <item x="1119"/>
        <item x="1925"/>
        <item x="1930"/>
        <item x="1931"/>
        <item x="55"/>
        <item x="237"/>
        <item x="359"/>
        <item x="358"/>
        <item x="507"/>
        <item x="510"/>
        <item x="580"/>
        <item x="584"/>
        <item x="743"/>
        <item x="885"/>
        <item x="941"/>
        <item x="966"/>
        <item x="1032"/>
        <item x="1033"/>
        <item x="1050"/>
        <item x="1071"/>
        <item x="1175"/>
        <item x="1183"/>
        <item x="1196"/>
        <item x="1257"/>
        <item x="1286"/>
        <item x="1287"/>
        <item x="1291"/>
        <item x="1326"/>
        <item x="1333"/>
        <item x="1336"/>
        <item x="1360"/>
        <item x="1366"/>
        <item x="1378"/>
        <item x="1386"/>
        <item x="1542"/>
        <item x="1574"/>
        <item x="1657"/>
        <item x="1659"/>
        <item x="1658"/>
        <item x="1677"/>
        <item x="1687"/>
        <item x="791"/>
        <item x="1052"/>
        <item x="1100"/>
        <item x="0"/>
        <item x="1"/>
        <item x="41"/>
        <item x="103"/>
        <item x="272"/>
        <item x="284"/>
        <item x="287"/>
        <item x="319"/>
        <item x="335"/>
        <item x="339"/>
        <item x="369"/>
        <item x="362"/>
        <item x="413"/>
        <item x="469"/>
        <item x="486"/>
        <item x="488"/>
        <item x="546"/>
        <item x="553"/>
        <item x="606"/>
        <item x="623"/>
        <item x="634"/>
        <item x="642"/>
        <item x="648"/>
        <item x="654"/>
        <item x="858"/>
        <item x="880"/>
        <item x="894"/>
        <item x="909"/>
        <item x="943"/>
        <item x="1000"/>
        <item x="1007"/>
        <item x="1041"/>
        <item x="1036"/>
        <item x="1057"/>
        <item x="1116"/>
        <item x="1133"/>
        <item x="1139"/>
        <item x="1159"/>
        <item x="1219"/>
        <item x="1390"/>
        <item x="1402"/>
        <item x="1415"/>
        <item x="1458"/>
        <item x="1467"/>
        <item x="1488"/>
        <item x="1500"/>
        <item x="1507"/>
        <item x="1520"/>
        <item x="1532"/>
        <item x="1535"/>
        <item x="1548"/>
        <item x="15"/>
        <item x="116"/>
        <item x="166"/>
        <item x="172"/>
        <item x="173"/>
        <item x="187"/>
        <item x="212"/>
        <item x="222"/>
        <item x="243"/>
        <item x="271"/>
        <item x="302"/>
        <item x="396"/>
        <item x="418"/>
        <item x="445"/>
        <item x="482"/>
        <item x="495"/>
        <item x="513"/>
        <item x="605"/>
        <item x="633"/>
        <item x="718"/>
        <item x="750"/>
        <item x="760"/>
        <item x="808"/>
        <item x="823"/>
        <item x="845"/>
        <item x="860"/>
        <item x="878"/>
        <item x="897"/>
        <item x="892"/>
        <item x="938"/>
        <item x="950"/>
        <item x="974"/>
        <item x="1009"/>
        <item x="1011"/>
        <item x="1020"/>
        <item x="1040"/>
        <item x="1044"/>
        <item x="1048"/>
        <item x="1067"/>
        <item x="1087"/>
        <item x="1104"/>
        <item x="1113"/>
        <item x="1118"/>
        <item x="1131"/>
        <item x="1152"/>
        <item x="1151"/>
        <item x="1162"/>
        <item x="1171"/>
        <item x="1215"/>
        <item x="1225"/>
        <item x="1246"/>
        <item x="1245"/>
        <item x="1248"/>
        <item x="1260"/>
        <item x="1276"/>
        <item x="1277"/>
        <item x="1278"/>
        <item x="1292"/>
        <item x="1297"/>
        <item x="1302"/>
        <item x="1316"/>
        <item x="1325"/>
        <item x="1340"/>
        <item x="1343"/>
        <item x="1354"/>
        <item x="1359"/>
        <item x="1361"/>
        <item x="1373"/>
        <item x="1382"/>
        <item x="1383"/>
        <item x="1403"/>
        <item x="1416"/>
        <item x="1417"/>
        <item x="1418"/>
        <item x="1428"/>
        <item x="1435"/>
        <item x="1441"/>
        <item x="1448"/>
        <item x="1462"/>
        <item x="1471"/>
        <item x="1472"/>
        <item x="1473"/>
        <item x="1478"/>
        <item x="1483"/>
        <item x="1482"/>
        <item x="1486"/>
        <item x="1487"/>
        <item x="1491"/>
        <item x="1494"/>
        <item x="1501"/>
        <item x="1509"/>
        <item x="1513"/>
        <item x="1514"/>
        <item x="1517"/>
        <item x="1518"/>
        <item x="1521"/>
        <item x="1526"/>
        <item x="1527"/>
        <item x="1537"/>
        <item x="1540"/>
        <item x="1558"/>
        <item x="1576"/>
        <item x="1582"/>
        <item x="1596"/>
        <item x="1602"/>
        <item x="1603"/>
        <item x="1605"/>
        <item x="1606"/>
        <item x="1615"/>
        <item x="1618"/>
        <item x="1619"/>
        <item x="1622"/>
        <item x="1623"/>
        <item x="1631"/>
        <item x="1641"/>
        <item x="1645"/>
        <item x="1650"/>
        <item x="1652"/>
        <item x="1660"/>
        <item x="1665"/>
        <item x="1666"/>
        <item x="1670"/>
        <item x="1678"/>
        <item x="1692"/>
        <item x="1693"/>
        <item x="1700"/>
        <item x="1702"/>
        <item x="1713"/>
        <item x="1765"/>
        <item x="1916"/>
        <item x="197"/>
        <item x="203"/>
        <item x="235"/>
        <item x="240"/>
        <item x="236"/>
        <item x="250"/>
        <item x="259"/>
        <item x="278"/>
        <item x="295"/>
        <item x="321"/>
        <item x="370"/>
        <item x="385"/>
        <item x="391"/>
        <item x="483"/>
        <item x="489"/>
        <item x="519"/>
        <item x="536"/>
        <item x="542"/>
        <item x="566"/>
        <item x="618"/>
        <item x="632"/>
        <item x="711"/>
        <item x="721"/>
        <item x="732"/>
        <item x="761"/>
        <item x="809"/>
        <item x="816"/>
        <item x="841"/>
        <item x="856"/>
        <item x="911"/>
        <item x="917"/>
        <item x="971"/>
        <item x="1065"/>
        <item x="1068"/>
        <item x="1072"/>
        <item x="1122"/>
        <item x="1168"/>
        <item x="1216"/>
        <item x="1329"/>
        <item x="1496"/>
        <item x="1642"/>
        <item x="1679"/>
        <item x="1111"/>
        <item x="1218"/>
        <item x="1230"/>
        <item x="1355"/>
        <item x="1387"/>
        <item x="1430"/>
        <item x="1477"/>
        <item x="1492"/>
        <item x="1497"/>
        <item x="1502"/>
        <item x="1730"/>
        <item x="1747"/>
        <item x="1772"/>
        <item x="1834"/>
        <item x="1846"/>
        <item x="1899"/>
        <item t="default"/>
      </items>
    </pivotField>
    <pivotField numFmtId="165" showAll="0"/>
    <pivotField axis="axisRow" dataField="1" numFmtId="164" showAll="0">
      <items count="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t="default" sd="0"/>
      </items>
    </pivotField>
    <pivotField showAll="0">
      <items count="19">
        <item x="17"/>
        <item x="7"/>
        <item x="5"/>
        <item x="3"/>
        <item x="2"/>
        <item x="0"/>
        <item x="4"/>
        <item x="1"/>
        <item x="8"/>
        <item x="6"/>
        <item x="10"/>
        <item x="11"/>
        <item x="9"/>
        <item x="12"/>
        <item x="13"/>
        <item x="14"/>
        <item x="15"/>
        <item x="16"/>
        <item t="default"/>
      </items>
    </pivotField>
    <pivotField dataField="1" showAll="0">
      <items count="806">
        <item h="1" x="774"/>
        <item x="757"/>
        <item h="1" x="712"/>
        <item h="1" x="783"/>
        <item h="1" x="611"/>
        <item h="1" x="422"/>
        <item h="1" x="617"/>
        <item h="1" x="377"/>
        <item h="1" x="532"/>
        <item h="1" x="553"/>
        <item h="1" x="530"/>
        <item h="1" x="641"/>
        <item h="1" x="609"/>
        <item h="1" x="254"/>
        <item h="1" x="444"/>
        <item h="1" x="601"/>
        <item h="1" x="781"/>
        <item h="1" x="772"/>
        <item h="1" x="638"/>
        <item h="1" x="552"/>
        <item h="1" x="804"/>
        <item h="1" x="802"/>
        <item h="1" x="546"/>
        <item h="1" x="282"/>
        <item h="1" x="778"/>
        <item h="1" x="240"/>
        <item h="1" x="353"/>
        <item h="1" x="633"/>
        <item h="1" x="755"/>
        <item h="1" x="458"/>
        <item h="1" x="299"/>
        <item h="1" x="634"/>
        <item h="1" x="657"/>
        <item h="1" x="738"/>
        <item h="1" x="537"/>
        <item h="1" x="786"/>
        <item h="1" x="759"/>
        <item h="1" x="787"/>
        <item h="1" x="224"/>
        <item h="1" x="662"/>
        <item h="1" x="298"/>
        <item h="1" x="148"/>
        <item h="1" x="439"/>
        <item h="1" x="800"/>
        <item h="1" x="732"/>
        <item h="1" x="472"/>
        <item h="1" x="725"/>
        <item h="1" x="362"/>
        <item h="1" x="767"/>
        <item h="1" x="575"/>
        <item h="1" x="498"/>
        <item h="1" x="212"/>
        <item h="1" x="803"/>
        <item h="1" x="742"/>
        <item h="1" x="622"/>
        <item h="1" x="779"/>
        <item h="1" x="259"/>
        <item h="1" x="414"/>
        <item h="1" x="474"/>
        <item h="1" x="613"/>
        <item h="1" x="632"/>
        <item h="1" x="341"/>
        <item h="1" x="492"/>
        <item h="1" x="540"/>
        <item h="1" x="545"/>
        <item h="1" x="393"/>
        <item h="1" x="405"/>
        <item h="1" x="656"/>
        <item h="1" x="752"/>
        <item h="1" x="602"/>
        <item h="1" x="748"/>
        <item h="1" x="603"/>
        <item h="1" x="473"/>
        <item h="1" x="454"/>
        <item h="1" x="588"/>
        <item h="1" x="349"/>
        <item h="1" x="264"/>
        <item h="1" x="669"/>
        <item h="1" x="304"/>
        <item h="1" x="726"/>
        <item h="1" x="576"/>
        <item h="1" x="565"/>
        <item h="1" x="421"/>
        <item h="1" x="487"/>
        <item h="1" x="255"/>
        <item h="1" x="696"/>
        <item h="1" x="322"/>
        <item h="1" x="217"/>
        <item h="1" x="796"/>
        <item h="1" x="429"/>
        <item h="1" x="335"/>
        <item h="1" x="544"/>
        <item h="1" x="702"/>
        <item h="1" x="756"/>
        <item h="1" x="102"/>
        <item h="1" x="761"/>
        <item h="1" x="538"/>
        <item h="1" x="635"/>
        <item h="1" x="753"/>
        <item h="1" x="569"/>
        <item h="1" x="209"/>
        <item h="1" x="558"/>
        <item h="1" x="324"/>
        <item h="1" x="501"/>
        <item h="1" x="735"/>
        <item h="1" x="770"/>
        <item h="1" x="584"/>
        <item h="1" x="201"/>
        <item h="1" x="745"/>
        <item h="1" x="686"/>
        <item h="1" x="275"/>
        <item h="1" x="338"/>
        <item h="1" x="169"/>
        <item h="1" x="451"/>
        <item h="1" x="681"/>
        <item h="1" x="394"/>
        <item h="1" x="640"/>
        <item h="1" x="645"/>
        <item h="1" x="437"/>
        <item h="1" x="385"/>
        <item h="1" x="776"/>
        <item h="1" x="793"/>
        <item h="1" x="705"/>
        <item h="1" x="127"/>
        <item h="1" x="719"/>
        <item h="1" x="718"/>
        <item h="1" x="667"/>
        <item h="1" x="135"/>
        <item h="1" x="715"/>
        <item h="1" x="425"/>
        <item h="1" x="160"/>
        <item h="1" x="533"/>
        <item h="1" x="441"/>
        <item h="1" x="765"/>
        <item h="1" x="262"/>
        <item h="1" x="410"/>
        <item h="1" x="788"/>
        <item h="1" x="165"/>
        <item h="1" x="79"/>
        <item h="1" x="409"/>
        <item h="1" x="479"/>
        <item h="1" x="720"/>
        <item h="1" x="334"/>
        <item h="1" x="721"/>
        <item h="1" x="185"/>
        <item h="1" x="448"/>
        <item h="1" x="789"/>
        <item h="1" x="18"/>
        <item h="1" x="708"/>
        <item h="1" x="795"/>
        <item h="1" x="294"/>
        <item h="1" x="80"/>
        <item h="1" x="116"/>
        <item h="1" x="420"/>
        <item h="1" x="615"/>
        <item h="1" x="28"/>
        <item h="1" x="647"/>
        <item h="1" x="42"/>
        <item h="1" x="164"/>
        <item h="1" x="529"/>
        <item h="1" x="446"/>
        <item h="1" x="343"/>
        <item h="1" x="554"/>
        <item h="1" x="370"/>
        <item h="1" x="631"/>
        <item h="1" x="157"/>
        <item h="1" x="717"/>
        <item h="1" x="500"/>
        <item h="1" x="724"/>
        <item h="1" x="799"/>
        <item h="1" x="519"/>
        <item h="1" x="197"/>
        <item h="1" x="801"/>
        <item h="1" x="684"/>
        <item h="1" x="460"/>
        <item h="1" x="98"/>
        <item h="1" x="237"/>
        <item h="1" x="249"/>
        <item h="1" x="317"/>
        <item h="1" x="20"/>
        <item h="1" x="137"/>
        <item h="1" x="269"/>
        <item h="1" x="493"/>
        <item h="1" x="652"/>
        <item h="1" x="496"/>
        <item h="1" x="208"/>
        <item h="1" x="366"/>
        <item h="1" x="637"/>
        <item h="1" x="35"/>
        <item h="1" x="392"/>
        <item h="1" x="520"/>
        <item h="1" x="336"/>
        <item h="1" x="773"/>
        <item h="1" x="784"/>
        <item h="1" x="675"/>
        <item h="1" x="71"/>
        <item h="1" x="99"/>
        <item h="1" x="798"/>
        <item h="1" x="475"/>
        <item h="1" x="639"/>
        <item h="1" x="252"/>
        <item h="1" x="81"/>
        <item h="1" x="623"/>
        <item h="1" x="50"/>
        <item h="1" x="549"/>
        <item h="1" x="345"/>
        <item h="1" x="568"/>
        <item h="1" x="223"/>
        <item h="1" x="140"/>
        <item h="1" x="559"/>
        <item h="1" x="86"/>
        <item h="1" x="200"/>
        <item h="1" x="328"/>
        <item h="1" x="524"/>
        <item h="1" x="351"/>
        <item h="1" x="782"/>
        <item h="1" x="571"/>
        <item h="1" x="621"/>
        <item h="1" x="522"/>
        <item h="1" x="470"/>
        <item h="1" x="191"/>
        <item h="1" x="775"/>
        <item h="1" x="123"/>
        <item h="1" x="658"/>
        <item h="1" x="630"/>
        <item h="1" x="270"/>
        <item h="1" x="333"/>
        <item h="1" x="313"/>
        <item h="1" x="594"/>
        <item h="1" x="173"/>
        <item h="1" x="747"/>
        <item h="1" x="531"/>
        <item h="1" x="504"/>
        <item h="1" x="176"/>
        <item h="1" x="253"/>
        <item h="1" x="731"/>
        <item h="1" x="83"/>
        <item h="1" x="248"/>
        <item h="1" x="677"/>
        <item h="1" x="737"/>
        <item h="1" x="542"/>
        <item h="1" x="419"/>
        <item h="1" x="280"/>
        <item h="1" x="106"/>
        <item h="1" x="539"/>
        <item h="1" x="751"/>
        <item h="1" x="64"/>
        <item h="1" x="585"/>
        <item h="1" x="424"/>
        <item h="1" x="34"/>
        <item h="1" x="730"/>
        <item h="1" x="791"/>
        <item h="1" x="797"/>
        <item h="1" x="229"/>
        <item h="1" x="511"/>
        <item h="1" x="746"/>
        <item h="1" x="109"/>
        <item h="1" x="488"/>
        <item h="1" x="579"/>
        <item h="1" x="442"/>
        <item h="1" x="650"/>
        <item h="1" x="91"/>
        <item h="1" x="688"/>
        <item h="1" x="709"/>
        <item h="1" x="699"/>
        <item h="1" x="228"/>
        <item h="1" x="105"/>
        <item h="1" x="124"/>
        <item h="1" x="534"/>
        <item h="1" x="263"/>
        <item h="1" x="301"/>
        <item h="1" x="56"/>
        <item h="1" x="663"/>
        <item h="1" x="175"/>
        <item h="1" x="372"/>
        <item h="1" x="398"/>
        <item h="1" x="318"/>
        <item h="1" x="357"/>
        <item h="1" x="562"/>
        <item h="1" x="215"/>
        <item h="1" x="428"/>
        <item h="1" x="307"/>
        <item h="1" x="604"/>
        <item h="1" x="701"/>
        <item h="1" x="25"/>
        <item h="1" x="383"/>
        <item h="1" x="515"/>
        <item h="1" x="484"/>
        <item h="1" x="509"/>
        <item h="1" x="743"/>
        <item h="1" x="570"/>
        <item h="1" x="463"/>
        <item h="1" x="564"/>
        <item h="1" x="651"/>
        <item h="1" x="231"/>
        <item h="1" x="194"/>
        <item h="1" x="128"/>
        <item h="1" x="273"/>
        <item h="1" x="355"/>
        <item h="1" x="303"/>
        <item h="1" x="391"/>
        <item h="1" x="213"/>
        <item h="1" x="239"/>
        <item h="1" x="170"/>
        <item h="1" x="288"/>
        <item h="1" x="158"/>
        <item h="1" x="664"/>
        <item h="1" x="754"/>
        <item h="1" x="9"/>
        <item h="1" x="499"/>
        <item h="1" x="790"/>
        <item h="1" x="122"/>
        <item h="1" x="283"/>
        <item h="1" x="674"/>
        <item h="1" x="763"/>
        <item h="1" x="100"/>
        <item h="1" x="286"/>
        <item h="1" x="548"/>
        <item h="1" x="722"/>
        <item h="1" x="777"/>
        <item h="1" x="37"/>
        <item h="1" x="204"/>
        <item h="1" x="749"/>
        <item h="1" x="89"/>
        <item h="1" x="52"/>
        <item h="1" x="199"/>
        <item h="1" x="733"/>
        <item h="1" x="508"/>
        <item h="1" x="300"/>
        <item h="1" x="567"/>
        <item h="1" x="739"/>
        <item h="1" x="214"/>
        <item h="1" x="221"/>
        <item h="1" x="655"/>
        <item h="1" x="517"/>
        <item h="1" x="61"/>
        <item h="1" x="785"/>
        <item h="1" x="792"/>
        <item h="1" x="131"/>
        <item h="1" x="358"/>
        <item h="1" x="734"/>
        <item h="1" x="205"/>
        <item h="1" x="41"/>
        <item h="1" x="692"/>
        <item h="1" x="352"/>
        <item h="1" x="413"/>
        <item h="1" x="673"/>
        <item h="1" x="478"/>
        <item h="1" x="195"/>
        <item h="1" x="138"/>
        <item h="1" x="676"/>
        <item h="1" x="551"/>
        <item h="1" x="693"/>
        <item h="1" x="183"/>
        <item h="1" x="706"/>
        <item h="1" x="290"/>
        <item h="1" x="440"/>
        <item h="1" x="489"/>
        <item h="1" x="265"/>
        <item h="1" x="654"/>
        <item h="1" x="346"/>
        <item h="1" x="468"/>
        <item h="1" x="373"/>
        <item h="1" x="193"/>
        <item h="1" x="246"/>
        <item h="1" x="388"/>
        <item h="1" x="697"/>
        <item h="1" x="687"/>
        <item h="1" x="114"/>
        <item h="1" x="461"/>
        <item h="1" x="666"/>
        <item h="1" x="707"/>
        <item h="1" x="97"/>
        <item h="1" x="547"/>
        <item h="1" x="281"/>
        <item h="1" x="117"/>
        <item h="1" x="416"/>
        <item h="1" x="620"/>
        <item h="1" x="136"/>
        <item h="1" x="557"/>
        <item h="1" x="192"/>
        <item h="1" x="119"/>
        <item h="1" x="566"/>
        <item h="1" x="481"/>
        <item h="1" x="166"/>
        <item h="1" x="467"/>
        <item h="1" x="591"/>
        <item h="1" x="49"/>
        <item h="1" x="314"/>
        <item h="1" x="129"/>
        <item h="1" x="184"/>
        <item h="1" x="190"/>
        <item h="1" x="561"/>
        <item h="1" x="22"/>
        <item h="1" x="443"/>
        <item h="1" x="174"/>
        <item h="1" x="476"/>
        <item h="1" x="245"/>
        <item h="1" x="243"/>
        <item h="1" x="361"/>
        <item h="1" x="2"/>
        <item h="1" x="72"/>
        <item h="1" x="397"/>
        <item h="1" x="695"/>
        <item h="1" x="400"/>
        <item h="1" x="750"/>
        <item h="1" x="126"/>
        <item h="1" x="490"/>
        <item h="1" x="188"/>
        <item h="1" x="403"/>
        <item h="1" x="121"/>
        <item h="1" x="384"/>
        <item h="1" x="768"/>
        <item h="1" x="186"/>
        <item h="1" x="389"/>
        <item h="1" x="153"/>
        <item h="1" x="15"/>
        <item h="1" x="541"/>
        <item h="1" x="426"/>
        <item h="1" x="586"/>
        <item h="1" x="233"/>
        <item h="1" x="510"/>
        <item h="1" x="329"/>
        <item h="1" x="698"/>
        <item h="1" x="375"/>
        <item h="1" x="332"/>
        <item h="1" x="572"/>
        <item h="1" x="39"/>
        <item h="1" x="364"/>
        <item h="1" x="411"/>
        <item h="1" x="365"/>
        <item h="1" x="356"/>
        <item h="1" x="60"/>
        <item h="1" x="771"/>
        <item h="1" x="711"/>
        <item h="1" x="431"/>
        <item h="1" x="53"/>
        <item h="1" x="84"/>
        <item h="1" x="378"/>
        <item h="1" x="459"/>
        <item h="1" x="147"/>
        <item h="1" x="625"/>
        <item h="1" x="216"/>
        <item h="1" x="464"/>
        <item h="1" x="482"/>
        <item h="1" x="75"/>
        <item h="1" x="626"/>
        <item h="1" x="350"/>
        <item h="1" x="211"/>
        <item h="1" x="244"/>
        <item h="1" x="274"/>
        <item h="1" x="241"/>
        <item h="1" x="330"/>
        <item h="1" x="219"/>
        <item h="1" x="376"/>
        <item h="1" x="491"/>
        <item h="1" x="232"/>
        <item h="1" x="368"/>
        <item h="1" x="418"/>
        <item h="1" x="43"/>
        <item h="1" x="614"/>
        <item h="1" x="780"/>
        <item h="1" x="87"/>
        <item h="1" x="278"/>
        <item h="1" x="202"/>
        <item h="1" x="764"/>
        <item h="1" x="74"/>
        <item h="1" x="521"/>
        <item h="1" x="236"/>
        <item h="1" x="17"/>
        <item h="1" x="513"/>
        <item h="1" x="267"/>
        <item h="1" x="260"/>
        <item h="1" x="178"/>
        <item h="1" x="24"/>
        <item h="1" x="40"/>
        <item h="1" x="7"/>
        <item h="1" x="590"/>
        <item h="1" x="12"/>
        <item h="1" x="518"/>
        <item h="1" x="268"/>
        <item h="1" x="38"/>
        <item h="1" x="660"/>
        <item h="1" x="78"/>
        <item h="1" x="766"/>
        <item h="1" x="512"/>
        <item h="1" x="206"/>
        <item h="1" x="606"/>
        <item h="1" x="297"/>
        <item h="1" x="323"/>
        <item h="1" x="486"/>
        <item h="1" x="225"/>
        <item h="1" x="133"/>
        <item h="1" x="312"/>
        <item h="1" x="387"/>
        <item h="1" x="407"/>
        <item h="1" x="347"/>
        <item h="1" x="302"/>
        <item h="1" x="162"/>
        <item h="1" x="556"/>
        <item h="1" x="218"/>
        <item h="1" x="494"/>
        <item h="1" x="363"/>
        <item h="1" x="581"/>
        <item h="1" x="4"/>
        <item h="1" x="690"/>
        <item h="1" x="0"/>
        <item h="1" x="207"/>
        <item h="1" x="433"/>
        <item h="1" x="578"/>
        <item h="1" x="447"/>
        <item h="1" x="456"/>
        <item h="1" x="762"/>
        <item h="1" x="450"/>
        <item h="1" x="728"/>
        <item h="1" x="727"/>
        <item h="1" x="326"/>
        <item h="1" x="502"/>
        <item h="1" x="683"/>
        <item h="1" x="151"/>
        <item h="1" x="27"/>
        <item h="1" x="678"/>
        <item h="1" x="689"/>
        <item h="1" x="390"/>
        <item h="1" x="251"/>
        <item h="1" x="311"/>
        <item h="1" x="305"/>
        <item h="1" x="682"/>
        <item h="1" x="580"/>
        <item h="1" x="261"/>
        <item h="1" x="309"/>
        <item h="1" x="11"/>
        <item h="1" x="495"/>
        <item h="1" x="740"/>
        <item h="1" x="111"/>
        <item h="1" x="337"/>
        <item h="1" x="30"/>
        <item h="1" x="457"/>
        <item h="1" x="142"/>
        <item h="1" x="471"/>
        <item h="1" x="285"/>
        <item h="1" x="758"/>
        <item h="1" x="238"/>
        <item h="1" x="23"/>
        <item h="1" x="605"/>
        <item h="1" x="406"/>
        <item h="1" x="145"/>
        <item h="1" x="587"/>
        <item h="1" x="359"/>
        <item h="1" x="293"/>
        <item h="1" x="118"/>
        <item h="1" x="6"/>
        <item h="1" x="271"/>
        <item h="1" x="583"/>
        <item h="1" x="344"/>
        <item h="1" x="507"/>
        <item h="1" x="642"/>
        <item h="1" x="235"/>
        <item h="1" x="113"/>
        <item h="1" x="555"/>
        <item h="1" x="31"/>
        <item h="1" x="723"/>
        <item h="1" x="560"/>
        <item h="1" x="182"/>
        <item h="1" x="44"/>
        <item h="1" x="608"/>
        <item h="1" x="234"/>
        <item h="1" x="125"/>
        <item h="1" x="196"/>
        <item h="1" x="423"/>
        <item h="1" x="73"/>
        <item h="1" x="159"/>
        <item h="1" x="713"/>
        <item h="1" x="181"/>
        <item h="1" x="295"/>
        <item h="1" x="177"/>
        <item h="1" x="291"/>
        <item h="1" x="342"/>
        <item h="1" x="528"/>
        <item h="1" x="636"/>
        <item h="1" x="292"/>
        <item h="1" x="415"/>
        <item h="1" x="412"/>
        <item h="1" x="46"/>
        <item h="1" x="256"/>
        <item h="1" x="95"/>
        <item h="1" x="596"/>
        <item h="1" x="327"/>
        <item h="1" x="247"/>
        <item h="1" x="26"/>
        <item h="1" x="104"/>
        <item h="1" x="306"/>
        <item h="1" x="154"/>
        <item h="1" x="665"/>
        <item h="1" x="577"/>
        <item h="1" x="716"/>
        <item h="1" x="331"/>
        <item h="1" x="653"/>
        <item h="1" x="600"/>
        <item h="1" x="536"/>
        <item h="1" x="8"/>
        <item h="1" x="152"/>
        <item h="1" x="449"/>
        <item h="1" x="607"/>
        <item h="1" x="367"/>
        <item h="1" x="371"/>
        <item h="1" x="67"/>
        <item h="1" x="714"/>
        <item h="1" x="5"/>
        <item h="1" x="180"/>
        <item h="1" x="54"/>
        <item h="1" x="320"/>
        <item h="1" x="598"/>
        <item h="1" x="257"/>
        <item h="1" x="62"/>
        <item h="1" x="150"/>
        <item h="1" x="258"/>
        <item h="1" x="402"/>
        <item h="1" x="110"/>
        <item h="1" x="648"/>
        <item h="1" x="527"/>
        <item h="1" x="401"/>
        <item h="1" x="506"/>
        <item h="1" x="33"/>
        <item h="1" x="319"/>
        <item h="1" x="340"/>
        <item h="1" x="189"/>
        <item h="1" x="348"/>
        <item h="1" x="668"/>
        <item h="1" x="445"/>
        <item h="1" x="163"/>
        <item h="1" x="430"/>
        <item h="1" x="592"/>
        <item h="1" x="93"/>
        <item h="1" x="141"/>
        <item h="1" x="230"/>
        <item h="1" x="704"/>
        <item h="1" x="646"/>
        <item h="1" x="380"/>
        <item h="1" x="466"/>
        <item h="1" x="82"/>
        <item h="1" x="672"/>
        <item h="1" x="101"/>
        <item h="1" x="144"/>
        <item h="1" x="679"/>
        <item h="1" x="289"/>
        <item h="1" x="65"/>
        <item h="1" x="226"/>
        <item h="1" x="179"/>
        <item h="1" x="220"/>
        <item h="1" x="462"/>
        <item h="1" x="3"/>
        <item h="1" x="629"/>
        <item h="1" x="167"/>
        <item h="1" x="453"/>
        <item h="1" x="287"/>
        <item h="1" x="187"/>
        <item h="1" x="477"/>
        <item h="1" x="404"/>
        <item h="1" x="691"/>
        <item h="1" x="58"/>
        <item h="1" x="485"/>
        <item h="1" x="134"/>
        <item h="1" x="465"/>
        <item h="1" x="417"/>
        <item h="1" x="70"/>
        <item h="1" x="649"/>
        <item h="1" x="88"/>
        <item h="1" x="250"/>
        <item h="1" x="700"/>
        <item h="1" x="92"/>
        <item h="1" x="120"/>
        <item h="1" x="381"/>
        <item h="1" x="435"/>
        <item h="1" x="112"/>
        <item h="1" x="316"/>
        <item h="1" x="644"/>
        <item h="1" x="659"/>
        <item h="1" x="21"/>
        <item h="1" x="480"/>
        <item h="1" x="94"/>
        <item h="1" x="595"/>
        <item h="1" x="90"/>
        <item h="1" x="266"/>
        <item h="1" x="277"/>
        <item h="1" x="48"/>
        <item h="1" x="516"/>
        <item h="1" x="279"/>
        <item h="1" x="794"/>
        <item h="1" x="108"/>
        <item h="1" x="172"/>
        <item h="1" x="51"/>
        <item h="1" x="395"/>
        <item h="1" x="563"/>
        <item h="1" x="10"/>
        <item h="1" x="535"/>
        <item h="1" x="16"/>
        <item h="1" x="130"/>
        <item h="1" x="523"/>
        <item h="1" x="156"/>
        <item h="1" x="14"/>
        <item h="1" x="483"/>
        <item h="1" x="13"/>
        <item h="1" x="760"/>
        <item h="1" x="103"/>
        <item h="1" x="736"/>
        <item h="1" x="198"/>
        <item h="1" x="115"/>
        <item h="1" x="310"/>
        <item h="1" x="325"/>
        <item h="1" x="616"/>
        <item h="1" x="1"/>
        <item h="1" x="703"/>
        <item h="1" x="597"/>
        <item h="1" x="469"/>
        <item h="1" x="455"/>
        <item h="1" x="63"/>
        <item h="1" x="272"/>
        <item h="1" x="610"/>
        <item h="1" x="670"/>
        <item h="1" x="161"/>
        <item h="1" x="573"/>
        <item h="1" x="769"/>
        <item h="1" x="210"/>
        <item h="1" x="643"/>
        <item h="1" x="276"/>
        <item h="1" x="168"/>
        <item h="1" x="77"/>
        <item h="1" x="222"/>
        <item h="1" x="593"/>
        <item h="1" x="149"/>
        <item h="1" x="589"/>
        <item h="1" x="96"/>
        <item h="1" x="386"/>
        <item h="1" x="321"/>
        <item h="1" x="582"/>
        <item h="1" x="139"/>
        <item h="1" x="32"/>
        <item h="1" x="694"/>
        <item h="1" x="744"/>
        <item h="1" x="382"/>
        <item h="1" x="612"/>
        <item h="1" x="427"/>
        <item h="1" x="354"/>
        <item h="1" x="680"/>
        <item h="1" x="396"/>
        <item h="1" x="57"/>
        <item h="1" x="685"/>
        <item h="1" x="146"/>
        <item h="1" x="68"/>
        <item h="1" x="155"/>
        <item h="1" x="203"/>
        <item h="1" x="66"/>
        <item h="1" x="296"/>
        <item h="1" x="59"/>
        <item h="1" x="369"/>
        <item h="1" x="339"/>
        <item h="1" x="227"/>
        <item h="1" x="436"/>
        <item h="1" x="132"/>
        <item h="1" x="69"/>
        <item h="1" x="171"/>
        <item h="1" x="432"/>
        <item h="1" x="85"/>
        <item h="1" x="661"/>
        <item h="1" x="374"/>
        <item h="1" x="452"/>
        <item h="1" x="399"/>
        <item h="1" x="438"/>
        <item h="1" x="45"/>
        <item h="1" x="526"/>
        <item h="1" x="619"/>
        <item h="1" x="29"/>
        <item h="1" x="76"/>
        <item h="1" x="55"/>
        <item h="1" x="19"/>
        <item h="1" x="543"/>
        <item h="1" x="497"/>
        <item h="1" x="624"/>
        <item h="1" x="47"/>
        <item h="1" x="143"/>
        <item h="1" x="284"/>
        <item h="1" x="308"/>
        <item h="1" x="379"/>
        <item h="1" x="550"/>
        <item h="1" x="618"/>
        <item h="1" x="503"/>
        <item h="1" x="671"/>
        <item h="1" x="434"/>
        <item h="1" x="408"/>
        <item h="1" x="525"/>
        <item h="1" x="741"/>
        <item h="1" x="360"/>
        <item h="1" x="599"/>
        <item h="1" x="729"/>
        <item h="1" x="107"/>
        <item h="1" x="36"/>
        <item h="1" x="628"/>
        <item h="1" x="710"/>
        <item h="1" x="514"/>
        <item h="1" x="627"/>
        <item h="1" x="315"/>
        <item h="1" x="574"/>
        <item h="1" x="505"/>
        <item h="1" x="242"/>
        <item t="default"/>
      </items>
    </pivotField>
    <pivotField showAll="0">
      <items count="6">
        <item x="3"/>
        <item x="2"/>
        <item x="4"/>
        <item x="1"/>
        <item x="0"/>
        <item t="default"/>
      </items>
    </pivotField>
    <pivotField showAll="0"/>
    <pivotField showAll="0">
      <items count="18">
        <item x="13"/>
        <item x="8"/>
        <item x="7"/>
        <item x="12"/>
        <item x="10"/>
        <item x="5"/>
        <item x="11"/>
        <item x="2"/>
        <item x="6"/>
        <item x="9"/>
        <item x="14"/>
        <item x="3"/>
        <item x="15"/>
        <item x="4"/>
        <item x="1"/>
        <item x="0"/>
        <item x="16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</pivotFields>
  <rowFields count="2">
    <field x="4"/>
    <field x="2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Recuento" fld="4" subtotal="count" baseField="4" baseItem="1"/>
    <dataField name="Promedio de Kilometer " fld="6" subtotal="average" baseField="4" baseItem="1"/>
    <dataField name="Promedio de Fuel Tank Capacity L" fld="19" subtotal="average" baseField="3" baseItem="1"/>
    <dataField name="Promedio de Caballos" fld="13" subtotal="average" baseField="4" baseItem="1" numFmtId="2"/>
  </dataFields>
  <formats count="16">
    <format dxfId="60">
      <pivotArea collapsedLevelsAreSubtotals="1" fieldPosition="0">
        <references count="2">
          <reference field="4294967294" count="1" selected="0">
            <x v="1"/>
          </reference>
          <reference field="4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61">
      <pivotArea collapsedLevelsAreSubtotals="1" fieldPosition="0">
        <references count="2">
          <reference field="4294967294" count="1" selected="0">
            <x v="2"/>
          </reference>
          <reference field="4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62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63">
      <pivotArea field="4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64">
      <pivotArea field="4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65">
      <pivotArea collapsedLevelsAreSubtotals="1" fieldPosition="0">
        <references count="2">
          <reference field="4294967294" count="1" selected="0">
            <x v="1"/>
          </reference>
          <reference field="4" count="1">
            <x v="1"/>
          </reference>
        </references>
      </pivotArea>
    </format>
    <format dxfId="66">
      <pivotArea collapsedLevelsAreSubtotals="1" fieldPosition="0">
        <references count="2">
          <reference field="4294967294" count="1" selected="0">
            <x v="1"/>
          </reference>
          <reference field="4" count="1">
            <x v="2"/>
          </reference>
        </references>
      </pivotArea>
    </format>
    <format dxfId="67">
      <pivotArea collapsedLevelsAreSubtotals="1" fieldPosition="0">
        <references count="2">
          <reference field="4294967294" count="1" selected="0">
            <x v="1"/>
          </reference>
          <reference field="4" count="1">
            <x v="3"/>
          </reference>
        </references>
      </pivotArea>
    </format>
    <format dxfId="68">
      <pivotArea collapsedLevelsAreSubtotals="1" fieldPosition="0">
        <references count="2">
          <reference field="4294967294" count="1" selected="0">
            <x v="1"/>
          </reference>
          <reference field="4" count="1">
            <x v="4"/>
          </reference>
        </references>
      </pivotArea>
    </format>
    <format dxfId="69">
      <pivotArea collapsedLevelsAreSubtotals="1" fieldPosition="0">
        <references count="2">
          <reference field="4294967294" count="1" selected="0">
            <x v="1"/>
          </reference>
          <reference field="4" count="1">
            <x v="5"/>
          </reference>
        </references>
      </pivotArea>
    </format>
    <format dxfId="70">
      <pivotArea collapsedLevelsAreSubtotals="1" fieldPosition="0">
        <references count="2">
          <reference field="4294967294" count="1" selected="0">
            <x v="1"/>
          </reference>
          <reference field="4" count="1">
            <x v="6"/>
          </reference>
        </references>
      </pivotArea>
    </format>
    <format dxfId="71">
      <pivotArea collapsedLevelsAreSubtotals="1" fieldPosition="0">
        <references count="2">
          <reference field="4294967294" count="1" selected="0">
            <x v="1"/>
          </reference>
          <reference field="4" count="1">
            <x v="7"/>
          </reference>
        </references>
      </pivotArea>
    </format>
    <format dxfId="72">
      <pivotArea collapsedLevelsAreSubtotals="1" fieldPosition="0">
        <references count="2">
          <reference field="4294967294" count="1" selected="0">
            <x v="1"/>
          </reference>
          <reference field="4" count="1">
            <x v="8"/>
          </reference>
        </references>
      </pivotArea>
    </format>
    <format dxfId="73">
      <pivotArea collapsedLevelsAreSubtotals="1" fieldPosition="0">
        <references count="2">
          <reference field="4294967294" count="1" selected="0">
            <x v="1"/>
          </reference>
          <reference field="4" count="1">
            <x v="9"/>
          </reference>
        </references>
      </pivotArea>
    </format>
    <format dxfId="74">
      <pivotArea collapsedLevelsAreSubtotals="1" fieldPosition="0">
        <references count="2">
          <reference field="4294967294" count="1" selected="0">
            <x v="1"/>
          </reference>
          <reference field="4" count="1">
            <x v="10"/>
          </reference>
        </references>
      </pivotArea>
    </format>
    <format dxfId="75">
      <pivotArea collapsedLevelsAreSubtotals="1" fieldPosition="0">
        <references count="2">
          <reference field="4294967294" count="1" selected="0">
            <x v="1"/>
          </reference>
          <reference field="4" count="1">
            <x v="11"/>
          </reference>
        </references>
      </pivotArea>
    </format>
  </formats>
  <conditionalFormats count="3">
    <conditionalFormat priority="3">
      <pivotAreas count="22"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054">
              <x v="0"/>
              <x v="119"/>
              <x v="209"/>
              <x v="210"/>
              <x v="211"/>
              <x v="212"/>
              <x v="213"/>
              <x v="214"/>
              <x v="215"/>
              <x v="216"/>
              <x v="217"/>
              <x v="218"/>
              <x v="219"/>
              <x v="220"/>
              <x v="221"/>
              <x v="222"/>
              <x v="223"/>
              <x v="225"/>
              <x v="226"/>
              <x v="227"/>
              <x v="228"/>
              <x v="229"/>
              <x v="230"/>
              <x v="231"/>
              <x v="232"/>
              <x v="233"/>
              <x v="234"/>
              <x v="235"/>
              <x v="236"/>
              <x v="237"/>
              <x v="238"/>
              <x v="239"/>
              <x v="240"/>
              <x v="241"/>
              <x v="242"/>
              <x v="243"/>
              <x v="244"/>
              <x v="245"/>
              <x v="246"/>
              <x v="247"/>
              <x v="248"/>
              <x v="249"/>
              <x v="250"/>
              <x v="251"/>
              <x v="252"/>
              <x v="253"/>
              <x v="254"/>
              <x v="255"/>
              <x v="256"/>
              <x v="257"/>
              <x v="258"/>
              <x v="259"/>
              <x v="260"/>
              <x v="275"/>
              <x v="276"/>
              <x v="277"/>
              <x v="278"/>
              <x v="279"/>
              <x v="280"/>
              <x v="281"/>
              <x v="282"/>
              <x v="283"/>
              <x v="284"/>
              <x v="285"/>
              <x v="286"/>
              <x v="287"/>
              <x v="288"/>
              <x v="289"/>
              <x v="290"/>
              <x v="291"/>
              <x v="292"/>
              <x v="293"/>
              <x v="294"/>
              <x v="295"/>
              <x v="296"/>
              <x v="297"/>
              <x v="298"/>
              <x v="299"/>
              <x v="300"/>
              <x v="301"/>
              <x v="302"/>
              <x v="303"/>
              <x v="304"/>
              <x v="305"/>
              <x v="306"/>
              <x v="307"/>
              <x v="308"/>
              <x v="309"/>
              <x v="310"/>
              <x v="311"/>
              <x v="312"/>
              <x v="313"/>
              <x v="314"/>
              <x v="315"/>
              <x v="316"/>
              <x v="317"/>
              <x v="318"/>
              <x v="319"/>
              <x v="320"/>
              <x v="321"/>
              <x v="322"/>
              <x v="323"/>
              <x v="324"/>
              <x v="325"/>
              <x v="326"/>
              <x v="327"/>
              <x v="328"/>
              <x v="329"/>
              <x v="330"/>
              <x v="331"/>
              <x v="332"/>
              <x v="333"/>
              <x v="334"/>
              <x v="335"/>
              <x v="336"/>
              <x v="337"/>
              <x v="338"/>
              <x v="339"/>
              <x v="340"/>
              <x v="341"/>
              <x v="342"/>
              <x v="343"/>
              <x v="344"/>
              <x v="345"/>
              <x v="346"/>
              <x v="347"/>
              <x v="348"/>
              <x v="349"/>
              <x v="350"/>
              <x v="351"/>
              <x v="352"/>
              <x v="353"/>
              <x v="354"/>
              <x v="355"/>
              <x v="356"/>
              <x v="357"/>
              <x v="358"/>
              <x v="359"/>
              <x v="360"/>
              <x v="361"/>
              <x v="362"/>
              <x v="363"/>
              <x v="364"/>
              <x v="365"/>
              <x v="366"/>
              <x v="367"/>
              <x v="368"/>
              <x v="369"/>
              <x v="370"/>
              <x v="371"/>
              <x v="372"/>
              <x v="373"/>
              <x v="374"/>
              <x v="375"/>
              <x v="376"/>
              <x v="377"/>
              <x v="378"/>
              <x v="379"/>
              <x v="380"/>
              <x v="381"/>
              <x v="382"/>
              <x v="383"/>
              <x v="384"/>
              <x v="385"/>
              <x v="386"/>
              <x v="387"/>
              <x v="388"/>
              <x v="389"/>
              <x v="390"/>
              <x v="391"/>
              <x v="392"/>
              <x v="393"/>
              <x v="394"/>
              <x v="395"/>
              <x v="396"/>
              <x v="397"/>
              <x v="398"/>
              <x v="399"/>
              <x v="400"/>
              <x v="401"/>
              <x v="402"/>
              <x v="403"/>
              <x v="404"/>
              <x v="425"/>
              <x v="426"/>
              <x v="427"/>
              <x v="428"/>
              <x v="429"/>
              <x v="430"/>
              <x v="431"/>
              <x v="432"/>
              <x v="433"/>
              <x v="434"/>
              <x v="435"/>
              <x v="436"/>
              <x v="437"/>
              <x v="438"/>
              <x v="439"/>
              <x v="440"/>
              <x v="441"/>
              <x v="442"/>
              <x v="443"/>
              <x v="444"/>
              <x v="445"/>
              <x v="446"/>
              <x v="447"/>
              <x v="448"/>
              <x v="449"/>
              <x v="450"/>
              <x v="451"/>
              <x v="452"/>
              <x v="453"/>
              <x v="454"/>
              <x v="455"/>
              <x v="456"/>
              <x v="457"/>
              <x v="458"/>
              <x v="459"/>
              <x v="460"/>
              <x v="461"/>
              <x v="462"/>
              <x v="463"/>
              <x v="464"/>
              <x v="465"/>
              <x v="466"/>
              <x v="467"/>
              <x v="468"/>
              <x v="469"/>
              <x v="470"/>
              <x v="471"/>
              <x v="472"/>
              <x v="473"/>
              <x v="474"/>
              <x v="475"/>
              <x v="476"/>
              <x v="477"/>
              <x v="478"/>
              <x v="479"/>
              <x v="480"/>
              <x v="481"/>
              <x v="482"/>
              <x v="483"/>
              <x v="484"/>
              <x v="485"/>
              <x v="486"/>
              <x v="487"/>
              <x v="488"/>
              <x v="489"/>
              <x v="490"/>
              <x v="491"/>
              <x v="492"/>
              <x v="493"/>
              <x v="494"/>
              <x v="495"/>
              <x v="496"/>
              <x v="497"/>
              <x v="498"/>
              <x v="499"/>
              <x v="500"/>
              <x v="501"/>
              <x v="502"/>
              <x v="503"/>
              <x v="504"/>
              <x v="505"/>
              <x v="506"/>
              <x v="507"/>
              <x v="508"/>
              <x v="509"/>
              <x v="510"/>
              <x v="511"/>
              <x v="512"/>
              <x v="513"/>
              <x v="514"/>
              <x v="515"/>
              <x v="516"/>
              <x v="517"/>
              <x v="518"/>
              <x v="519"/>
              <x v="520"/>
              <x v="521"/>
              <x v="522"/>
              <x v="523"/>
              <x v="524"/>
              <x v="525"/>
              <x v="526"/>
              <x v="527"/>
              <x v="528"/>
              <x v="529"/>
              <x v="530"/>
              <x v="531"/>
              <x v="532"/>
              <x v="533"/>
              <x v="534"/>
              <x v="535"/>
              <x v="536"/>
              <x v="537"/>
              <x v="538"/>
              <x v="539"/>
              <x v="540"/>
              <x v="541"/>
              <x v="542"/>
              <x v="543"/>
              <x v="544"/>
              <x v="545"/>
              <x v="546"/>
              <x v="547"/>
              <x v="548"/>
              <x v="549"/>
              <x v="550"/>
              <x v="551"/>
              <x v="552"/>
              <x v="553"/>
              <x v="554"/>
              <x v="555"/>
              <x v="556"/>
              <x v="557"/>
              <x v="558"/>
              <x v="559"/>
              <x v="560"/>
              <x v="561"/>
              <x v="562"/>
              <x v="563"/>
              <x v="564"/>
              <x v="565"/>
              <x v="566"/>
              <x v="567"/>
              <x v="568"/>
              <x v="569"/>
              <x v="570"/>
              <x v="571"/>
              <x v="572"/>
              <x v="573"/>
              <x v="574"/>
              <x v="575"/>
              <x v="576"/>
              <x v="577"/>
              <x v="578"/>
              <x v="579"/>
              <x v="580"/>
              <x v="581"/>
              <x v="582"/>
              <x v="583"/>
              <x v="584"/>
              <x v="585"/>
              <x v="586"/>
              <x v="587"/>
              <x v="588"/>
              <x v="589"/>
              <x v="590"/>
              <x v="591"/>
              <x v="592"/>
              <x v="593"/>
              <x v="594"/>
              <x v="595"/>
              <x v="596"/>
              <x v="597"/>
              <x v="598"/>
              <x v="599"/>
              <x v="600"/>
              <x v="601"/>
              <x v="602"/>
              <x v="603"/>
              <x v="604"/>
              <x v="605"/>
              <x v="606"/>
              <x v="607"/>
              <x v="608"/>
              <x v="609"/>
              <x v="610"/>
              <x v="611"/>
              <x v="612"/>
              <x v="613"/>
              <x v="614"/>
              <x v="615"/>
              <x v="616"/>
              <x v="617"/>
              <x v="618"/>
              <x v="619"/>
              <x v="620"/>
              <x v="621"/>
              <x v="622"/>
              <x v="623"/>
              <x v="624"/>
              <x v="625"/>
              <x v="626"/>
              <x v="627"/>
              <x v="628"/>
              <x v="629"/>
              <x v="630"/>
              <x v="631"/>
              <x v="632"/>
              <x v="633"/>
              <x v="634"/>
              <x v="635"/>
              <x v="636"/>
              <x v="637"/>
              <x v="638"/>
              <x v="639"/>
              <x v="640"/>
              <x v="641"/>
              <x v="642"/>
              <x v="643"/>
              <x v="644"/>
              <x v="645"/>
              <x v="646"/>
              <x v="647"/>
              <x v="648"/>
              <x v="649"/>
              <x v="650"/>
              <x v="651"/>
              <x v="652"/>
              <x v="653"/>
              <x v="654"/>
              <x v="655"/>
              <x v="656"/>
              <x v="657"/>
              <x v="658"/>
              <x v="659"/>
              <x v="660"/>
              <x v="661"/>
              <x v="662"/>
              <x v="663"/>
              <x v="664"/>
              <x v="665"/>
              <x v="666"/>
              <x v="667"/>
              <x v="668"/>
              <x v="669"/>
              <x v="670"/>
              <x v="671"/>
              <x v="856"/>
              <x v="857"/>
              <x v="858"/>
              <x v="859"/>
              <x v="860"/>
              <x v="861"/>
              <x v="862"/>
              <x v="863"/>
              <x v="864"/>
              <x v="865"/>
              <x v="866"/>
              <x v="867"/>
              <x v="868"/>
              <x v="869"/>
              <x v="870"/>
              <x v="871"/>
              <x v="872"/>
              <x v="873"/>
              <x v="874"/>
              <x v="875"/>
              <x v="876"/>
              <x v="877"/>
              <x v="878"/>
              <x v="879"/>
              <x v="880"/>
              <x v="881"/>
              <x v="882"/>
              <x v="883"/>
              <x v="884"/>
              <x v="885"/>
              <x v="886"/>
              <x v="887"/>
              <x v="888"/>
              <x v="889"/>
              <x v="890"/>
              <x v="891"/>
              <x v="892"/>
              <x v="893"/>
              <x v="894"/>
              <x v="895"/>
              <x v="896"/>
              <x v="897"/>
              <x v="898"/>
              <x v="899"/>
              <x v="968"/>
              <x v="969"/>
              <x v="970"/>
              <x v="971"/>
              <x v="972"/>
              <x v="973"/>
              <x v="974"/>
              <x v="975"/>
              <x v="976"/>
              <x v="977"/>
              <x v="978"/>
              <x v="979"/>
              <x v="980"/>
              <x v="981"/>
              <x v="982"/>
              <x v="983"/>
              <x v="984"/>
              <x v="985"/>
              <x v="986"/>
              <x v="987"/>
              <x v="988"/>
              <x v="989"/>
              <x v="990"/>
              <x v="991"/>
              <x v="992"/>
              <x v="993"/>
              <x v="994"/>
              <x v="995"/>
              <x v="996"/>
              <x v="997"/>
              <x v="998"/>
              <x v="999"/>
              <x v="1000"/>
              <x v="1001"/>
              <x v="1002"/>
              <x v="1003"/>
              <x v="1004"/>
              <x v="1005"/>
              <x v="1006"/>
              <x v="1007"/>
              <x v="1008"/>
              <x v="1009"/>
              <x v="1010"/>
              <x v="1011"/>
              <x v="1012"/>
              <x v="1013"/>
              <x v="1014"/>
              <x v="1015"/>
              <x v="1016"/>
              <x v="1017"/>
              <x v="1018"/>
              <x v="1019"/>
              <x v="1020"/>
              <x v="1021"/>
              <x v="1022"/>
              <x v="1023"/>
              <x v="1024"/>
              <x v="1025"/>
              <x v="1026"/>
              <x v="1027"/>
              <x v="1028"/>
              <x v="1029"/>
              <x v="1030"/>
              <x v="1031"/>
              <x v="1032"/>
              <x v="1033"/>
              <x v="1034"/>
              <x v="1035"/>
              <x v="1036"/>
              <x v="1037"/>
              <x v="1038"/>
              <x v="1039"/>
              <x v="1040"/>
              <x v="1041"/>
              <x v="1042"/>
              <x v="1043"/>
              <x v="1044"/>
              <x v="1045"/>
              <x v="1046"/>
              <x v="1047"/>
              <x v="1048"/>
              <x v="1049"/>
              <x v="1050"/>
              <x v="1051"/>
              <x v="1052"/>
              <x v="1053"/>
              <x v="1054"/>
              <x v="1055"/>
              <x v="1056"/>
              <x v="1057"/>
              <x v="1058"/>
              <x v="1059"/>
              <x v="1060"/>
              <x v="1061"/>
              <x v="1062"/>
              <x v="1063"/>
              <x v="1064"/>
              <x v="1065"/>
              <x v="1066"/>
              <x v="1067"/>
              <x v="1068"/>
              <x v="1069"/>
              <x v="1070"/>
              <x v="1071"/>
              <x v="1072"/>
              <x v="1073"/>
              <x v="1074"/>
              <x v="1075"/>
              <x v="1076"/>
              <x v="1077"/>
              <x v="1078"/>
              <x v="1079"/>
              <x v="1080"/>
              <x v="1081"/>
              <x v="1082"/>
              <x v="1083"/>
              <x v="1084"/>
              <x v="1085"/>
              <x v="1086"/>
              <x v="1087"/>
              <x v="1088"/>
              <x v="1089"/>
              <x v="1090"/>
              <x v="1091"/>
              <x v="1092"/>
              <x v="1093"/>
              <x v="1094"/>
              <x v="1095"/>
              <x v="1096"/>
              <x v="1097"/>
              <x v="1098"/>
              <x v="1099"/>
              <x v="1100"/>
              <x v="1101"/>
              <x v="1102"/>
              <x v="1103"/>
              <x v="1104"/>
              <x v="1105"/>
              <x v="1106"/>
              <x v="1107"/>
              <x v="1108"/>
              <x v="1109"/>
              <x v="1110"/>
              <x v="1111"/>
              <x v="1112"/>
              <x v="1113"/>
              <x v="1114"/>
              <x v="1115"/>
              <x v="1116"/>
              <x v="1117"/>
              <x v="1118"/>
              <x v="1119"/>
              <x v="1120"/>
              <x v="1121"/>
              <x v="1122"/>
              <x v="1123"/>
              <x v="1124"/>
              <x v="1125"/>
              <x v="1126"/>
              <x v="1127"/>
              <x v="1128"/>
              <x v="1129"/>
              <x v="1130"/>
              <x v="1131"/>
              <x v="1132"/>
              <x v="1133"/>
              <x v="1134"/>
              <x v="1135"/>
              <x v="1136"/>
              <x v="1137"/>
              <x v="1138"/>
              <x v="1139"/>
              <x v="1140"/>
              <x v="1141"/>
              <x v="1142"/>
              <x v="1143"/>
              <x v="1144"/>
              <x v="1145"/>
              <x v="1146"/>
              <x v="1147"/>
              <x v="1148"/>
              <x v="1149"/>
              <x v="1150"/>
              <x v="1151"/>
              <x v="1152"/>
              <x v="1153"/>
              <x v="1154"/>
              <x v="1155"/>
              <x v="1156"/>
              <x v="1157"/>
              <x v="1158"/>
              <x v="1159"/>
              <x v="1160"/>
              <x v="1161"/>
              <x v="1162"/>
              <x v="1163"/>
              <x v="1164"/>
              <x v="1165"/>
              <x v="1166"/>
              <x v="1167"/>
              <x v="1168"/>
              <x v="1169"/>
              <x v="1170"/>
              <x v="1171"/>
              <x v="1172"/>
              <x v="1173"/>
              <x v="1174"/>
              <x v="1175"/>
              <x v="1176"/>
              <x v="1177"/>
              <x v="1178"/>
              <x v="1179"/>
              <x v="1180"/>
              <x v="1181"/>
              <x v="1182"/>
              <x v="1183"/>
              <x v="1184"/>
              <x v="1185"/>
              <x v="1186"/>
              <x v="1187"/>
              <x v="1188"/>
              <x v="1189"/>
              <x v="1190"/>
              <x v="1191"/>
              <x v="1192"/>
              <x v="1193"/>
              <x v="1194"/>
              <x v="1195"/>
              <x v="1196"/>
              <x v="1197"/>
              <x v="1198"/>
              <x v="1199"/>
              <x v="1200"/>
              <x v="1201"/>
              <x v="1202"/>
              <x v="1203"/>
              <x v="1204"/>
              <x v="1205"/>
              <x v="1206"/>
              <x v="1207"/>
              <x v="1208"/>
              <x v="1209"/>
              <x v="1210"/>
              <x v="1211"/>
              <x v="1212"/>
              <x v="1213"/>
              <x v="1214"/>
              <x v="1215"/>
              <x v="1216"/>
              <x v="1217"/>
              <x v="1218"/>
              <x v="1219"/>
              <x v="1220"/>
              <x v="1221"/>
              <x v="1222"/>
              <x v="1223"/>
              <x v="1224"/>
              <x v="1225"/>
              <x v="1226"/>
              <x v="1227"/>
              <x v="1228"/>
              <x v="1229"/>
              <x v="1230"/>
              <x v="1231"/>
              <x v="1232"/>
              <x v="1233"/>
              <x v="1234"/>
              <x v="1235"/>
              <x v="1236"/>
              <x v="1237"/>
              <x v="1238"/>
              <x v="1239"/>
              <x v="1240"/>
              <x v="1241"/>
              <x v="1242"/>
              <x v="1243"/>
              <x v="1244"/>
              <x v="1245"/>
              <x v="1246"/>
              <x v="1247"/>
              <x v="1248"/>
              <x v="1249"/>
              <x v="1250"/>
              <x v="1251"/>
              <x v="1252"/>
              <x v="1253"/>
              <x v="1254"/>
              <x v="1255"/>
              <x v="1256"/>
              <x v="1257"/>
              <x v="1258"/>
              <x v="1259"/>
              <x v="1260"/>
              <x v="1261"/>
              <x v="1262"/>
              <x v="1263"/>
              <x v="1264"/>
              <x v="1265"/>
              <x v="1266"/>
              <x v="1267"/>
              <x v="1268"/>
              <x v="1269"/>
              <x v="1270"/>
              <x v="1271"/>
              <x v="1272"/>
              <x v="1273"/>
              <x v="1274"/>
              <x v="1275"/>
              <x v="1276"/>
              <x v="1277"/>
              <x v="1278"/>
              <x v="1279"/>
              <x v="1280"/>
              <x v="1281"/>
              <x v="1282"/>
              <x v="1283"/>
              <x v="1284"/>
              <x v="1285"/>
              <x v="1286"/>
              <x v="1287"/>
              <x v="1288"/>
              <x v="1289"/>
              <x v="1290"/>
              <x v="1291"/>
              <x v="1292"/>
              <x v="1293"/>
              <x v="1294"/>
              <x v="1295"/>
              <x v="1296"/>
              <x v="1297"/>
              <x v="1298"/>
              <x v="1299"/>
              <x v="1300"/>
              <x v="1301"/>
              <x v="1302"/>
              <x v="1303"/>
              <x v="1304"/>
              <x v="1305"/>
              <x v="1306"/>
              <x v="1307"/>
              <x v="1308"/>
              <x v="1309"/>
              <x v="1310"/>
              <x v="1311"/>
              <x v="1312"/>
              <x v="1313"/>
              <x v="1314"/>
              <x v="1315"/>
              <x v="1316"/>
              <x v="1317"/>
              <x v="1318"/>
              <x v="1319"/>
              <x v="1320"/>
              <x v="1321"/>
              <x v="1322"/>
              <x v="1323"/>
              <x v="1324"/>
              <x v="1325"/>
              <x v="1326"/>
              <x v="1327"/>
              <x v="1328"/>
              <x v="1329"/>
              <x v="1330"/>
              <x v="1331"/>
              <x v="1332"/>
              <x v="1333"/>
              <x v="1334"/>
              <x v="1335"/>
              <x v="1336"/>
              <x v="1337"/>
              <x v="1338"/>
              <x v="1339"/>
              <x v="1340"/>
              <x v="1341"/>
              <x v="1342"/>
              <x v="1343"/>
              <x v="1344"/>
              <x v="1345"/>
              <x v="1346"/>
              <x v="1347"/>
              <x v="1348"/>
              <x v="1349"/>
              <x v="1350"/>
              <x v="1351"/>
              <x v="1352"/>
              <x v="1353"/>
              <x v="1354"/>
              <x v="1355"/>
              <x v="1356"/>
              <x v="1357"/>
              <x v="1358"/>
              <x v="1359"/>
              <x v="1360"/>
              <x v="1361"/>
              <x v="1362"/>
              <x v="1363"/>
              <x v="1364"/>
              <x v="1365"/>
              <x v="1393"/>
              <x v="1394"/>
              <x v="1395"/>
              <x v="1396"/>
              <x v="1397"/>
              <x v="1579"/>
              <x v="1583"/>
              <x v="1584"/>
              <x v="1585"/>
              <x v="1586"/>
              <x v="1587"/>
              <x v="1588"/>
              <x v="1589"/>
              <x v="1590"/>
              <x v="1591"/>
              <x v="1592"/>
              <x v="1593"/>
              <x v="1594"/>
              <x v="1595"/>
              <x v="1596"/>
              <x v="1597"/>
              <x v="1610"/>
              <x v="1611"/>
              <x v="1612"/>
              <x v="1613"/>
              <x v="1614"/>
              <x v="1615"/>
              <x v="1616"/>
              <x v="1617"/>
              <x v="1618"/>
              <x v="1619"/>
              <x v="1620"/>
              <x v="1621"/>
              <x v="1622"/>
              <x v="1623"/>
              <x v="1624"/>
              <x v="1625"/>
              <x v="1626"/>
              <x v="1627"/>
              <x v="1628"/>
              <x v="1629"/>
              <x v="1630"/>
              <x v="1631"/>
              <x v="1632"/>
              <x v="1633"/>
              <x v="1634"/>
              <x v="1635"/>
              <x v="1636"/>
              <x v="1637"/>
              <x v="1638"/>
              <x v="1639"/>
              <x v="1640"/>
              <x v="1641"/>
              <x v="1642"/>
              <x v="1643"/>
              <x v="1644"/>
              <x v="1645"/>
              <x v="1646"/>
              <x v="1647"/>
              <x v="1648"/>
              <x v="1649"/>
              <x v="1650"/>
              <x v="1656"/>
              <x v="1657"/>
              <x v="1658"/>
              <x v="1659"/>
              <x v="1660"/>
              <x v="1661"/>
              <x v="1662"/>
              <x v="1663"/>
              <x v="1664"/>
              <x v="1665"/>
              <x v="1666"/>
              <x v="1667"/>
              <x v="1668"/>
              <x v="1669"/>
              <x v="1670"/>
              <x v="1693"/>
              <x v="1694"/>
              <x v="1696"/>
              <x v="1697"/>
              <x v="1698"/>
              <x v="1699"/>
              <x v="1700"/>
              <x v="1701"/>
              <x v="1702"/>
              <x v="1703"/>
              <x v="1704"/>
              <x v="1705"/>
              <x v="1706"/>
              <x v="1707"/>
              <x v="1708"/>
              <x v="1709"/>
              <x v="1710"/>
              <x v="1711"/>
              <x v="1712"/>
              <x v="1713"/>
              <x v="1714"/>
              <x v="1715"/>
              <x v="1716"/>
              <x v="1717"/>
              <x v="1718"/>
              <x v="1719"/>
              <x v="1720"/>
              <x v="1721"/>
              <x v="1722"/>
              <x v="1723"/>
              <x v="1724"/>
              <x v="1725"/>
              <x v="1726"/>
              <x v="1727"/>
              <x v="1728"/>
              <x v="1747"/>
              <x v="1748"/>
              <x v="1749"/>
              <x v="1750"/>
              <x v="1751"/>
              <x v="1752"/>
              <x v="1753"/>
              <x v="1754"/>
              <x v="1755"/>
              <x v="1756"/>
              <x v="1757"/>
              <x v="1758"/>
              <x v="1759"/>
              <x v="1760"/>
              <x v="1761"/>
              <x v="1762"/>
              <x v="1763"/>
              <x v="1764"/>
              <x v="1765"/>
              <x v="1766"/>
              <x v="1767"/>
              <x v="1768"/>
              <x v="1769"/>
              <x v="1770"/>
              <x v="1771"/>
              <x v="1772"/>
              <x v="1773"/>
              <x v="1774"/>
              <x v="1775"/>
              <x v="1776"/>
              <x v="1777"/>
              <x v="1778"/>
              <x v="1779"/>
              <x v="1780"/>
              <x v="1781"/>
              <x v="1782"/>
              <x v="1783"/>
              <x v="1784"/>
              <x v="1877"/>
              <x v="1878"/>
              <x v="1879"/>
              <x v="1880"/>
              <x v="1881"/>
              <x v="1882"/>
              <x v="1883"/>
              <x v="1884"/>
              <x v="1885"/>
              <x v="1886"/>
              <x v="1887"/>
              <x v="1888"/>
              <x v="1889"/>
              <x v="1890"/>
              <x v="1891"/>
              <x v="1892"/>
              <x v="1893"/>
              <x v="1894"/>
              <x v="1895"/>
              <x v="1896"/>
              <x v="1897"/>
              <x v="1898"/>
              <x v="1899"/>
              <x v="1900"/>
              <x v="1901"/>
              <x v="1902"/>
              <x v="1903"/>
              <x v="1904"/>
              <x v="1905"/>
              <x v="1906"/>
              <x v="1907"/>
              <x v="1908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384"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120"/>
              <x v="121"/>
              <x v="122"/>
              <x v="123"/>
              <x v="124"/>
              <x v="125"/>
              <x v="126"/>
              <x v="127"/>
              <x v="128"/>
              <x v="129"/>
              <x v="130"/>
              <x v="131"/>
              <x v="132"/>
              <x v="261"/>
              <x v="405"/>
              <x v="406"/>
              <x v="407"/>
              <x v="408"/>
              <x v="409"/>
              <x v="410"/>
              <x v="411"/>
              <x v="412"/>
              <x v="413"/>
              <x v="414"/>
              <x v="415"/>
              <x v="416"/>
              <x v="417"/>
              <x v="418"/>
              <x v="419"/>
              <x v="420"/>
              <x v="421"/>
              <x v="422"/>
              <x v="423"/>
              <x v="424"/>
              <x v="672"/>
              <x v="673"/>
              <x v="674"/>
              <x v="675"/>
              <x v="676"/>
              <x v="677"/>
              <x v="678"/>
              <x v="679"/>
              <x v="680"/>
              <x v="681"/>
              <x v="682"/>
              <x v="683"/>
              <x v="684"/>
              <x v="685"/>
              <x v="686"/>
              <x v="687"/>
              <x v="688"/>
              <x v="689"/>
              <x v="690"/>
              <x v="691"/>
              <x v="692"/>
              <x v="693"/>
              <x v="694"/>
              <x v="695"/>
              <x v="696"/>
              <x v="697"/>
              <x v="698"/>
              <x v="699"/>
              <x v="700"/>
              <x v="701"/>
              <x v="702"/>
              <x v="703"/>
              <x v="704"/>
              <x v="705"/>
              <x v="706"/>
              <x v="707"/>
              <x v="708"/>
              <x v="709"/>
              <x v="710"/>
              <x v="711"/>
              <x v="712"/>
              <x v="713"/>
              <x v="714"/>
              <x v="715"/>
              <x v="716"/>
              <x v="717"/>
              <x v="718"/>
              <x v="719"/>
              <x v="720"/>
              <x v="721"/>
              <x v="722"/>
              <x v="723"/>
              <x v="724"/>
              <x v="725"/>
              <x v="726"/>
              <x v="727"/>
              <x v="728"/>
              <x v="729"/>
              <x v="730"/>
              <x v="731"/>
              <x v="732"/>
              <x v="733"/>
              <x v="734"/>
              <x v="735"/>
              <x v="736"/>
              <x v="737"/>
              <x v="738"/>
              <x v="739"/>
              <x v="740"/>
              <x v="741"/>
              <x v="742"/>
              <x v="743"/>
              <x v="744"/>
              <x v="745"/>
              <x v="746"/>
              <x v="747"/>
              <x v="748"/>
              <x v="749"/>
              <x v="750"/>
              <x v="751"/>
              <x v="752"/>
              <x v="753"/>
              <x v="754"/>
              <x v="755"/>
              <x v="767"/>
              <x v="782"/>
              <x v="783"/>
              <x v="784"/>
              <x v="785"/>
              <x v="786"/>
              <x v="787"/>
              <x v="788"/>
              <x v="789"/>
              <x v="790"/>
              <x v="791"/>
              <x v="798"/>
              <x v="799"/>
              <x v="800"/>
              <x v="801"/>
              <x v="802"/>
              <x v="803"/>
              <x v="804"/>
              <x v="805"/>
              <x v="806"/>
              <x v="807"/>
              <x v="808"/>
              <x v="809"/>
              <x v="810"/>
              <x v="811"/>
              <x v="812"/>
              <x v="813"/>
              <x v="814"/>
              <x v="815"/>
              <x v="900"/>
              <x v="901"/>
              <x v="902"/>
              <x v="903"/>
              <x v="904"/>
              <x v="905"/>
              <x v="906"/>
              <x v="907"/>
              <x v="908"/>
              <x v="909"/>
              <x v="910"/>
              <x v="911"/>
              <x v="912"/>
              <x v="913"/>
              <x v="914"/>
              <x v="915"/>
              <x v="916"/>
              <x v="917"/>
              <x v="918"/>
              <x v="919"/>
              <x v="920"/>
              <x v="921"/>
              <x v="922"/>
              <x v="923"/>
              <x v="924"/>
              <x v="925"/>
              <x v="926"/>
              <x v="927"/>
              <x v="928"/>
              <x v="929"/>
              <x v="930"/>
              <x v="931"/>
              <x v="932"/>
              <x v="933"/>
              <x v="934"/>
              <x v="935"/>
              <x v="936"/>
              <x v="937"/>
              <x v="938"/>
              <x v="939"/>
              <x v="940"/>
              <x v="941"/>
              <x v="942"/>
              <x v="943"/>
              <x v="944"/>
              <x v="945"/>
              <x v="946"/>
              <x v="947"/>
              <x v="948"/>
              <x v="949"/>
              <x v="950"/>
              <x v="951"/>
              <x v="952"/>
              <x v="953"/>
              <x v="954"/>
              <x v="955"/>
              <x v="956"/>
              <x v="957"/>
              <x v="1366"/>
              <x v="1367"/>
              <x v="1368"/>
              <x v="1369"/>
              <x v="1370"/>
              <x v="1371"/>
              <x v="1372"/>
              <x v="1373"/>
              <x v="1374"/>
              <x v="1375"/>
              <x v="1376"/>
              <x v="1377"/>
              <x v="1378"/>
              <x v="1379"/>
              <x v="1380"/>
              <x v="1381"/>
              <x v="1382"/>
              <x v="1383"/>
              <x v="1384"/>
              <x v="1385"/>
              <x v="1386"/>
              <x v="1387"/>
              <x v="1388"/>
              <x v="1389"/>
              <x v="1390"/>
              <x v="1391"/>
              <x v="1398"/>
              <x v="1399"/>
              <x v="1400"/>
              <x v="1401"/>
              <x v="1402"/>
              <x v="1403"/>
              <x v="1404"/>
              <x v="1405"/>
              <x v="1406"/>
              <x v="1407"/>
              <x v="1408"/>
              <x v="1409"/>
              <x v="1410"/>
              <x v="1411"/>
              <x v="1412"/>
              <x v="1413"/>
              <x v="1414"/>
              <x v="1415"/>
              <x v="1416"/>
              <x v="1417"/>
              <x v="1418"/>
              <x v="1419"/>
              <x v="1420"/>
              <x v="1421"/>
              <x v="1552"/>
              <x v="1553"/>
              <x v="1554"/>
              <x v="1555"/>
              <x v="1556"/>
              <x v="1557"/>
              <x v="1558"/>
              <x v="1559"/>
              <x v="1560"/>
              <x v="1568"/>
              <x v="1569"/>
              <x v="1580"/>
              <x v="1581"/>
              <x v="1651"/>
              <x v="1652"/>
              <x v="1671"/>
              <x v="1672"/>
              <x v="1673"/>
              <x v="1674"/>
              <x v="1675"/>
              <x v="1676"/>
              <x v="1677"/>
              <x v="1678"/>
              <x v="1679"/>
              <x v="1680"/>
              <x v="1681"/>
              <x v="1682"/>
              <x v="1683"/>
              <x v="1684"/>
              <x v="1685"/>
              <x v="1695"/>
              <x v="1729"/>
              <x v="1730"/>
              <x v="1731"/>
              <x v="1732"/>
              <x v="1733"/>
              <x v="1734"/>
              <x v="1735"/>
              <x v="1736"/>
              <x v="1737"/>
              <x v="1785"/>
              <x v="1786"/>
              <x v="1787"/>
              <x v="1788"/>
              <x v="1789"/>
              <x v="1790"/>
              <x v="1791"/>
              <x v="1792"/>
              <x v="1793"/>
              <x v="1794"/>
              <x v="1795"/>
              <x v="1796"/>
              <x v="1797"/>
              <x v="1798"/>
              <x v="1799"/>
              <x v="1800"/>
              <x v="1801"/>
              <x v="1802"/>
              <x v="1803"/>
              <x v="1804"/>
              <x v="1805"/>
              <x v="1806"/>
              <x v="1807"/>
              <x v="1808"/>
              <x v="1809"/>
              <x v="1810"/>
              <x v="1811"/>
              <x v="1812"/>
              <x v="1813"/>
              <x v="1814"/>
              <x v="1815"/>
              <x v="1816"/>
              <x v="1817"/>
              <x v="1818"/>
              <x v="1819"/>
              <x v="1820"/>
              <x v="1821"/>
              <x v="1822"/>
              <x v="1909"/>
              <x v="1910"/>
              <x v="1911"/>
              <x v="1912"/>
              <x v="1913"/>
              <x v="1914"/>
              <x v="1915"/>
              <x v="1919"/>
              <x v="1920"/>
              <x v="1921"/>
              <x v="1922"/>
              <x v="1923"/>
              <x v="1924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65">
              <x v="39"/>
              <x v="40"/>
              <x v="41"/>
              <x v="42"/>
              <x v="43"/>
              <x v="44"/>
              <x v="45"/>
              <x v="46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133"/>
              <x v="134"/>
              <x v="135"/>
              <x v="136"/>
              <x v="137"/>
              <x v="138"/>
              <x v="139"/>
              <x v="140"/>
              <x v="141"/>
              <x v="142"/>
              <x v="143"/>
              <x v="144"/>
              <x v="262"/>
              <x v="263"/>
              <x v="756"/>
              <x v="757"/>
              <x v="758"/>
              <x v="759"/>
              <x v="760"/>
              <x v="761"/>
              <x v="762"/>
              <x v="763"/>
              <x v="764"/>
              <x v="765"/>
              <x v="766"/>
              <x v="768"/>
              <x v="769"/>
              <x v="770"/>
              <x v="792"/>
              <x v="793"/>
              <x v="794"/>
              <x v="795"/>
              <x v="816"/>
              <x v="817"/>
              <x v="818"/>
              <x v="819"/>
              <x v="821"/>
              <x v="822"/>
              <x v="823"/>
              <x v="958"/>
              <x v="959"/>
              <x v="960"/>
              <x v="961"/>
              <x v="962"/>
              <x v="963"/>
              <x v="964"/>
              <x v="1422"/>
              <x v="1423"/>
              <x v="1424"/>
              <x v="1425"/>
              <x v="1426"/>
              <x v="1427"/>
              <x v="1428"/>
              <x v="1429"/>
              <x v="1430"/>
              <x v="1431"/>
              <x v="1432"/>
              <x v="1433"/>
              <x v="1434"/>
              <x v="1435"/>
              <x v="1436"/>
              <x v="1437"/>
              <x v="1438"/>
              <x v="1439"/>
              <x v="1440"/>
              <x v="1441"/>
              <x v="1442"/>
              <x v="1443"/>
              <x v="1444"/>
              <x v="1445"/>
              <x v="1446"/>
              <x v="1447"/>
              <x v="1448"/>
              <x v="1449"/>
              <x v="1450"/>
              <x v="1451"/>
              <x v="1452"/>
              <x v="1453"/>
              <x v="1561"/>
              <x v="1562"/>
              <x v="1563"/>
              <x v="1564"/>
              <x v="1565"/>
              <x v="1570"/>
              <x v="1571"/>
              <x v="1582"/>
              <x v="1686"/>
              <x v="1687"/>
              <x v="1738"/>
              <x v="1739"/>
              <x v="1740"/>
              <x v="1741"/>
              <x v="1742"/>
              <x v="1743"/>
              <x v="1744"/>
              <x v="1745"/>
              <x v="1746"/>
              <x v="1823"/>
              <x v="1824"/>
              <x v="1825"/>
              <x v="1826"/>
              <x v="1827"/>
              <x v="1828"/>
              <x v="1829"/>
              <x v="1830"/>
              <x v="1831"/>
              <x v="1832"/>
              <x v="1833"/>
              <x v="1834"/>
              <x v="1835"/>
              <x v="1836"/>
              <x v="1837"/>
              <x v="1838"/>
              <x v="1839"/>
              <x v="1840"/>
              <x v="1841"/>
              <x v="1842"/>
              <x v="1843"/>
              <x v="1844"/>
              <x v="1845"/>
              <x v="1846"/>
              <x v="1847"/>
              <x v="1848"/>
              <x v="1849"/>
              <x v="1850"/>
              <x v="1851"/>
              <x v="1916"/>
              <x v="1925"/>
              <x v="1926"/>
              <x v="1927"/>
              <x v="1928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02">
              <x v="73"/>
              <x v="74"/>
              <x v="75"/>
              <x v="76"/>
              <x v="77"/>
              <x v="78"/>
              <x v="79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145"/>
              <x v="146"/>
              <x v="147"/>
              <x v="148"/>
              <x v="149"/>
              <x v="150"/>
              <x v="151"/>
              <x v="152"/>
              <x v="153"/>
              <x v="154"/>
              <x v="155"/>
              <x v="156"/>
              <x v="157"/>
              <x v="158"/>
              <x v="159"/>
              <x v="264"/>
              <x v="265"/>
              <x v="266"/>
              <x v="267"/>
              <x v="771"/>
              <x v="772"/>
              <x v="773"/>
              <x v="774"/>
              <x v="796"/>
              <x v="820"/>
              <x v="824"/>
              <x v="825"/>
              <x v="826"/>
              <x v="827"/>
              <x v="828"/>
              <x v="965"/>
              <x v="966"/>
              <x v="967"/>
              <x v="1454"/>
              <x v="1455"/>
              <x v="1456"/>
              <x v="1457"/>
              <x v="1458"/>
              <x v="1459"/>
              <x v="1460"/>
              <x v="1461"/>
              <x v="1462"/>
              <x v="1463"/>
              <x v="1464"/>
              <x v="1465"/>
              <x v="1466"/>
              <x v="1467"/>
              <x v="1566"/>
              <x v="1572"/>
              <x v="1573"/>
              <x v="1574"/>
              <x v="1575"/>
              <x v="1598"/>
              <x v="1688"/>
              <x v="1689"/>
              <x v="1690"/>
              <x v="1691"/>
              <x v="1692"/>
              <x v="1852"/>
              <x v="1853"/>
              <x v="1854"/>
              <x v="1855"/>
              <x v="1856"/>
              <x v="1857"/>
              <x v="1858"/>
              <x v="1859"/>
              <x v="1860"/>
              <x v="1861"/>
              <x v="1862"/>
              <x v="1863"/>
              <x v="1864"/>
              <x v="1865"/>
              <x v="1866"/>
              <x v="1867"/>
              <x v="1868"/>
              <x v="1869"/>
              <x v="1870"/>
              <x v="1871"/>
              <x v="1872"/>
              <x v="1873"/>
              <x v="1917"/>
              <x v="1918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76">
              <x v="93"/>
              <x v="94"/>
              <x v="95"/>
              <x v="96"/>
              <x v="97"/>
              <x v="98"/>
              <x v="99"/>
              <x v="100"/>
              <x v="101"/>
              <x v="102"/>
              <x v="103"/>
              <x v="104"/>
              <x v="160"/>
              <x v="161"/>
              <x v="162"/>
              <x v="163"/>
              <x v="164"/>
              <x v="165"/>
              <x v="166"/>
              <x v="167"/>
              <x v="168"/>
              <x v="169"/>
              <x v="170"/>
              <x v="171"/>
              <x v="172"/>
              <x v="173"/>
              <x v="174"/>
              <x v="175"/>
              <x v="176"/>
              <x v="177"/>
              <x v="178"/>
              <x v="179"/>
              <x v="180"/>
              <x v="268"/>
              <x v="269"/>
              <x v="270"/>
              <x v="271"/>
              <x v="272"/>
              <x v="775"/>
              <x v="776"/>
              <x v="777"/>
              <x v="778"/>
              <x v="829"/>
              <x v="830"/>
              <x v="831"/>
              <x v="832"/>
              <x v="833"/>
              <x v="851"/>
              <x v="852"/>
              <x v="853"/>
              <x v="1468"/>
              <x v="1469"/>
              <x v="1470"/>
              <x v="1471"/>
              <x v="1472"/>
              <x v="1473"/>
              <x v="1474"/>
              <x v="1475"/>
              <x v="1476"/>
              <x v="1477"/>
              <x v="1478"/>
              <x v="1479"/>
              <x v="1480"/>
              <x v="1481"/>
              <x v="1482"/>
              <x v="1483"/>
              <x v="1484"/>
              <x v="1485"/>
              <x v="1567"/>
              <x v="1576"/>
              <x v="1577"/>
              <x v="1874"/>
              <x v="1875"/>
              <x v="1929"/>
              <x v="1930"/>
              <x v="1931"/>
            </reference>
            <reference field="4" count="1" selected="0">
              <x v="5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43">
              <x v="105"/>
              <x v="106"/>
              <x v="107"/>
              <x v="108"/>
              <x v="109"/>
              <x v="181"/>
              <x v="182"/>
              <x v="183"/>
              <x v="184"/>
              <x v="185"/>
              <x v="186"/>
              <x v="187"/>
              <x v="188"/>
              <x v="189"/>
              <x v="190"/>
              <x v="191"/>
              <x v="779"/>
              <x v="780"/>
              <x v="834"/>
              <x v="835"/>
              <x v="836"/>
              <x v="837"/>
              <x v="854"/>
              <x v="855"/>
              <x v="1486"/>
              <x v="1487"/>
              <x v="1488"/>
              <x v="1489"/>
              <x v="1490"/>
              <x v="1491"/>
              <x v="1492"/>
              <x v="1493"/>
              <x v="1494"/>
              <x v="1495"/>
              <x v="1496"/>
              <x v="1497"/>
              <x v="1498"/>
              <x v="1499"/>
              <x v="1500"/>
              <x v="1501"/>
              <x v="1578"/>
              <x v="1599"/>
              <x v="1600"/>
            </reference>
            <reference field="4" count="1" selected="0">
              <x v="6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33">
              <x v="110"/>
              <x v="111"/>
              <x v="112"/>
              <x v="113"/>
              <x v="114"/>
              <x v="192"/>
              <x v="193"/>
              <x v="194"/>
              <x v="195"/>
              <x v="196"/>
              <x v="197"/>
              <x v="198"/>
              <x v="199"/>
              <x v="781"/>
              <x v="797"/>
              <x v="838"/>
              <x v="839"/>
              <x v="840"/>
              <x v="841"/>
              <x v="1502"/>
              <x v="1503"/>
              <x v="1504"/>
              <x v="1505"/>
              <x v="1506"/>
              <x v="1507"/>
              <x v="1508"/>
              <x v="1509"/>
              <x v="1510"/>
              <x v="1511"/>
              <x v="1512"/>
              <x v="1513"/>
              <x v="1932"/>
              <x v="1933"/>
            </reference>
            <reference field="4" count="1" selected="0">
              <x v="7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26">
              <x v="115"/>
              <x v="116"/>
              <x v="200"/>
              <x v="201"/>
              <x v="202"/>
              <x v="203"/>
              <x v="842"/>
              <x v="843"/>
              <x v="844"/>
              <x v="845"/>
              <x v="846"/>
              <x v="1514"/>
              <x v="1515"/>
              <x v="1516"/>
              <x v="1517"/>
              <x v="1518"/>
              <x v="1519"/>
              <x v="1520"/>
              <x v="1521"/>
              <x v="1522"/>
              <x v="1523"/>
              <x v="1524"/>
              <x v="1525"/>
              <x v="1526"/>
              <x v="1527"/>
              <x v="1528"/>
            </reference>
            <reference field="4" count="1" selected="0">
              <x v="8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3">
              <x v="204"/>
              <x v="273"/>
              <x v="274"/>
              <x v="1529"/>
              <x v="1530"/>
              <x v="1531"/>
              <x v="1532"/>
              <x v="1533"/>
              <x v="1534"/>
              <x v="1535"/>
              <x v="1536"/>
              <x v="1537"/>
              <x v="1601"/>
            </reference>
            <reference field="4" count="1" selected="0">
              <x v="9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1">
              <x v="205"/>
              <x v="206"/>
              <x v="1392"/>
              <x v="1538"/>
              <x v="1539"/>
              <x v="1540"/>
              <x v="1541"/>
              <x v="1542"/>
              <x v="1602"/>
              <x v="1603"/>
              <x v="1934"/>
            </reference>
            <reference field="4" count="1" selected="0">
              <x v="10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28">
              <x v="117"/>
              <x v="118"/>
              <x v="207"/>
              <x v="208"/>
              <x v="224"/>
              <x v="847"/>
              <x v="848"/>
              <x v="849"/>
              <x v="850"/>
              <x v="1543"/>
              <x v="1544"/>
              <x v="1545"/>
              <x v="1546"/>
              <x v="1547"/>
              <x v="1548"/>
              <x v="1549"/>
              <x v="1550"/>
              <x v="1551"/>
              <x v="1604"/>
              <x v="1605"/>
              <x v="1606"/>
              <x v="1607"/>
              <x v="1608"/>
              <x v="1609"/>
              <x v="1653"/>
              <x v="1654"/>
              <x v="1655"/>
              <x v="1876"/>
            </reference>
            <reference field="4" count="1" selected="0">
              <x v="11"/>
            </reference>
          </references>
        </pivotArea>
      </pivotAreas>
    </conditionalFormat>
    <conditionalFormat priority="2">
      <pivotAreas count="22"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054">
              <x v="0"/>
              <x v="119"/>
              <x v="209"/>
              <x v="210"/>
              <x v="211"/>
              <x v="212"/>
              <x v="213"/>
              <x v="214"/>
              <x v="215"/>
              <x v="216"/>
              <x v="217"/>
              <x v="218"/>
              <x v="219"/>
              <x v="220"/>
              <x v="221"/>
              <x v="222"/>
              <x v="223"/>
              <x v="225"/>
              <x v="226"/>
              <x v="227"/>
              <x v="228"/>
              <x v="229"/>
              <x v="230"/>
              <x v="231"/>
              <x v="232"/>
              <x v="233"/>
              <x v="234"/>
              <x v="235"/>
              <x v="236"/>
              <x v="237"/>
              <x v="238"/>
              <x v="239"/>
              <x v="240"/>
              <x v="241"/>
              <x v="242"/>
              <x v="243"/>
              <x v="244"/>
              <x v="245"/>
              <x v="246"/>
              <x v="247"/>
              <x v="248"/>
              <x v="249"/>
              <x v="250"/>
              <x v="251"/>
              <x v="252"/>
              <x v="253"/>
              <x v="254"/>
              <x v="255"/>
              <x v="256"/>
              <x v="257"/>
              <x v="258"/>
              <x v="259"/>
              <x v="260"/>
              <x v="275"/>
              <x v="276"/>
              <x v="277"/>
              <x v="278"/>
              <x v="279"/>
              <x v="280"/>
              <x v="281"/>
              <x v="282"/>
              <x v="283"/>
              <x v="284"/>
              <x v="285"/>
              <x v="286"/>
              <x v="287"/>
              <x v="288"/>
              <x v="289"/>
              <x v="290"/>
              <x v="291"/>
              <x v="292"/>
              <x v="293"/>
              <x v="294"/>
              <x v="295"/>
              <x v="296"/>
              <x v="297"/>
              <x v="298"/>
              <x v="299"/>
              <x v="300"/>
              <x v="301"/>
              <x v="302"/>
              <x v="303"/>
              <x v="304"/>
              <x v="305"/>
              <x v="306"/>
              <x v="307"/>
              <x v="308"/>
              <x v="309"/>
              <x v="310"/>
              <x v="311"/>
              <x v="312"/>
              <x v="313"/>
              <x v="314"/>
              <x v="315"/>
              <x v="316"/>
              <x v="317"/>
              <x v="318"/>
              <x v="319"/>
              <x v="320"/>
              <x v="321"/>
              <x v="322"/>
              <x v="323"/>
              <x v="324"/>
              <x v="325"/>
              <x v="326"/>
              <x v="327"/>
              <x v="328"/>
              <x v="329"/>
              <x v="330"/>
              <x v="331"/>
              <x v="332"/>
              <x v="333"/>
              <x v="334"/>
              <x v="335"/>
              <x v="336"/>
              <x v="337"/>
              <x v="338"/>
              <x v="339"/>
              <x v="340"/>
              <x v="341"/>
              <x v="342"/>
              <x v="343"/>
              <x v="344"/>
              <x v="345"/>
              <x v="346"/>
              <x v="347"/>
              <x v="348"/>
              <x v="349"/>
              <x v="350"/>
              <x v="351"/>
              <x v="352"/>
              <x v="353"/>
              <x v="354"/>
              <x v="355"/>
              <x v="356"/>
              <x v="357"/>
              <x v="358"/>
              <x v="359"/>
              <x v="360"/>
              <x v="361"/>
              <x v="362"/>
              <x v="363"/>
              <x v="364"/>
              <x v="365"/>
              <x v="366"/>
              <x v="367"/>
              <x v="368"/>
              <x v="369"/>
              <x v="370"/>
              <x v="371"/>
              <x v="372"/>
              <x v="373"/>
              <x v="374"/>
              <x v="375"/>
              <x v="376"/>
              <x v="377"/>
              <x v="378"/>
              <x v="379"/>
              <x v="380"/>
              <x v="381"/>
              <x v="382"/>
              <x v="383"/>
              <x v="384"/>
              <x v="385"/>
              <x v="386"/>
              <x v="387"/>
              <x v="388"/>
              <x v="389"/>
              <x v="390"/>
              <x v="391"/>
              <x v="392"/>
              <x v="393"/>
              <x v="394"/>
              <x v="395"/>
              <x v="396"/>
              <x v="397"/>
              <x v="398"/>
              <x v="399"/>
              <x v="400"/>
              <x v="401"/>
              <x v="402"/>
              <x v="403"/>
              <x v="404"/>
              <x v="425"/>
              <x v="426"/>
              <x v="427"/>
              <x v="428"/>
              <x v="429"/>
              <x v="430"/>
              <x v="431"/>
              <x v="432"/>
              <x v="433"/>
              <x v="434"/>
              <x v="435"/>
              <x v="436"/>
              <x v="437"/>
              <x v="438"/>
              <x v="439"/>
              <x v="440"/>
              <x v="441"/>
              <x v="442"/>
              <x v="443"/>
              <x v="444"/>
              <x v="445"/>
              <x v="446"/>
              <x v="447"/>
              <x v="448"/>
              <x v="449"/>
              <x v="450"/>
              <x v="451"/>
              <x v="452"/>
              <x v="453"/>
              <x v="454"/>
              <x v="455"/>
              <x v="456"/>
              <x v="457"/>
              <x v="458"/>
              <x v="459"/>
              <x v="460"/>
              <x v="461"/>
              <x v="462"/>
              <x v="463"/>
              <x v="464"/>
              <x v="465"/>
              <x v="466"/>
              <x v="467"/>
              <x v="468"/>
              <x v="469"/>
              <x v="470"/>
              <x v="471"/>
              <x v="472"/>
              <x v="473"/>
              <x v="474"/>
              <x v="475"/>
              <x v="476"/>
              <x v="477"/>
              <x v="478"/>
              <x v="479"/>
              <x v="480"/>
              <x v="481"/>
              <x v="482"/>
              <x v="483"/>
              <x v="484"/>
              <x v="485"/>
              <x v="486"/>
              <x v="487"/>
              <x v="488"/>
              <x v="489"/>
              <x v="490"/>
              <x v="491"/>
              <x v="492"/>
              <x v="493"/>
              <x v="494"/>
              <x v="495"/>
              <x v="496"/>
              <x v="497"/>
              <x v="498"/>
              <x v="499"/>
              <x v="500"/>
              <x v="501"/>
              <x v="502"/>
              <x v="503"/>
              <x v="504"/>
              <x v="505"/>
              <x v="506"/>
              <x v="507"/>
              <x v="508"/>
              <x v="509"/>
              <x v="510"/>
              <x v="511"/>
              <x v="512"/>
              <x v="513"/>
              <x v="514"/>
              <x v="515"/>
              <x v="516"/>
              <x v="517"/>
              <x v="518"/>
              <x v="519"/>
              <x v="520"/>
              <x v="521"/>
              <x v="522"/>
              <x v="523"/>
              <x v="524"/>
              <x v="525"/>
              <x v="526"/>
              <x v="527"/>
              <x v="528"/>
              <x v="529"/>
              <x v="530"/>
              <x v="531"/>
              <x v="532"/>
              <x v="533"/>
              <x v="534"/>
              <x v="535"/>
              <x v="536"/>
              <x v="537"/>
              <x v="538"/>
              <x v="539"/>
              <x v="540"/>
              <x v="541"/>
              <x v="542"/>
              <x v="543"/>
              <x v="544"/>
              <x v="545"/>
              <x v="546"/>
              <x v="547"/>
              <x v="548"/>
              <x v="549"/>
              <x v="550"/>
              <x v="551"/>
              <x v="552"/>
              <x v="553"/>
              <x v="554"/>
              <x v="555"/>
              <x v="556"/>
              <x v="557"/>
              <x v="558"/>
              <x v="559"/>
              <x v="560"/>
              <x v="561"/>
              <x v="562"/>
              <x v="563"/>
              <x v="564"/>
              <x v="565"/>
              <x v="566"/>
              <x v="567"/>
              <x v="568"/>
              <x v="569"/>
              <x v="570"/>
              <x v="571"/>
              <x v="572"/>
              <x v="573"/>
              <x v="574"/>
              <x v="575"/>
              <x v="576"/>
              <x v="577"/>
              <x v="578"/>
              <x v="579"/>
              <x v="580"/>
              <x v="581"/>
              <x v="582"/>
              <x v="583"/>
              <x v="584"/>
              <x v="585"/>
              <x v="586"/>
              <x v="587"/>
              <x v="588"/>
              <x v="589"/>
              <x v="590"/>
              <x v="591"/>
              <x v="592"/>
              <x v="593"/>
              <x v="594"/>
              <x v="595"/>
              <x v="596"/>
              <x v="597"/>
              <x v="598"/>
              <x v="599"/>
              <x v="600"/>
              <x v="601"/>
              <x v="602"/>
              <x v="603"/>
              <x v="604"/>
              <x v="605"/>
              <x v="606"/>
              <x v="607"/>
              <x v="608"/>
              <x v="609"/>
              <x v="610"/>
              <x v="611"/>
              <x v="612"/>
              <x v="613"/>
              <x v="614"/>
              <x v="615"/>
              <x v="616"/>
              <x v="617"/>
              <x v="618"/>
              <x v="619"/>
              <x v="620"/>
              <x v="621"/>
              <x v="622"/>
              <x v="623"/>
              <x v="624"/>
              <x v="625"/>
              <x v="626"/>
              <x v="627"/>
              <x v="628"/>
              <x v="629"/>
              <x v="630"/>
              <x v="631"/>
              <x v="632"/>
              <x v="633"/>
              <x v="634"/>
              <x v="635"/>
              <x v="636"/>
              <x v="637"/>
              <x v="638"/>
              <x v="639"/>
              <x v="640"/>
              <x v="641"/>
              <x v="642"/>
              <x v="643"/>
              <x v="644"/>
              <x v="645"/>
              <x v="646"/>
              <x v="647"/>
              <x v="648"/>
              <x v="649"/>
              <x v="650"/>
              <x v="651"/>
              <x v="652"/>
              <x v="653"/>
              <x v="654"/>
              <x v="655"/>
              <x v="656"/>
              <x v="657"/>
              <x v="658"/>
              <x v="659"/>
              <x v="660"/>
              <x v="661"/>
              <x v="662"/>
              <x v="663"/>
              <x v="664"/>
              <x v="665"/>
              <x v="666"/>
              <x v="667"/>
              <x v="668"/>
              <x v="669"/>
              <x v="670"/>
              <x v="671"/>
              <x v="856"/>
              <x v="857"/>
              <x v="858"/>
              <x v="859"/>
              <x v="860"/>
              <x v="861"/>
              <x v="862"/>
              <x v="863"/>
              <x v="864"/>
              <x v="865"/>
              <x v="866"/>
              <x v="867"/>
              <x v="868"/>
              <x v="869"/>
              <x v="870"/>
              <x v="871"/>
              <x v="872"/>
              <x v="873"/>
              <x v="874"/>
              <x v="875"/>
              <x v="876"/>
              <x v="877"/>
              <x v="878"/>
              <x v="879"/>
              <x v="880"/>
              <x v="881"/>
              <x v="882"/>
              <x v="883"/>
              <x v="884"/>
              <x v="885"/>
              <x v="886"/>
              <x v="887"/>
              <x v="888"/>
              <x v="889"/>
              <x v="890"/>
              <x v="891"/>
              <x v="892"/>
              <x v="893"/>
              <x v="894"/>
              <x v="895"/>
              <x v="896"/>
              <x v="897"/>
              <x v="898"/>
              <x v="899"/>
              <x v="968"/>
              <x v="969"/>
              <x v="970"/>
              <x v="971"/>
              <x v="972"/>
              <x v="973"/>
              <x v="974"/>
              <x v="975"/>
              <x v="976"/>
              <x v="977"/>
              <x v="978"/>
              <x v="979"/>
              <x v="980"/>
              <x v="981"/>
              <x v="982"/>
              <x v="983"/>
              <x v="984"/>
              <x v="985"/>
              <x v="986"/>
              <x v="987"/>
              <x v="988"/>
              <x v="989"/>
              <x v="990"/>
              <x v="991"/>
              <x v="992"/>
              <x v="993"/>
              <x v="994"/>
              <x v="995"/>
              <x v="996"/>
              <x v="997"/>
              <x v="998"/>
              <x v="999"/>
              <x v="1000"/>
              <x v="1001"/>
              <x v="1002"/>
              <x v="1003"/>
              <x v="1004"/>
              <x v="1005"/>
              <x v="1006"/>
              <x v="1007"/>
              <x v="1008"/>
              <x v="1009"/>
              <x v="1010"/>
              <x v="1011"/>
              <x v="1012"/>
              <x v="1013"/>
              <x v="1014"/>
              <x v="1015"/>
              <x v="1016"/>
              <x v="1017"/>
              <x v="1018"/>
              <x v="1019"/>
              <x v="1020"/>
              <x v="1021"/>
              <x v="1022"/>
              <x v="1023"/>
              <x v="1024"/>
              <x v="1025"/>
              <x v="1026"/>
              <x v="1027"/>
              <x v="1028"/>
              <x v="1029"/>
              <x v="1030"/>
              <x v="1031"/>
              <x v="1032"/>
              <x v="1033"/>
              <x v="1034"/>
              <x v="1035"/>
              <x v="1036"/>
              <x v="1037"/>
              <x v="1038"/>
              <x v="1039"/>
              <x v="1040"/>
              <x v="1041"/>
              <x v="1042"/>
              <x v="1043"/>
              <x v="1044"/>
              <x v="1045"/>
              <x v="1046"/>
              <x v="1047"/>
              <x v="1048"/>
              <x v="1049"/>
              <x v="1050"/>
              <x v="1051"/>
              <x v="1052"/>
              <x v="1053"/>
              <x v="1054"/>
              <x v="1055"/>
              <x v="1056"/>
              <x v="1057"/>
              <x v="1058"/>
              <x v="1059"/>
              <x v="1060"/>
              <x v="1061"/>
              <x v="1062"/>
              <x v="1063"/>
              <x v="1064"/>
              <x v="1065"/>
              <x v="1066"/>
              <x v="1067"/>
              <x v="1068"/>
              <x v="1069"/>
              <x v="1070"/>
              <x v="1071"/>
              <x v="1072"/>
              <x v="1073"/>
              <x v="1074"/>
              <x v="1075"/>
              <x v="1076"/>
              <x v="1077"/>
              <x v="1078"/>
              <x v="1079"/>
              <x v="1080"/>
              <x v="1081"/>
              <x v="1082"/>
              <x v="1083"/>
              <x v="1084"/>
              <x v="1085"/>
              <x v="1086"/>
              <x v="1087"/>
              <x v="1088"/>
              <x v="1089"/>
              <x v="1090"/>
              <x v="1091"/>
              <x v="1092"/>
              <x v="1093"/>
              <x v="1094"/>
              <x v="1095"/>
              <x v="1096"/>
              <x v="1097"/>
              <x v="1098"/>
              <x v="1099"/>
              <x v="1100"/>
              <x v="1101"/>
              <x v="1102"/>
              <x v="1103"/>
              <x v="1104"/>
              <x v="1105"/>
              <x v="1106"/>
              <x v="1107"/>
              <x v="1108"/>
              <x v="1109"/>
              <x v="1110"/>
              <x v="1111"/>
              <x v="1112"/>
              <x v="1113"/>
              <x v="1114"/>
              <x v="1115"/>
              <x v="1116"/>
              <x v="1117"/>
              <x v="1118"/>
              <x v="1119"/>
              <x v="1120"/>
              <x v="1121"/>
              <x v="1122"/>
              <x v="1123"/>
              <x v="1124"/>
              <x v="1125"/>
              <x v="1126"/>
              <x v="1127"/>
              <x v="1128"/>
              <x v="1129"/>
              <x v="1130"/>
              <x v="1131"/>
              <x v="1132"/>
              <x v="1133"/>
              <x v="1134"/>
              <x v="1135"/>
              <x v="1136"/>
              <x v="1137"/>
              <x v="1138"/>
              <x v="1139"/>
              <x v="1140"/>
              <x v="1141"/>
              <x v="1142"/>
              <x v="1143"/>
              <x v="1144"/>
              <x v="1145"/>
              <x v="1146"/>
              <x v="1147"/>
              <x v="1148"/>
              <x v="1149"/>
              <x v="1150"/>
              <x v="1151"/>
              <x v="1152"/>
              <x v="1153"/>
              <x v="1154"/>
              <x v="1155"/>
              <x v="1156"/>
              <x v="1157"/>
              <x v="1158"/>
              <x v="1159"/>
              <x v="1160"/>
              <x v="1161"/>
              <x v="1162"/>
              <x v="1163"/>
              <x v="1164"/>
              <x v="1165"/>
              <x v="1166"/>
              <x v="1167"/>
              <x v="1168"/>
              <x v="1169"/>
              <x v="1170"/>
              <x v="1171"/>
              <x v="1172"/>
              <x v="1173"/>
              <x v="1174"/>
              <x v="1175"/>
              <x v="1176"/>
              <x v="1177"/>
              <x v="1178"/>
              <x v="1179"/>
              <x v="1180"/>
              <x v="1181"/>
              <x v="1182"/>
              <x v="1183"/>
              <x v="1184"/>
              <x v="1185"/>
              <x v="1186"/>
              <x v="1187"/>
              <x v="1188"/>
              <x v="1189"/>
              <x v="1190"/>
              <x v="1191"/>
              <x v="1192"/>
              <x v="1193"/>
              <x v="1194"/>
              <x v="1195"/>
              <x v="1196"/>
              <x v="1197"/>
              <x v="1198"/>
              <x v="1199"/>
              <x v="1200"/>
              <x v="1201"/>
              <x v="1202"/>
              <x v="1203"/>
              <x v="1204"/>
              <x v="1205"/>
              <x v="1206"/>
              <x v="1207"/>
              <x v="1208"/>
              <x v="1209"/>
              <x v="1210"/>
              <x v="1211"/>
              <x v="1212"/>
              <x v="1213"/>
              <x v="1214"/>
              <x v="1215"/>
              <x v="1216"/>
              <x v="1217"/>
              <x v="1218"/>
              <x v="1219"/>
              <x v="1220"/>
              <x v="1221"/>
              <x v="1222"/>
              <x v="1223"/>
              <x v="1224"/>
              <x v="1225"/>
              <x v="1226"/>
              <x v="1227"/>
              <x v="1228"/>
              <x v="1229"/>
              <x v="1230"/>
              <x v="1231"/>
              <x v="1232"/>
              <x v="1233"/>
              <x v="1234"/>
              <x v="1235"/>
              <x v="1236"/>
              <x v="1237"/>
              <x v="1238"/>
              <x v="1239"/>
              <x v="1240"/>
              <x v="1241"/>
              <x v="1242"/>
              <x v="1243"/>
              <x v="1244"/>
              <x v="1245"/>
              <x v="1246"/>
              <x v="1247"/>
              <x v="1248"/>
              <x v="1249"/>
              <x v="1250"/>
              <x v="1251"/>
              <x v="1252"/>
              <x v="1253"/>
              <x v="1254"/>
              <x v="1255"/>
              <x v="1256"/>
              <x v="1257"/>
              <x v="1258"/>
              <x v="1259"/>
              <x v="1260"/>
              <x v="1261"/>
              <x v="1262"/>
              <x v="1263"/>
              <x v="1264"/>
              <x v="1265"/>
              <x v="1266"/>
              <x v="1267"/>
              <x v="1268"/>
              <x v="1269"/>
              <x v="1270"/>
              <x v="1271"/>
              <x v="1272"/>
              <x v="1273"/>
              <x v="1274"/>
              <x v="1275"/>
              <x v="1276"/>
              <x v="1277"/>
              <x v="1278"/>
              <x v="1279"/>
              <x v="1280"/>
              <x v="1281"/>
              <x v="1282"/>
              <x v="1283"/>
              <x v="1284"/>
              <x v="1285"/>
              <x v="1286"/>
              <x v="1287"/>
              <x v="1288"/>
              <x v="1289"/>
              <x v="1290"/>
              <x v="1291"/>
              <x v="1292"/>
              <x v="1293"/>
              <x v="1294"/>
              <x v="1295"/>
              <x v="1296"/>
              <x v="1297"/>
              <x v="1298"/>
              <x v="1299"/>
              <x v="1300"/>
              <x v="1301"/>
              <x v="1302"/>
              <x v="1303"/>
              <x v="1304"/>
              <x v="1305"/>
              <x v="1306"/>
              <x v="1307"/>
              <x v="1308"/>
              <x v="1309"/>
              <x v="1310"/>
              <x v="1311"/>
              <x v="1312"/>
              <x v="1313"/>
              <x v="1314"/>
              <x v="1315"/>
              <x v="1316"/>
              <x v="1317"/>
              <x v="1318"/>
              <x v="1319"/>
              <x v="1320"/>
              <x v="1321"/>
              <x v="1322"/>
              <x v="1323"/>
              <x v="1324"/>
              <x v="1325"/>
              <x v="1326"/>
              <x v="1327"/>
              <x v="1328"/>
              <x v="1329"/>
              <x v="1330"/>
              <x v="1331"/>
              <x v="1332"/>
              <x v="1333"/>
              <x v="1334"/>
              <x v="1335"/>
              <x v="1336"/>
              <x v="1337"/>
              <x v="1338"/>
              <x v="1339"/>
              <x v="1340"/>
              <x v="1341"/>
              <x v="1342"/>
              <x v="1343"/>
              <x v="1344"/>
              <x v="1345"/>
              <x v="1346"/>
              <x v="1347"/>
              <x v="1348"/>
              <x v="1349"/>
              <x v="1350"/>
              <x v="1351"/>
              <x v="1352"/>
              <x v="1353"/>
              <x v="1354"/>
              <x v="1355"/>
              <x v="1356"/>
              <x v="1357"/>
              <x v="1358"/>
              <x v="1359"/>
              <x v="1360"/>
              <x v="1361"/>
              <x v="1362"/>
              <x v="1363"/>
              <x v="1364"/>
              <x v="1365"/>
              <x v="1393"/>
              <x v="1394"/>
              <x v="1395"/>
              <x v="1396"/>
              <x v="1397"/>
              <x v="1579"/>
              <x v="1583"/>
              <x v="1584"/>
              <x v="1585"/>
              <x v="1586"/>
              <x v="1587"/>
              <x v="1588"/>
              <x v="1589"/>
              <x v="1590"/>
              <x v="1591"/>
              <x v="1592"/>
              <x v="1593"/>
              <x v="1594"/>
              <x v="1595"/>
              <x v="1596"/>
              <x v="1597"/>
              <x v="1610"/>
              <x v="1611"/>
              <x v="1612"/>
              <x v="1613"/>
              <x v="1614"/>
              <x v="1615"/>
              <x v="1616"/>
              <x v="1617"/>
              <x v="1618"/>
              <x v="1619"/>
              <x v="1620"/>
              <x v="1621"/>
              <x v="1622"/>
              <x v="1623"/>
              <x v="1624"/>
              <x v="1625"/>
              <x v="1626"/>
              <x v="1627"/>
              <x v="1628"/>
              <x v="1629"/>
              <x v="1630"/>
              <x v="1631"/>
              <x v="1632"/>
              <x v="1633"/>
              <x v="1634"/>
              <x v="1635"/>
              <x v="1636"/>
              <x v="1637"/>
              <x v="1638"/>
              <x v="1639"/>
              <x v="1640"/>
              <x v="1641"/>
              <x v="1642"/>
              <x v="1643"/>
              <x v="1644"/>
              <x v="1645"/>
              <x v="1646"/>
              <x v="1647"/>
              <x v="1648"/>
              <x v="1649"/>
              <x v="1650"/>
              <x v="1656"/>
              <x v="1657"/>
              <x v="1658"/>
              <x v="1659"/>
              <x v="1660"/>
              <x v="1661"/>
              <x v="1662"/>
              <x v="1663"/>
              <x v="1664"/>
              <x v="1665"/>
              <x v="1666"/>
              <x v="1667"/>
              <x v="1668"/>
              <x v="1669"/>
              <x v="1670"/>
              <x v="1693"/>
              <x v="1694"/>
              <x v="1696"/>
              <x v="1697"/>
              <x v="1698"/>
              <x v="1699"/>
              <x v="1700"/>
              <x v="1701"/>
              <x v="1702"/>
              <x v="1703"/>
              <x v="1704"/>
              <x v="1705"/>
              <x v="1706"/>
              <x v="1707"/>
              <x v="1708"/>
              <x v="1709"/>
              <x v="1710"/>
              <x v="1711"/>
              <x v="1712"/>
              <x v="1713"/>
              <x v="1714"/>
              <x v="1715"/>
              <x v="1716"/>
              <x v="1717"/>
              <x v="1718"/>
              <x v="1719"/>
              <x v="1720"/>
              <x v="1721"/>
              <x v="1722"/>
              <x v="1723"/>
              <x v="1724"/>
              <x v="1725"/>
              <x v="1726"/>
              <x v="1727"/>
              <x v="1728"/>
              <x v="1747"/>
              <x v="1748"/>
              <x v="1749"/>
              <x v="1750"/>
              <x v="1751"/>
              <x v="1752"/>
              <x v="1753"/>
              <x v="1754"/>
              <x v="1755"/>
              <x v="1756"/>
              <x v="1757"/>
              <x v="1758"/>
              <x v="1759"/>
              <x v="1760"/>
              <x v="1761"/>
              <x v="1762"/>
              <x v="1763"/>
              <x v="1764"/>
              <x v="1765"/>
              <x v="1766"/>
              <x v="1767"/>
              <x v="1768"/>
              <x v="1769"/>
              <x v="1770"/>
              <x v="1771"/>
              <x v="1772"/>
              <x v="1773"/>
              <x v="1774"/>
              <x v="1775"/>
              <x v="1776"/>
              <x v="1777"/>
              <x v="1778"/>
              <x v="1779"/>
              <x v="1780"/>
              <x v="1781"/>
              <x v="1782"/>
              <x v="1783"/>
              <x v="1784"/>
              <x v="1877"/>
              <x v="1878"/>
              <x v="1879"/>
              <x v="1880"/>
              <x v="1881"/>
              <x v="1882"/>
              <x v="1883"/>
              <x v="1884"/>
              <x v="1885"/>
              <x v="1886"/>
              <x v="1887"/>
              <x v="1888"/>
              <x v="1889"/>
              <x v="1890"/>
              <x v="1891"/>
              <x v="1892"/>
              <x v="1893"/>
              <x v="1894"/>
              <x v="1895"/>
              <x v="1896"/>
              <x v="1897"/>
              <x v="1898"/>
              <x v="1899"/>
              <x v="1900"/>
              <x v="1901"/>
              <x v="1902"/>
              <x v="1903"/>
              <x v="1904"/>
              <x v="1905"/>
              <x v="1906"/>
              <x v="1907"/>
              <x v="1908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384"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120"/>
              <x v="121"/>
              <x v="122"/>
              <x v="123"/>
              <x v="124"/>
              <x v="125"/>
              <x v="126"/>
              <x v="127"/>
              <x v="128"/>
              <x v="129"/>
              <x v="130"/>
              <x v="131"/>
              <x v="132"/>
              <x v="261"/>
              <x v="405"/>
              <x v="406"/>
              <x v="407"/>
              <x v="408"/>
              <x v="409"/>
              <x v="410"/>
              <x v="411"/>
              <x v="412"/>
              <x v="413"/>
              <x v="414"/>
              <x v="415"/>
              <x v="416"/>
              <x v="417"/>
              <x v="418"/>
              <x v="419"/>
              <x v="420"/>
              <x v="421"/>
              <x v="422"/>
              <x v="423"/>
              <x v="424"/>
              <x v="672"/>
              <x v="673"/>
              <x v="674"/>
              <x v="675"/>
              <x v="676"/>
              <x v="677"/>
              <x v="678"/>
              <x v="679"/>
              <x v="680"/>
              <x v="681"/>
              <x v="682"/>
              <x v="683"/>
              <x v="684"/>
              <x v="685"/>
              <x v="686"/>
              <x v="687"/>
              <x v="688"/>
              <x v="689"/>
              <x v="690"/>
              <x v="691"/>
              <x v="692"/>
              <x v="693"/>
              <x v="694"/>
              <x v="695"/>
              <x v="696"/>
              <x v="697"/>
              <x v="698"/>
              <x v="699"/>
              <x v="700"/>
              <x v="701"/>
              <x v="702"/>
              <x v="703"/>
              <x v="704"/>
              <x v="705"/>
              <x v="706"/>
              <x v="707"/>
              <x v="708"/>
              <x v="709"/>
              <x v="710"/>
              <x v="711"/>
              <x v="712"/>
              <x v="713"/>
              <x v="714"/>
              <x v="715"/>
              <x v="716"/>
              <x v="717"/>
              <x v="718"/>
              <x v="719"/>
              <x v="720"/>
              <x v="721"/>
              <x v="722"/>
              <x v="723"/>
              <x v="724"/>
              <x v="725"/>
              <x v="726"/>
              <x v="727"/>
              <x v="728"/>
              <x v="729"/>
              <x v="730"/>
              <x v="731"/>
              <x v="732"/>
              <x v="733"/>
              <x v="734"/>
              <x v="735"/>
              <x v="736"/>
              <x v="737"/>
              <x v="738"/>
              <x v="739"/>
              <x v="740"/>
              <x v="741"/>
              <x v="742"/>
              <x v="743"/>
              <x v="744"/>
              <x v="745"/>
              <x v="746"/>
              <x v="747"/>
              <x v="748"/>
              <x v="749"/>
              <x v="750"/>
              <x v="751"/>
              <x v="752"/>
              <x v="753"/>
              <x v="754"/>
              <x v="755"/>
              <x v="767"/>
              <x v="782"/>
              <x v="783"/>
              <x v="784"/>
              <x v="785"/>
              <x v="786"/>
              <x v="787"/>
              <x v="788"/>
              <x v="789"/>
              <x v="790"/>
              <x v="791"/>
              <x v="798"/>
              <x v="799"/>
              <x v="800"/>
              <x v="801"/>
              <x v="802"/>
              <x v="803"/>
              <x v="804"/>
              <x v="805"/>
              <x v="806"/>
              <x v="807"/>
              <x v="808"/>
              <x v="809"/>
              <x v="810"/>
              <x v="811"/>
              <x v="812"/>
              <x v="813"/>
              <x v="814"/>
              <x v="815"/>
              <x v="900"/>
              <x v="901"/>
              <x v="902"/>
              <x v="903"/>
              <x v="904"/>
              <x v="905"/>
              <x v="906"/>
              <x v="907"/>
              <x v="908"/>
              <x v="909"/>
              <x v="910"/>
              <x v="911"/>
              <x v="912"/>
              <x v="913"/>
              <x v="914"/>
              <x v="915"/>
              <x v="916"/>
              <x v="917"/>
              <x v="918"/>
              <x v="919"/>
              <x v="920"/>
              <x v="921"/>
              <x v="922"/>
              <x v="923"/>
              <x v="924"/>
              <x v="925"/>
              <x v="926"/>
              <x v="927"/>
              <x v="928"/>
              <x v="929"/>
              <x v="930"/>
              <x v="931"/>
              <x v="932"/>
              <x v="933"/>
              <x v="934"/>
              <x v="935"/>
              <x v="936"/>
              <x v="937"/>
              <x v="938"/>
              <x v="939"/>
              <x v="940"/>
              <x v="941"/>
              <x v="942"/>
              <x v="943"/>
              <x v="944"/>
              <x v="945"/>
              <x v="946"/>
              <x v="947"/>
              <x v="948"/>
              <x v="949"/>
              <x v="950"/>
              <x v="951"/>
              <x v="952"/>
              <x v="953"/>
              <x v="954"/>
              <x v="955"/>
              <x v="956"/>
              <x v="957"/>
              <x v="1366"/>
              <x v="1367"/>
              <x v="1368"/>
              <x v="1369"/>
              <x v="1370"/>
              <x v="1371"/>
              <x v="1372"/>
              <x v="1373"/>
              <x v="1374"/>
              <x v="1375"/>
              <x v="1376"/>
              <x v="1377"/>
              <x v="1378"/>
              <x v="1379"/>
              <x v="1380"/>
              <x v="1381"/>
              <x v="1382"/>
              <x v="1383"/>
              <x v="1384"/>
              <x v="1385"/>
              <x v="1386"/>
              <x v="1387"/>
              <x v="1388"/>
              <x v="1389"/>
              <x v="1390"/>
              <x v="1391"/>
              <x v="1398"/>
              <x v="1399"/>
              <x v="1400"/>
              <x v="1401"/>
              <x v="1402"/>
              <x v="1403"/>
              <x v="1404"/>
              <x v="1405"/>
              <x v="1406"/>
              <x v="1407"/>
              <x v="1408"/>
              <x v="1409"/>
              <x v="1410"/>
              <x v="1411"/>
              <x v="1412"/>
              <x v="1413"/>
              <x v="1414"/>
              <x v="1415"/>
              <x v="1416"/>
              <x v="1417"/>
              <x v="1418"/>
              <x v="1419"/>
              <x v="1420"/>
              <x v="1421"/>
              <x v="1552"/>
              <x v="1553"/>
              <x v="1554"/>
              <x v="1555"/>
              <x v="1556"/>
              <x v="1557"/>
              <x v="1558"/>
              <x v="1559"/>
              <x v="1560"/>
              <x v="1568"/>
              <x v="1569"/>
              <x v="1580"/>
              <x v="1581"/>
              <x v="1651"/>
              <x v="1652"/>
              <x v="1671"/>
              <x v="1672"/>
              <x v="1673"/>
              <x v="1674"/>
              <x v="1675"/>
              <x v="1676"/>
              <x v="1677"/>
              <x v="1678"/>
              <x v="1679"/>
              <x v="1680"/>
              <x v="1681"/>
              <x v="1682"/>
              <x v="1683"/>
              <x v="1684"/>
              <x v="1685"/>
              <x v="1695"/>
              <x v="1729"/>
              <x v="1730"/>
              <x v="1731"/>
              <x v="1732"/>
              <x v="1733"/>
              <x v="1734"/>
              <x v="1735"/>
              <x v="1736"/>
              <x v="1737"/>
              <x v="1785"/>
              <x v="1786"/>
              <x v="1787"/>
              <x v="1788"/>
              <x v="1789"/>
              <x v="1790"/>
              <x v="1791"/>
              <x v="1792"/>
              <x v="1793"/>
              <x v="1794"/>
              <x v="1795"/>
              <x v="1796"/>
              <x v="1797"/>
              <x v="1798"/>
              <x v="1799"/>
              <x v="1800"/>
              <x v="1801"/>
              <x v="1802"/>
              <x v="1803"/>
              <x v="1804"/>
              <x v="1805"/>
              <x v="1806"/>
              <x v="1807"/>
              <x v="1808"/>
              <x v="1809"/>
              <x v="1810"/>
              <x v="1811"/>
              <x v="1812"/>
              <x v="1813"/>
              <x v="1814"/>
              <x v="1815"/>
              <x v="1816"/>
              <x v="1817"/>
              <x v="1818"/>
              <x v="1819"/>
              <x v="1820"/>
              <x v="1821"/>
              <x v="1822"/>
              <x v="1909"/>
              <x v="1910"/>
              <x v="1911"/>
              <x v="1912"/>
              <x v="1913"/>
              <x v="1914"/>
              <x v="1915"/>
              <x v="1919"/>
              <x v="1920"/>
              <x v="1921"/>
              <x v="1922"/>
              <x v="1923"/>
              <x v="1924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65">
              <x v="39"/>
              <x v="40"/>
              <x v="41"/>
              <x v="42"/>
              <x v="43"/>
              <x v="44"/>
              <x v="45"/>
              <x v="46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133"/>
              <x v="134"/>
              <x v="135"/>
              <x v="136"/>
              <x v="137"/>
              <x v="138"/>
              <x v="139"/>
              <x v="140"/>
              <x v="141"/>
              <x v="142"/>
              <x v="143"/>
              <x v="144"/>
              <x v="262"/>
              <x v="263"/>
              <x v="756"/>
              <x v="757"/>
              <x v="758"/>
              <x v="759"/>
              <x v="760"/>
              <x v="761"/>
              <x v="762"/>
              <x v="763"/>
              <x v="764"/>
              <x v="765"/>
              <x v="766"/>
              <x v="768"/>
              <x v="769"/>
              <x v="770"/>
              <x v="792"/>
              <x v="793"/>
              <x v="794"/>
              <x v="795"/>
              <x v="816"/>
              <x v="817"/>
              <x v="818"/>
              <x v="819"/>
              <x v="821"/>
              <x v="822"/>
              <x v="823"/>
              <x v="958"/>
              <x v="959"/>
              <x v="960"/>
              <x v="961"/>
              <x v="962"/>
              <x v="963"/>
              <x v="964"/>
              <x v="1422"/>
              <x v="1423"/>
              <x v="1424"/>
              <x v="1425"/>
              <x v="1426"/>
              <x v="1427"/>
              <x v="1428"/>
              <x v="1429"/>
              <x v="1430"/>
              <x v="1431"/>
              <x v="1432"/>
              <x v="1433"/>
              <x v="1434"/>
              <x v="1435"/>
              <x v="1436"/>
              <x v="1437"/>
              <x v="1438"/>
              <x v="1439"/>
              <x v="1440"/>
              <x v="1441"/>
              <x v="1442"/>
              <x v="1443"/>
              <x v="1444"/>
              <x v="1445"/>
              <x v="1446"/>
              <x v="1447"/>
              <x v="1448"/>
              <x v="1449"/>
              <x v="1450"/>
              <x v="1451"/>
              <x v="1452"/>
              <x v="1453"/>
              <x v="1561"/>
              <x v="1562"/>
              <x v="1563"/>
              <x v="1564"/>
              <x v="1565"/>
              <x v="1570"/>
              <x v="1571"/>
              <x v="1582"/>
              <x v="1686"/>
              <x v="1687"/>
              <x v="1738"/>
              <x v="1739"/>
              <x v="1740"/>
              <x v="1741"/>
              <x v="1742"/>
              <x v="1743"/>
              <x v="1744"/>
              <x v="1745"/>
              <x v="1746"/>
              <x v="1823"/>
              <x v="1824"/>
              <x v="1825"/>
              <x v="1826"/>
              <x v="1827"/>
              <x v="1828"/>
              <x v="1829"/>
              <x v="1830"/>
              <x v="1831"/>
              <x v="1832"/>
              <x v="1833"/>
              <x v="1834"/>
              <x v="1835"/>
              <x v="1836"/>
              <x v="1837"/>
              <x v="1838"/>
              <x v="1839"/>
              <x v="1840"/>
              <x v="1841"/>
              <x v="1842"/>
              <x v="1843"/>
              <x v="1844"/>
              <x v="1845"/>
              <x v="1846"/>
              <x v="1847"/>
              <x v="1848"/>
              <x v="1849"/>
              <x v="1850"/>
              <x v="1851"/>
              <x v="1916"/>
              <x v="1925"/>
              <x v="1926"/>
              <x v="1927"/>
              <x v="1928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02">
              <x v="73"/>
              <x v="74"/>
              <x v="75"/>
              <x v="76"/>
              <x v="77"/>
              <x v="78"/>
              <x v="79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145"/>
              <x v="146"/>
              <x v="147"/>
              <x v="148"/>
              <x v="149"/>
              <x v="150"/>
              <x v="151"/>
              <x v="152"/>
              <x v="153"/>
              <x v="154"/>
              <x v="155"/>
              <x v="156"/>
              <x v="157"/>
              <x v="158"/>
              <x v="159"/>
              <x v="264"/>
              <x v="265"/>
              <x v="266"/>
              <x v="267"/>
              <x v="771"/>
              <x v="772"/>
              <x v="773"/>
              <x v="774"/>
              <x v="796"/>
              <x v="820"/>
              <x v="824"/>
              <x v="825"/>
              <x v="826"/>
              <x v="827"/>
              <x v="828"/>
              <x v="965"/>
              <x v="966"/>
              <x v="967"/>
              <x v="1454"/>
              <x v="1455"/>
              <x v="1456"/>
              <x v="1457"/>
              <x v="1458"/>
              <x v="1459"/>
              <x v="1460"/>
              <x v="1461"/>
              <x v="1462"/>
              <x v="1463"/>
              <x v="1464"/>
              <x v="1465"/>
              <x v="1466"/>
              <x v="1467"/>
              <x v="1566"/>
              <x v="1572"/>
              <x v="1573"/>
              <x v="1574"/>
              <x v="1575"/>
              <x v="1598"/>
              <x v="1688"/>
              <x v="1689"/>
              <x v="1690"/>
              <x v="1691"/>
              <x v="1692"/>
              <x v="1852"/>
              <x v="1853"/>
              <x v="1854"/>
              <x v="1855"/>
              <x v="1856"/>
              <x v="1857"/>
              <x v="1858"/>
              <x v="1859"/>
              <x v="1860"/>
              <x v="1861"/>
              <x v="1862"/>
              <x v="1863"/>
              <x v="1864"/>
              <x v="1865"/>
              <x v="1866"/>
              <x v="1867"/>
              <x v="1868"/>
              <x v="1869"/>
              <x v="1870"/>
              <x v="1871"/>
              <x v="1872"/>
              <x v="1873"/>
              <x v="1917"/>
              <x v="1918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76">
              <x v="93"/>
              <x v="94"/>
              <x v="95"/>
              <x v="96"/>
              <x v="97"/>
              <x v="98"/>
              <x v="99"/>
              <x v="100"/>
              <x v="101"/>
              <x v="102"/>
              <x v="103"/>
              <x v="104"/>
              <x v="160"/>
              <x v="161"/>
              <x v="162"/>
              <x v="163"/>
              <x v="164"/>
              <x v="165"/>
              <x v="166"/>
              <x v="167"/>
              <x v="168"/>
              <x v="169"/>
              <x v="170"/>
              <x v="171"/>
              <x v="172"/>
              <x v="173"/>
              <x v="174"/>
              <x v="175"/>
              <x v="176"/>
              <x v="177"/>
              <x v="178"/>
              <x v="179"/>
              <x v="180"/>
              <x v="268"/>
              <x v="269"/>
              <x v="270"/>
              <x v="271"/>
              <x v="272"/>
              <x v="775"/>
              <x v="776"/>
              <x v="777"/>
              <x v="778"/>
              <x v="829"/>
              <x v="830"/>
              <x v="831"/>
              <x v="832"/>
              <x v="833"/>
              <x v="851"/>
              <x v="852"/>
              <x v="853"/>
              <x v="1468"/>
              <x v="1469"/>
              <x v="1470"/>
              <x v="1471"/>
              <x v="1472"/>
              <x v="1473"/>
              <x v="1474"/>
              <x v="1475"/>
              <x v="1476"/>
              <x v="1477"/>
              <x v="1478"/>
              <x v="1479"/>
              <x v="1480"/>
              <x v="1481"/>
              <x v="1482"/>
              <x v="1483"/>
              <x v="1484"/>
              <x v="1485"/>
              <x v="1567"/>
              <x v="1576"/>
              <x v="1577"/>
              <x v="1874"/>
              <x v="1875"/>
              <x v="1929"/>
              <x v="1930"/>
              <x v="1931"/>
            </reference>
            <reference field="4" count="1" selected="0">
              <x v="5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43">
              <x v="105"/>
              <x v="106"/>
              <x v="107"/>
              <x v="108"/>
              <x v="109"/>
              <x v="181"/>
              <x v="182"/>
              <x v="183"/>
              <x v="184"/>
              <x v="185"/>
              <x v="186"/>
              <x v="187"/>
              <x v="188"/>
              <x v="189"/>
              <x v="190"/>
              <x v="191"/>
              <x v="779"/>
              <x v="780"/>
              <x v="834"/>
              <x v="835"/>
              <x v="836"/>
              <x v="837"/>
              <x v="854"/>
              <x v="855"/>
              <x v="1486"/>
              <x v="1487"/>
              <x v="1488"/>
              <x v="1489"/>
              <x v="1490"/>
              <x v="1491"/>
              <x v="1492"/>
              <x v="1493"/>
              <x v="1494"/>
              <x v="1495"/>
              <x v="1496"/>
              <x v="1497"/>
              <x v="1498"/>
              <x v="1499"/>
              <x v="1500"/>
              <x v="1501"/>
              <x v="1578"/>
              <x v="1599"/>
              <x v="1600"/>
            </reference>
            <reference field="4" count="1" selected="0">
              <x v="6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33">
              <x v="110"/>
              <x v="111"/>
              <x v="112"/>
              <x v="113"/>
              <x v="114"/>
              <x v="192"/>
              <x v="193"/>
              <x v="194"/>
              <x v="195"/>
              <x v="196"/>
              <x v="197"/>
              <x v="198"/>
              <x v="199"/>
              <x v="781"/>
              <x v="797"/>
              <x v="838"/>
              <x v="839"/>
              <x v="840"/>
              <x v="841"/>
              <x v="1502"/>
              <x v="1503"/>
              <x v="1504"/>
              <x v="1505"/>
              <x v="1506"/>
              <x v="1507"/>
              <x v="1508"/>
              <x v="1509"/>
              <x v="1510"/>
              <x v="1511"/>
              <x v="1512"/>
              <x v="1513"/>
              <x v="1932"/>
              <x v="1933"/>
            </reference>
            <reference field="4" count="1" selected="0">
              <x v="7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26">
              <x v="115"/>
              <x v="116"/>
              <x v="200"/>
              <x v="201"/>
              <x v="202"/>
              <x v="203"/>
              <x v="842"/>
              <x v="843"/>
              <x v="844"/>
              <x v="845"/>
              <x v="846"/>
              <x v="1514"/>
              <x v="1515"/>
              <x v="1516"/>
              <x v="1517"/>
              <x v="1518"/>
              <x v="1519"/>
              <x v="1520"/>
              <x v="1521"/>
              <x v="1522"/>
              <x v="1523"/>
              <x v="1524"/>
              <x v="1525"/>
              <x v="1526"/>
              <x v="1527"/>
              <x v="1528"/>
            </reference>
            <reference field="4" count="1" selected="0">
              <x v="8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3">
              <x v="204"/>
              <x v="273"/>
              <x v="274"/>
              <x v="1529"/>
              <x v="1530"/>
              <x v="1531"/>
              <x v="1532"/>
              <x v="1533"/>
              <x v="1534"/>
              <x v="1535"/>
              <x v="1536"/>
              <x v="1537"/>
              <x v="1601"/>
            </reference>
            <reference field="4" count="1" selected="0">
              <x v="9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1">
              <x v="205"/>
              <x v="206"/>
              <x v="1392"/>
              <x v="1538"/>
              <x v="1539"/>
              <x v="1540"/>
              <x v="1541"/>
              <x v="1542"/>
              <x v="1602"/>
              <x v="1603"/>
              <x v="1934"/>
            </reference>
            <reference field="4" count="1" selected="0">
              <x v="10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28">
              <x v="117"/>
              <x v="118"/>
              <x v="207"/>
              <x v="208"/>
              <x v="224"/>
              <x v="847"/>
              <x v="848"/>
              <x v="849"/>
              <x v="850"/>
              <x v="1543"/>
              <x v="1544"/>
              <x v="1545"/>
              <x v="1546"/>
              <x v="1547"/>
              <x v="1548"/>
              <x v="1549"/>
              <x v="1550"/>
              <x v="1551"/>
              <x v="1604"/>
              <x v="1605"/>
              <x v="1606"/>
              <x v="1607"/>
              <x v="1608"/>
              <x v="1609"/>
              <x v="1653"/>
              <x v="1654"/>
              <x v="1655"/>
              <x v="1876"/>
            </reference>
            <reference field="4" count="1" selected="0">
              <x v="11"/>
            </reference>
          </references>
        </pivotArea>
      </pivotAreas>
    </conditionalFormat>
    <conditionalFormat priority="1">
      <pivotAreas count="22"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054">
              <x v="0"/>
              <x v="119"/>
              <x v="209"/>
              <x v="210"/>
              <x v="211"/>
              <x v="212"/>
              <x v="213"/>
              <x v="214"/>
              <x v="215"/>
              <x v="216"/>
              <x v="217"/>
              <x v="218"/>
              <x v="219"/>
              <x v="220"/>
              <x v="221"/>
              <x v="222"/>
              <x v="223"/>
              <x v="225"/>
              <x v="226"/>
              <x v="227"/>
              <x v="228"/>
              <x v="229"/>
              <x v="230"/>
              <x v="231"/>
              <x v="232"/>
              <x v="233"/>
              <x v="234"/>
              <x v="235"/>
              <x v="236"/>
              <x v="237"/>
              <x v="238"/>
              <x v="239"/>
              <x v="240"/>
              <x v="241"/>
              <x v="242"/>
              <x v="243"/>
              <x v="244"/>
              <x v="245"/>
              <x v="246"/>
              <x v="247"/>
              <x v="248"/>
              <x v="249"/>
              <x v="250"/>
              <x v="251"/>
              <x v="252"/>
              <x v="253"/>
              <x v="254"/>
              <x v="255"/>
              <x v="256"/>
              <x v="257"/>
              <x v="258"/>
              <x v="259"/>
              <x v="260"/>
              <x v="275"/>
              <x v="276"/>
              <x v="277"/>
              <x v="278"/>
              <x v="279"/>
              <x v="280"/>
              <x v="281"/>
              <x v="282"/>
              <x v="283"/>
              <x v="284"/>
              <x v="285"/>
              <x v="286"/>
              <x v="287"/>
              <x v="288"/>
              <x v="289"/>
              <x v="290"/>
              <x v="291"/>
              <x v="292"/>
              <x v="293"/>
              <x v="294"/>
              <x v="295"/>
              <x v="296"/>
              <x v="297"/>
              <x v="298"/>
              <x v="299"/>
              <x v="300"/>
              <x v="301"/>
              <x v="302"/>
              <x v="303"/>
              <x v="304"/>
              <x v="305"/>
              <x v="306"/>
              <x v="307"/>
              <x v="308"/>
              <x v="309"/>
              <x v="310"/>
              <x v="311"/>
              <x v="312"/>
              <x v="313"/>
              <x v="314"/>
              <x v="315"/>
              <x v="316"/>
              <x v="317"/>
              <x v="318"/>
              <x v="319"/>
              <x v="320"/>
              <x v="321"/>
              <x v="322"/>
              <x v="323"/>
              <x v="324"/>
              <x v="325"/>
              <x v="326"/>
              <x v="327"/>
              <x v="328"/>
              <x v="329"/>
              <x v="330"/>
              <x v="331"/>
              <x v="332"/>
              <x v="333"/>
              <x v="334"/>
              <x v="335"/>
              <x v="336"/>
              <x v="337"/>
              <x v="338"/>
              <x v="339"/>
              <x v="340"/>
              <x v="341"/>
              <x v="342"/>
              <x v="343"/>
              <x v="344"/>
              <x v="345"/>
              <x v="346"/>
              <x v="347"/>
              <x v="348"/>
              <x v="349"/>
              <x v="350"/>
              <x v="351"/>
              <x v="352"/>
              <x v="353"/>
              <x v="354"/>
              <x v="355"/>
              <x v="356"/>
              <x v="357"/>
              <x v="358"/>
              <x v="359"/>
              <x v="360"/>
              <x v="361"/>
              <x v="362"/>
              <x v="363"/>
              <x v="364"/>
              <x v="365"/>
              <x v="366"/>
              <x v="367"/>
              <x v="368"/>
              <x v="369"/>
              <x v="370"/>
              <x v="371"/>
              <x v="372"/>
              <x v="373"/>
              <x v="374"/>
              <x v="375"/>
              <x v="376"/>
              <x v="377"/>
              <x v="378"/>
              <x v="379"/>
              <x v="380"/>
              <x v="381"/>
              <x v="382"/>
              <x v="383"/>
              <x v="384"/>
              <x v="385"/>
              <x v="386"/>
              <x v="387"/>
              <x v="388"/>
              <x v="389"/>
              <x v="390"/>
              <x v="391"/>
              <x v="392"/>
              <x v="393"/>
              <x v="394"/>
              <x v="395"/>
              <x v="396"/>
              <x v="397"/>
              <x v="398"/>
              <x v="399"/>
              <x v="400"/>
              <x v="401"/>
              <x v="402"/>
              <x v="403"/>
              <x v="404"/>
              <x v="425"/>
              <x v="426"/>
              <x v="427"/>
              <x v="428"/>
              <x v="429"/>
              <x v="430"/>
              <x v="431"/>
              <x v="432"/>
              <x v="433"/>
              <x v="434"/>
              <x v="435"/>
              <x v="436"/>
              <x v="437"/>
              <x v="438"/>
              <x v="439"/>
              <x v="440"/>
              <x v="441"/>
              <x v="442"/>
              <x v="443"/>
              <x v="444"/>
              <x v="445"/>
              <x v="446"/>
              <x v="447"/>
              <x v="448"/>
              <x v="449"/>
              <x v="450"/>
              <x v="451"/>
              <x v="452"/>
              <x v="453"/>
              <x v="454"/>
              <x v="455"/>
              <x v="456"/>
              <x v="457"/>
              <x v="458"/>
              <x v="459"/>
              <x v="460"/>
              <x v="461"/>
              <x v="462"/>
              <x v="463"/>
              <x v="464"/>
              <x v="465"/>
              <x v="466"/>
              <x v="467"/>
              <x v="468"/>
              <x v="469"/>
              <x v="470"/>
              <x v="471"/>
              <x v="472"/>
              <x v="473"/>
              <x v="474"/>
              <x v="475"/>
              <x v="476"/>
              <x v="477"/>
              <x v="478"/>
              <x v="479"/>
              <x v="480"/>
              <x v="481"/>
              <x v="482"/>
              <x v="483"/>
              <x v="484"/>
              <x v="485"/>
              <x v="486"/>
              <x v="487"/>
              <x v="488"/>
              <x v="489"/>
              <x v="490"/>
              <x v="491"/>
              <x v="492"/>
              <x v="493"/>
              <x v="494"/>
              <x v="495"/>
              <x v="496"/>
              <x v="497"/>
              <x v="498"/>
              <x v="499"/>
              <x v="500"/>
              <x v="501"/>
              <x v="502"/>
              <x v="503"/>
              <x v="504"/>
              <x v="505"/>
              <x v="506"/>
              <x v="507"/>
              <x v="508"/>
              <x v="509"/>
              <x v="510"/>
              <x v="511"/>
              <x v="512"/>
              <x v="513"/>
              <x v="514"/>
              <x v="515"/>
              <x v="516"/>
              <x v="517"/>
              <x v="518"/>
              <x v="519"/>
              <x v="520"/>
              <x v="521"/>
              <x v="522"/>
              <x v="523"/>
              <x v="524"/>
              <x v="525"/>
              <x v="526"/>
              <x v="527"/>
              <x v="528"/>
              <x v="529"/>
              <x v="530"/>
              <x v="531"/>
              <x v="532"/>
              <x v="533"/>
              <x v="534"/>
              <x v="535"/>
              <x v="536"/>
              <x v="537"/>
              <x v="538"/>
              <x v="539"/>
              <x v="540"/>
              <x v="541"/>
              <x v="542"/>
              <x v="543"/>
              <x v="544"/>
              <x v="545"/>
              <x v="546"/>
              <x v="547"/>
              <x v="548"/>
              <x v="549"/>
              <x v="550"/>
              <x v="551"/>
              <x v="552"/>
              <x v="553"/>
              <x v="554"/>
              <x v="555"/>
              <x v="556"/>
              <x v="557"/>
              <x v="558"/>
              <x v="559"/>
              <x v="560"/>
              <x v="561"/>
              <x v="562"/>
              <x v="563"/>
              <x v="564"/>
              <x v="565"/>
              <x v="566"/>
              <x v="567"/>
              <x v="568"/>
              <x v="569"/>
              <x v="570"/>
              <x v="571"/>
              <x v="572"/>
              <x v="573"/>
              <x v="574"/>
              <x v="575"/>
              <x v="576"/>
              <x v="577"/>
              <x v="578"/>
              <x v="579"/>
              <x v="580"/>
              <x v="581"/>
              <x v="582"/>
              <x v="583"/>
              <x v="584"/>
              <x v="585"/>
              <x v="586"/>
              <x v="587"/>
              <x v="588"/>
              <x v="589"/>
              <x v="590"/>
              <x v="591"/>
              <x v="592"/>
              <x v="593"/>
              <x v="594"/>
              <x v="595"/>
              <x v="596"/>
              <x v="597"/>
              <x v="598"/>
              <x v="599"/>
              <x v="600"/>
              <x v="601"/>
              <x v="602"/>
              <x v="603"/>
              <x v="604"/>
              <x v="605"/>
              <x v="606"/>
              <x v="607"/>
              <x v="608"/>
              <x v="609"/>
              <x v="610"/>
              <x v="611"/>
              <x v="612"/>
              <x v="613"/>
              <x v="614"/>
              <x v="615"/>
              <x v="616"/>
              <x v="617"/>
              <x v="618"/>
              <x v="619"/>
              <x v="620"/>
              <x v="621"/>
              <x v="622"/>
              <x v="623"/>
              <x v="624"/>
              <x v="625"/>
              <x v="626"/>
              <x v="627"/>
              <x v="628"/>
              <x v="629"/>
              <x v="630"/>
              <x v="631"/>
              <x v="632"/>
              <x v="633"/>
              <x v="634"/>
              <x v="635"/>
              <x v="636"/>
              <x v="637"/>
              <x v="638"/>
              <x v="639"/>
              <x v="640"/>
              <x v="641"/>
              <x v="642"/>
              <x v="643"/>
              <x v="644"/>
              <x v="645"/>
              <x v="646"/>
              <x v="647"/>
              <x v="648"/>
              <x v="649"/>
              <x v="650"/>
              <x v="651"/>
              <x v="652"/>
              <x v="653"/>
              <x v="654"/>
              <x v="655"/>
              <x v="656"/>
              <x v="657"/>
              <x v="658"/>
              <x v="659"/>
              <x v="660"/>
              <x v="661"/>
              <x v="662"/>
              <x v="663"/>
              <x v="664"/>
              <x v="665"/>
              <x v="666"/>
              <x v="667"/>
              <x v="668"/>
              <x v="669"/>
              <x v="670"/>
              <x v="671"/>
              <x v="856"/>
              <x v="857"/>
              <x v="858"/>
              <x v="859"/>
              <x v="860"/>
              <x v="861"/>
              <x v="862"/>
              <x v="863"/>
              <x v="864"/>
              <x v="865"/>
              <x v="866"/>
              <x v="867"/>
              <x v="868"/>
              <x v="869"/>
              <x v="870"/>
              <x v="871"/>
              <x v="872"/>
              <x v="873"/>
              <x v="874"/>
              <x v="875"/>
              <x v="876"/>
              <x v="877"/>
              <x v="878"/>
              <x v="879"/>
              <x v="880"/>
              <x v="881"/>
              <x v="882"/>
              <x v="883"/>
              <x v="884"/>
              <x v="885"/>
              <x v="886"/>
              <x v="887"/>
              <x v="888"/>
              <x v="889"/>
              <x v="890"/>
              <x v="891"/>
              <x v="892"/>
              <x v="893"/>
              <x v="894"/>
              <x v="895"/>
              <x v="896"/>
              <x v="897"/>
              <x v="898"/>
              <x v="899"/>
              <x v="968"/>
              <x v="969"/>
              <x v="970"/>
              <x v="971"/>
              <x v="972"/>
              <x v="973"/>
              <x v="974"/>
              <x v="975"/>
              <x v="976"/>
              <x v="977"/>
              <x v="978"/>
              <x v="979"/>
              <x v="980"/>
              <x v="981"/>
              <x v="982"/>
              <x v="983"/>
              <x v="984"/>
              <x v="985"/>
              <x v="986"/>
              <x v="987"/>
              <x v="988"/>
              <x v="989"/>
              <x v="990"/>
              <x v="991"/>
              <x v="992"/>
              <x v="993"/>
              <x v="994"/>
              <x v="995"/>
              <x v="996"/>
              <x v="997"/>
              <x v="998"/>
              <x v="999"/>
              <x v="1000"/>
              <x v="1001"/>
              <x v="1002"/>
              <x v="1003"/>
              <x v="1004"/>
              <x v="1005"/>
              <x v="1006"/>
              <x v="1007"/>
              <x v="1008"/>
              <x v="1009"/>
              <x v="1010"/>
              <x v="1011"/>
              <x v="1012"/>
              <x v="1013"/>
              <x v="1014"/>
              <x v="1015"/>
              <x v="1016"/>
              <x v="1017"/>
              <x v="1018"/>
              <x v="1019"/>
              <x v="1020"/>
              <x v="1021"/>
              <x v="1022"/>
              <x v="1023"/>
              <x v="1024"/>
              <x v="1025"/>
              <x v="1026"/>
              <x v="1027"/>
              <x v="1028"/>
              <x v="1029"/>
              <x v="1030"/>
              <x v="1031"/>
              <x v="1032"/>
              <x v="1033"/>
              <x v="1034"/>
              <x v="1035"/>
              <x v="1036"/>
              <x v="1037"/>
              <x v="1038"/>
              <x v="1039"/>
              <x v="1040"/>
              <x v="1041"/>
              <x v="1042"/>
              <x v="1043"/>
              <x v="1044"/>
              <x v="1045"/>
              <x v="1046"/>
              <x v="1047"/>
              <x v="1048"/>
              <x v="1049"/>
              <x v="1050"/>
              <x v="1051"/>
              <x v="1052"/>
              <x v="1053"/>
              <x v="1054"/>
              <x v="1055"/>
              <x v="1056"/>
              <x v="1057"/>
              <x v="1058"/>
              <x v="1059"/>
              <x v="1060"/>
              <x v="1061"/>
              <x v="1062"/>
              <x v="1063"/>
              <x v="1064"/>
              <x v="1065"/>
              <x v="1066"/>
              <x v="1067"/>
              <x v="1068"/>
              <x v="1069"/>
              <x v="1070"/>
              <x v="1071"/>
              <x v="1072"/>
              <x v="1073"/>
              <x v="1074"/>
              <x v="1075"/>
              <x v="1076"/>
              <x v="1077"/>
              <x v="1078"/>
              <x v="1079"/>
              <x v="1080"/>
              <x v="1081"/>
              <x v="1082"/>
              <x v="1083"/>
              <x v="1084"/>
              <x v="1085"/>
              <x v="1086"/>
              <x v="1087"/>
              <x v="1088"/>
              <x v="1089"/>
              <x v="1090"/>
              <x v="1091"/>
              <x v="1092"/>
              <x v="1093"/>
              <x v="1094"/>
              <x v="1095"/>
              <x v="1096"/>
              <x v="1097"/>
              <x v="1098"/>
              <x v="1099"/>
              <x v="1100"/>
              <x v="1101"/>
              <x v="1102"/>
              <x v="1103"/>
              <x v="1104"/>
              <x v="1105"/>
              <x v="1106"/>
              <x v="1107"/>
              <x v="1108"/>
              <x v="1109"/>
              <x v="1110"/>
              <x v="1111"/>
              <x v="1112"/>
              <x v="1113"/>
              <x v="1114"/>
              <x v="1115"/>
              <x v="1116"/>
              <x v="1117"/>
              <x v="1118"/>
              <x v="1119"/>
              <x v="1120"/>
              <x v="1121"/>
              <x v="1122"/>
              <x v="1123"/>
              <x v="1124"/>
              <x v="1125"/>
              <x v="1126"/>
              <x v="1127"/>
              <x v="1128"/>
              <x v="1129"/>
              <x v="1130"/>
              <x v="1131"/>
              <x v="1132"/>
              <x v="1133"/>
              <x v="1134"/>
              <x v="1135"/>
              <x v="1136"/>
              <x v="1137"/>
              <x v="1138"/>
              <x v="1139"/>
              <x v="1140"/>
              <x v="1141"/>
              <x v="1142"/>
              <x v="1143"/>
              <x v="1144"/>
              <x v="1145"/>
              <x v="1146"/>
              <x v="1147"/>
              <x v="1148"/>
              <x v="1149"/>
              <x v="1150"/>
              <x v="1151"/>
              <x v="1152"/>
              <x v="1153"/>
              <x v="1154"/>
              <x v="1155"/>
              <x v="1156"/>
              <x v="1157"/>
              <x v="1158"/>
              <x v="1159"/>
              <x v="1160"/>
              <x v="1161"/>
              <x v="1162"/>
              <x v="1163"/>
              <x v="1164"/>
              <x v="1165"/>
              <x v="1166"/>
              <x v="1167"/>
              <x v="1168"/>
              <x v="1169"/>
              <x v="1170"/>
              <x v="1171"/>
              <x v="1172"/>
              <x v="1173"/>
              <x v="1174"/>
              <x v="1175"/>
              <x v="1176"/>
              <x v="1177"/>
              <x v="1178"/>
              <x v="1179"/>
              <x v="1180"/>
              <x v="1181"/>
              <x v="1182"/>
              <x v="1183"/>
              <x v="1184"/>
              <x v="1185"/>
              <x v="1186"/>
              <x v="1187"/>
              <x v="1188"/>
              <x v="1189"/>
              <x v="1190"/>
              <x v="1191"/>
              <x v="1192"/>
              <x v="1193"/>
              <x v="1194"/>
              <x v="1195"/>
              <x v="1196"/>
              <x v="1197"/>
              <x v="1198"/>
              <x v="1199"/>
              <x v="1200"/>
              <x v="1201"/>
              <x v="1202"/>
              <x v="1203"/>
              <x v="1204"/>
              <x v="1205"/>
              <x v="1206"/>
              <x v="1207"/>
              <x v="1208"/>
              <x v="1209"/>
              <x v="1210"/>
              <x v="1211"/>
              <x v="1212"/>
              <x v="1213"/>
              <x v="1214"/>
              <x v="1215"/>
              <x v="1216"/>
              <x v="1217"/>
              <x v="1218"/>
              <x v="1219"/>
              <x v="1220"/>
              <x v="1221"/>
              <x v="1222"/>
              <x v="1223"/>
              <x v="1224"/>
              <x v="1225"/>
              <x v="1226"/>
              <x v="1227"/>
              <x v="1228"/>
              <x v="1229"/>
              <x v="1230"/>
              <x v="1231"/>
              <x v="1232"/>
              <x v="1233"/>
              <x v="1234"/>
              <x v="1235"/>
              <x v="1236"/>
              <x v="1237"/>
              <x v="1238"/>
              <x v="1239"/>
              <x v="1240"/>
              <x v="1241"/>
              <x v="1242"/>
              <x v="1243"/>
              <x v="1244"/>
              <x v="1245"/>
              <x v="1246"/>
              <x v="1247"/>
              <x v="1248"/>
              <x v="1249"/>
              <x v="1250"/>
              <x v="1251"/>
              <x v="1252"/>
              <x v="1253"/>
              <x v="1254"/>
              <x v="1255"/>
              <x v="1256"/>
              <x v="1257"/>
              <x v="1258"/>
              <x v="1259"/>
              <x v="1260"/>
              <x v="1261"/>
              <x v="1262"/>
              <x v="1263"/>
              <x v="1264"/>
              <x v="1265"/>
              <x v="1266"/>
              <x v="1267"/>
              <x v="1268"/>
              <x v="1269"/>
              <x v="1270"/>
              <x v="1271"/>
              <x v="1272"/>
              <x v="1273"/>
              <x v="1274"/>
              <x v="1275"/>
              <x v="1276"/>
              <x v="1277"/>
              <x v="1278"/>
              <x v="1279"/>
              <x v="1280"/>
              <x v="1281"/>
              <x v="1282"/>
              <x v="1283"/>
              <x v="1284"/>
              <x v="1285"/>
              <x v="1286"/>
              <x v="1287"/>
              <x v="1288"/>
              <x v="1289"/>
              <x v="1290"/>
              <x v="1291"/>
              <x v="1292"/>
              <x v="1293"/>
              <x v="1294"/>
              <x v="1295"/>
              <x v="1296"/>
              <x v="1297"/>
              <x v="1298"/>
              <x v="1299"/>
              <x v="1300"/>
              <x v="1301"/>
              <x v="1302"/>
              <x v="1303"/>
              <x v="1304"/>
              <x v="1305"/>
              <x v="1306"/>
              <x v="1307"/>
              <x v="1308"/>
              <x v="1309"/>
              <x v="1310"/>
              <x v="1311"/>
              <x v="1312"/>
              <x v="1313"/>
              <x v="1314"/>
              <x v="1315"/>
              <x v="1316"/>
              <x v="1317"/>
              <x v="1318"/>
              <x v="1319"/>
              <x v="1320"/>
              <x v="1321"/>
              <x v="1322"/>
              <x v="1323"/>
              <x v="1324"/>
              <x v="1325"/>
              <x v="1326"/>
              <x v="1327"/>
              <x v="1328"/>
              <x v="1329"/>
              <x v="1330"/>
              <x v="1331"/>
              <x v="1332"/>
              <x v="1333"/>
              <x v="1334"/>
              <x v="1335"/>
              <x v="1336"/>
              <x v="1337"/>
              <x v="1338"/>
              <x v="1339"/>
              <x v="1340"/>
              <x v="1341"/>
              <x v="1342"/>
              <x v="1343"/>
              <x v="1344"/>
              <x v="1345"/>
              <x v="1346"/>
              <x v="1347"/>
              <x v="1348"/>
              <x v="1349"/>
              <x v="1350"/>
              <x v="1351"/>
              <x v="1352"/>
              <x v="1353"/>
              <x v="1354"/>
              <x v="1355"/>
              <x v="1356"/>
              <x v="1357"/>
              <x v="1358"/>
              <x v="1359"/>
              <x v="1360"/>
              <x v="1361"/>
              <x v="1362"/>
              <x v="1363"/>
              <x v="1364"/>
              <x v="1365"/>
              <x v="1393"/>
              <x v="1394"/>
              <x v="1395"/>
              <x v="1396"/>
              <x v="1397"/>
              <x v="1579"/>
              <x v="1583"/>
              <x v="1584"/>
              <x v="1585"/>
              <x v="1586"/>
              <x v="1587"/>
              <x v="1588"/>
              <x v="1589"/>
              <x v="1590"/>
              <x v="1591"/>
              <x v="1592"/>
              <x v="1593"/>
              <x v="1594"/>
              <x v="1595"/>
              <x v="1596"/>
              <x v="1597"/>
              <x v="1610"/>
              <x v="1611"/>
              <x v="1612"/>
              <x v="1613"/>
              <x v="1614"/>
              <x v="1615"/>
              <x v="1616"/>
              <x v="1617"/>
              <x v="1618"/>
              <x v="1619"/>
              <x v="1620"/>
              <x v="1621"/>
              <x v="1622"/>
              <x v="1623"/>
              <x v="1624"/>
              <x v="1625"/>
              <x v="1626"/>
              <x v="1627"/>
              <x v="1628"/>
              <x v="1629"/>
              <x v="1630"/>
              <x v="1631"/>
              <x v="1632"/>
              <x v="1633"/>
              <x v="1634"/>
              <x v="1635"/>
              <x v="1636"/>
              <x v="1637"/>
              <x v="1638"/>
              <x v="1639"/>
              <x v="1640"/>
              <x v="1641"/>
              <x v="1642"/>
              <x v="1643"/>
              <x v="1644"/>
              <x v="1645"/>
              <x v="1646"/>
              <x v="1647"/>
              <x v="1648"/>
              <x v="1649"/>
              <x v="1650"/>
              <x v="1656"/>
              <x v="1657"/>
              <x v="1658"/>
              <x v="1659"/>
              <x v="1660"/>
              <x v="1661"/>
              <x v="1662"/>
              <x v="1663"/>
              <x v="1664"/>
              <x v="1665"/>
              <x v="1666"/>
              <x v="1667"/>
              <x v="1668"/>
              <x v="1669"/>
              <x v="1670"/>
              <x v="1693"/>
              <x v="1694"/>
              <x v="1696"/>
              <x v="1697"/>
              <x v="1698"/>
              <x v="1699"/>
              <x v="1700"/>
              <x v="1701"/>
              <x v="1702"/>
              <x v="1703"/>
              <x v="1704"/>
              <x v="1705"/>
              <x v="1706"/>
              <x v="1707"/>
              <x v="1708"/>
              <x v="1709"/>
              <x v="1710"/>
              <x v="1711"/>
              <x v="1712"/>
              <x v="1713"/>
              <x v="1714"/>
              <x v="1715"/>
              <x v="1716"/>
              <x v="1717"/>
              <x v="1718"/>
              <x v="1719"/>
              <x v="1720"/>
              <x v="1721"/>
              <x v="1722"/>
              <x v="1723"/>
              <x v="1724"/>
              <x v="1725"/>
              <x v="1726"/>
              <x v="1727"/>
              <x v="1728"/>
              <x v="1747"/>
              <x v="1748"/>
              <x v="1749"/>
              <x v="1750"/>
              <x v="1751"/>
              <x v="1752"/>
              <x v="1753"/>
              <x v="1754"/>
              <x v="1755"/>
              <x v="1756"/>
              <x v="1757"/>
              <x v="1758"/>
              <x v="1759"/>
              <x v="1760"/>
              <x v="1761"/>
              <x v="1762"/>
              <x v="1763"/>
              <x v="1764"/>
              <x v="1765"/>
              <x v="1766"/>
              <x v="1767"/>
              <x v="1768"/>
              <x v="1769"/>
              <x v="1770"/>
              <x v="1771"/>
              <x v="1772"/>
              <x v="1773"/>
              <x v="1774"/>
              <x v="1775"/>
              <x v="1776"/>
              <x v="1777"/>
              <x v="1778"/>
              <x v="1779"/>
              <x v="1780"/>
              <x v="1781"/>
              <x v="1782"/>
              <x v="1783"/>
              <x v="1784"/>
              <x v="1877"/>
              <x v="1878"/>
              <x v="1879"/>
              <x v="1880"/>
              <x v="1881"/>
              <x v="1882"/>
              <x v="1883"/>
              <x v="1884"/>
              <x v="1885"/>
              <x v="1886"/>
              <x v="1887"/>
              <x v="1888"/>
              <x v="1889"/>
              <x v="1890"/>
              <x v="1891"/>
              <x v="1892"/>
              <x v="1893"/>
              <x v="1894"/>
              <x v="1895"/>
              <x v="1896"/>
              <x v="1897"/>
              <x v="1898"/>
              <x v="1899"/>
              <x v="1900"/>
              <x v="1901"/>
              <x v="1902"/>
              <x v="1903"/>
              <x v="1904"/>
              <x v="1905"/>
              <x v="1906"/>
              <x v="1907"/>
              <x v="1908"/>
            </reference>
            <reference field="4" count="1" selected="0">
              <x v="1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384"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120"/>
              <x v="121"/>
              <x v="122"/>
              <x v="123"/>
              <x v="124"/>
              <x v="125"/>
              <x v="126"/>
              <x v="127"/>
              <x v="128"/>
              <x v="129"/>
              <x v="130"/>
              <x v="131"/>
              <x v="132"/>
              <x v="261"/>
              <x v="405"/>
              <x v="406"/>
              <x v="407"/>
              <x v="408"/>
              <x v="409"/>
              <x v="410"/>
              <x v="411"/>
              <x v="412"/>
              <x v="413"/>
              <x v="414"/>
              <x v="415"/>
              <x v="416"/>
              <x v="417"/>
              <x v="418"/>
              <x v="419"/>
              <x v="420"/>
              <x v="421"/>
              <x v="422"/>
              <x v="423"/>
              <x v="424"/>
              <x v="672"/>
              <x v="673"/>
              <x v="674"/>
              <x v="675"/>
              <x v="676"/>
              <x v="677"/>
              <x v="678"/>
              <x v="679"/>
              <x v="680"/>
              <x v="681"/>
              <x v="682"/>
              <x v="683"/>
              <x v="684"/>
              <x v="685"/>
              <x v="686"/>
              <x v="687"/>
              <x v="688"/>
              <x v="689"/>
              <x v="690"/>
              <x v="691"/>
              <x v="692"/>
              <x v="693"/>
              <x v="694"/>
              <x v="695"/>
              <x v="696"/>
              <x v="697"/>
              <x v="698"/>
              <x v="699"/>
              <x v="700"/>
              <x v="701"/>
              <x v="702"/>
              <x v="703"/>
              <x v="704"/>
              <x v="705"/>
              <x v="706"/>
              <x v="707"/>
              <x v="708"/>
              <x v="709"/>
              <x v="710"/>
              <x v="711"/>
              <x v="712"/>
              <x v="713"/>
              <x v="714"/>
              <x v="715"/>
              <x v="716"/>
              <x v="717"/>
              <x v="718"/>
              <x v="719"/>
              <x v="720"/>
              <x v="721"/>
              <x v="722"/>
              <x v="723"/>
              <x v="724"/>
              <x v="725"/>
              <x v="726"/>
              <x v="727"/>
              <x v="728"/>
              <x v="729"/>
              <x v="730"/>
              <x v="731"/>
              <x v="732"/>
              <x v="733"/>
              <x v="734"/>
              <x v="735"/>
              <x v="736"/>
              <x v="737"/>
              <x v="738"/>
              <x v="739"/>
              <x v="740"/>
              <x v="741"/>
              <x v="742"/>
              <x v="743"/>
              <x v="744"/>
              <x v="745"/>
              <x v="746"/>
              <x v="747"/>
              <x v="748"/>
              <x v="749"/>
              <x v="750"/>
              <x v="751"/>
              <x v="752"/>
              <x v="753"/>
              <x v="754"/>
              <x v="755"/>
              <x v="767"/>
              <x v="782"/>
              <x v="783"/>
              <x v="784"/>
              <x v="785"/>
              <x v="786"/>
              <x v="787"/>
              <x v="788"/>
              <x v="789"/>
              <x v="790"/>
              <x v="791"/>
              <x v="798"/>
              <x v="799"/>
              <x v="800"/>
              <x v="801"/>
              <x v="802"/>
              <x v="803"/>
              <x v="804"/>
              <x v="805"/>
              <x v="806"/>
              <x v="807"/>
              <x v="808"/>
              <x v="809"/>
              <x v="810"/>
              <x v="811"/>
              <x v="812"/>
              <x v="813"/>
              <x v="814"/>
              <x v="815"/>
              <x v="900"/>
              <x v="901"/>
              <x v="902"/>
              <x v="903"/>
              <x v="904"/>
              <x v="905"/>
              <x v="906"/>
              <x v="907"/>
              <x v="908"/>
              <x v="909"/>
              <x v="910"/>
              <x v="911"/>
              <x v="912"/>
              <x v="913"/>
              <x v="914"/>
              <x v="915"/>
              <x v="916"/>
              <x v="917"/>
              <x v="918"/>
              <x v="919"/>
              <x v="920"/>
              <x v="921"/>
              <x v="922"/>
              <x v="923"/>
              <x v="924"/>
              <x v="925"/>
              <x v="926"/>
              <x v="927"/>
              <x v="928"/>
              <x v="929"/>
              <x v="930"/>
              <x v="931"/>
              <x v="932"/>
              <x v="933"/>
              <x v="934"/>
              <x v="935"/>
              <x v="936"/>
              <x v="937"/>
              <x v="938"/>
              <x v="939"/>
              <x v="940"/>
              <x v="941"/>
              <x v="942"/>
              <x v="943"/>
              <x v="944"/>
              <x v="945"/>
              <x v="946"/>
              <x v="947"/>
              <x v="948"/>
              <x v="949"/>
              <x v="950"/>
              <x v="951"/>
              <x v="952"/>
              <x v="953"/>
              <x v="954"/>
              <x v="955"/>
              <x v="956"/>
              <x v="957"/>
              <x v="1366"/>
              <x v="1367"/>
              <x v="1368"/>
              <x v="1369"/>
              <x v="1370"/>
              <x v="1371"/>
              <x v="1372"/>
              <x v="1373"/>
              <x v="1374"/>
              <x v="1375"/>
              <x v="1376"/>
              <x v="1377"/>
              <x v="1378"/>
              <x v="1379"/>
              <x v="1380"/>
              <x v="1381"/>
              <x v="1382"/>
              <x v="1383"/>
              <x v="1384"/>
              <x v="1385"/>
              <x v="1386"/>
              <x v="1387"/>
              <x v="1388"/>
              <x v="1389"/>
              <x v="1390"/>
              <x v="1391"/>
              <x v="1398"/>
              <x v="1399"/>
              <x v="1400"/>
              <x v="1401"/>
              <x v="1402"/>
              <x v="1403"/>
              <x v="1404"/>
              <x v="1405"/>
              <x v="1406"/>
              <x v="1407"/>
              <x v="1408"/>
              <x v="1409"/>
              <x v="1410"/>
              <x v="1411"/>
              <x v="1412"/>
              <x v="1413"/>
              <x v="1414"/>
              <x v="1415"/>
              <x v="1416"/>
              <x v="1417"/>
              <x v="1418"/>
              <x v="1419"/>
              <x v="1420"/>
              <x v="1421"/>
              <x v="1552"/>
              <x v="1553"/>
              <x v="1554"/>
              <x v="1555"/>
              <x v="1556"/>
              <x v="1557"/>
              <x v="1558"/>
              <x v="1559"/>
              <x v="1560"/>
              <x v="1568"/>
              <x v="1569"/>
              <x v="1580"/>
              <x v="1581"/>
              <x v="1651"/>
              <x v="1652"/>
              <x v="1671"/>
              <x v="1672"/>
              <x v="1673"/>
              <x v="1674"/>
              <x v="1675"/>
              <x v="1676"/>
              <x v="1677"/>
              <x v="1678"/>
              <x v="1679"/>
              <x v="1680"/>
              <x v="1681"/>
              <x v="1682"/>
              <x v="1683"/>
              <x v="1684"/>
              <x v="1685"/>
              <x v="1695"/>
              <x v="1729"/>
              <x v="1730"/>
              <x v="1731"/>
              <x v="1732"/>
              <x v="1733"/>
              <x v="1734"/>
              <x v="1735"/>
              <x v="1736"/>
              <x v="1737"/>
              <x v="1785"/>
              <x v="1786"/>
              <x v="1787"/>
              <x v="1788"/>
              <x v="1789"/>
              <x v="1790"/>
              <x v="1791"/>
              <x v="1792"/>
              <x v="1793"/>
              <x v="1794"/>
              <x v="1795"/>
              <x v="1796"/>
              <x v="1797"/>
              <x v="1798"/>
              <x v="1799"/>
              <x v="1800"/>
              <x v="1801"/>
              <x v="1802"/>
              <x v="1803"/>
              <x v="1804"/>
              <x v="1805"/>
              <x v="1806"/>
              <x v="1807"/>
              <x v="1808"/>
              <x v="1809"/>
              <x v="1810"/>
              <x v="1811"/>
              <x v="1812"/>
              <x v="1813"/>
              <x v="1814"/>
              <x v="1815"/>
              <x v="1816"/>
              <x v="1817"/>
              <x v="1818"/>
              <x v="1819"/>
              <x v="1820"/>
              <x v="1821"/>
              <x v="1822"/>
              <x v="1909"/>
              <x v="1910"/>
              <x v="1911"/>
              <x v="1912"/>
              <x v="1913"/>
              <x v="1914"/>
              <x v="1915"/>
              <x v="1919"/>
              <x v="1920"/>
              <x v="1921"/>
              <x v="1922"/>
              <x v="1923"/>
              <x v="1924"/>
            </reference>
            <reference field="4" count="1" selected="0">
              <x v="2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65">
              <x v="39"/>
              <x v="40"/>
              <x v="41"/>
              <x v="42"/>
              <x v="43"/>
              <x v="44"/>
              <x v="45"/>
              <x v="46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133"/>
              <x v="134"/>
              <x v="135"/>
              <x v="136"/>
              <x v="137"/>
              <x v="138"/>
              <x v="139"/>
              <x v="140"/>
              <x v="141"/>
              <x v="142"/>
              <x v="143"/>
              <x v="144"/>
              <x v="262"/>
              <x v="263"/>
              <x v="756"/>
              <x v="757"/>
              <x v="758"/>
              <x v="759"/>
              <x v="760"/>
              <x v="761"/>
              <x v="762"/>
              <x v="763"/>
              <x v="764"/>
              <x v="765"/>
              <x v="766"/>
              <x v="768"/>
              <x v="769"/>
              <x v="770"/>
              <x v="792"/>
              <x v="793"/>
              <x v="794"/>
              <x v="795"/>
              <x v="816"/>
              <x v="817"/>
              <x v="818"/>
              <x v="819"/>
              <x v="821"/>
              <x v="822"/>
              <x v="823"/>
              <x v="958"/>
              <x v="959"/>
              <x v="960"/>
              <x v="961"/>
              <x v="962"/>
              <x v="963"/>
              <x v="964"/>
              <x v="1422"/>
              <x v="1423"/>
              <x v="1424"/>
              <x v="1425"/>
              <x v="1426"/>
              <x v="1427"/>
              <x v="1428"/>
              <x v="1429"/>
              <x v="1430"/>
              <x v="1431"/>
              <x v="1432"/>
              <x v="1433"/>
              <x v="1434"/>
              <x v="1435"/>
              <x v="1436"/>
              <x v="1437"/>
              <x v="1438"/>
              <x v="1439"/>
              <x v="1440"/>
              <x v="1441"/>
              <x v="1442"/>
              <x v="1443"/>
              <x v="1444"/>
              <x v="1445"/>
              <x v="1446"/>
              <x v="1447"/>
              <x v="1448"/>
              <x v="1449"/>
              <x v="1450"/>
              <x v="1451"/>
              <x v="1452"/>
              <x v="1453"/>
              <x v="1561"/>
              <x v="1562"/>
              <x v="1563"/>
              <x v="1564"/>
              <x v="1565"/>
              <x v="1570"/>
              <x v="1571"/>
              <x v="1582"/>
              <x v="1686"/>
              <x v="1687"/>
              <x v="1738"/>
              <x v="1739"/>
              <x v="1740"/>
              <x v="1741"/>
              <x v="1742"/>
              <x v="1743"/>
              <x v="1744"/>
              <x v="1745"/>
              <x v="1746"/>
              <x v="1823"/>
              <x v="1824"/>
              <x v="1825"/>
              <x v="1826"/>
              <x v="1827"/>
              <x v="1828"/>
              <x v="1829"/>
              <x v="1830"/>
              <x v="1831"/>
              <x v="1832"/>
              <x v="1833"/>
              <x v="1834"/>
              <x v="1835"/>
              <x v="1836"/>
              <x v="1837"/>
              <x v="1838"/>
              <x v="1839"/>
              <x v="1840"/>
              <x v="1841"/>
              <x v="1842"/>
              <x v="1843"/>
              <x v="1844"/>
              <x v="1845"/>
              <x v="1846"/>
              <x v="1847"/>
              <x v="1848"/>
              <x v="1849"/>
              <x v="1850"/>
              <x v="1851"/>
              <x v="1916"/>
              <x v="1925"/>
              <x v="1926"/>
              <x v="1927"/>
              <x v="1928"/>
            </reference>
            <reference field="4" count="1" selected="0">
              <x v="3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02">
              <x v="73"/>
              <x v="74"/>
              <x v="75"/>
              <x v="76"/>
              <x v="77"/>
              <x v="78"/>
              <x v="79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145"/>
              <x v="146"/>
              <x v="147"/>
              <x v="148"/>
              <x v="149"/>
              <x v="150"/>
              <x v="151"/>
              <x v="152"/>
              <x v="153"/>
              <x v="154"/>
              <x v="155"/>
              <x v="156"/>
              <x v="157"/>
              <x v="158"/>
              <x v="159"/>
              <x v="264"/>
              <x v="265"/>
              <x v="266"/>
              <x v="267"/>
              <x v="771"/>
              <x v="772"/>
              <x v="773"/>
              <x v="774"/>
              <x v="796"/>
              <x v="820"/>
              <x v="824"/>
              <x v="825"/>
              <x v="826"/>
              <x v="827"/>
              <x v="828"/>
              <x v="965"/>
              <x v="966"/>
              <x v="967"/>
              <x v="1454"/>
              <x v="1455"/>
              <x v="1456"/>
              <x v="1457"/>
              <x v="1458"/>
              <x v="1459"/>
              <x v="1460"/>
              <x v="1461"/>
              <x v="1462"/>
              <x v="1463"/>
              <x v="1464"/>
              <x v="1465"/>
              <x v="1466"/>
              <x v="1467"/>
              <x v="1566"/>
              <x v="1572"/>
              <x v="1573"/>
              <x v="1574"/>
              <x v="1575"/>
              <x v="1598"/>
              <x v="1688"/>
              <x v="1689"/>
              <x v="1690"/>
              <x v="1691"/>
              <x v="1692"/>
              <x v="1852"/>
              <x v="1853"/>
              <x v="1854"/>
              <x v="1855"/>
              <x v="1856"/>
              <x v="1857"/>
              <x v="1858"/>
              <x v="1859"/>
              <x v="1860"/>
              <x v="1861"/>
              <x v="1862"/>
              <x v="1863"/>
              <x v="1864"/>
              <x v="1865"/>
              <x v="1866"/>
              <x v="1867"/>
              <x v="1868"/>
              <x v="1869"/>
              <x v="1870"/>
              <x v="1871"/>
              <x v="1872"/>
              <x v="1873"/>
              <x v="1917"/>
              <x v="1918"/>
            </reference>
            <reference field="4" count="1" selected="0">
              <x v="4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76">
              <x v="93"/>
              <x v="94"/>
              <x v="95"/>
              <x v="96"/>
              <x v="97"/>
              <x v="98"/>
              <x v="99"/>
              <x v="100"/>
              <x v="101"/>
              <x v="102"/>
              <x v="103"/>
              <x v="104"/>
              <x v="160"/>
              <x v="161"/>
              <x v="162"/>
              <x v="163"/>
              <x v="164"/>
              <x v="165"/>
              <x v="166"/>
              <x v="167"/>
              <x v="168"/>
              <x v="169"/>
              <x v="170"/>
              <x v="171"/>
              <x v="172"/>
              <x v="173"/>
              <x v="174"/>
              <x v="175"/>
              <x v="176"/>
              <x v="177"/>
              <x v="178"/>
              <x v="179"/>
              <x v="180"/>
              <x v="268"/>
              <x v="269"/>
              <x v="270"/>
              <x v="271"/>
              <x v="272"/>
              <x v="775"/>
              <x v="776"/>
              <x v="777"/>
              <x v="778"/>
              <x v="829"/>
              <x v="830"/>
              <x v="831"/>
              <x v="832"/>
              <x v="833"/>
              <x v="851"/>
              <x v="852"/>
              <x v="853"/>
              <x v="1468"/>
              <x v="1469"/>
              <x v="1470"/>
              <x v="1471"/>
              <x v="1472"/>
              <x v="1473"/>
              <x v="1474"/>
              <x v="1475"/>
              <x v="1476"/>
              <x v="1477"/>
              <x v="1478"/>
              <x v="1479"/>
              <x v="1480"/>
              <x v="1481"/>
              <x v="1482"/>
              <x v="1483"/>
              <x v="1484"/>
              <x v="1485"/>
              <x v="1567"/>
              <x v="1576"/>
              <x v="1577"/>
              <x v="1874"/>
              <x v="1875"/>
              <x v="1929"/>
              <x v="1930"/>
              <x v="1931"/>
            </reference>
            <reference field="4" count="1" selected="0">
              <x v="5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43">
              <x v="105"/>
              <x v="106"/>
              <x v="107"/>
              <x v="108"/>
              <x v="109"/>
              <x v="181"/>
              <x v="182"/>
              <x v="183"/>
              <x v="184"/>
              <x v="185"/>
              <x v="186"/>
              <x v="187"/>
              <x v="188"/>
              <x v="189"/>
              <x v="190"/>
              <x v="191"/>
              <x v="779"/>
              <x v="780"/>
              <x v="834"/>
              <x v="835"/>
              <x v="836"/>
              <x v="837"/>
              <x v="854"/>
              <x v="855"/>
              <x v="1486"/>
              <x v="1487"/>
              <x v="1488"/>
              <x v="1489"/>
              <x v="1490"/>
              <x v="1491"/>
              <x v="1492"/>
              <x v="1493"/>
              <x v="1494"/>
              <x v="1495"/>
              <x v="1496"/>
              <x v="1497"/>
              <x v="1498"/>
              <x v="1499"/>
              <x v="1500"/>
              <x v="1501"/>
              <x v="1578"/>
              <x v="1599"/>
              <x v="1600"/>
            </reference>
            <reference field="4" count="1" selected="0">
              <x v="6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33">
              <x v="110"/>
              <x v="111"/>
              <x v="112"/>
              <x v="113"/>
              <x v="114"/>
              <x v="192"/>
              <x v="193"/>
              <x v="194"/>
              <x v="195"/>
              <x v="196"/>
              <x v="197"/>
              <x v="198"/>
              <x v="199"/>
              <x v="781"/>
              <x v="797"/>
              <x v="838"/>
              <x v="839"/>
              <x v="840"/>
              <x v="841"/>
              <x v="1502"/>
              <x v="1503"/>
              <x v="1504"/>
              <x v="1505"/>
              <x v="1506"/>
              <x v="1507"/>
              <x v="1508"/>
              <x v="1509"/>
              <x v="1510"/>
              <x v="1511"/>
              <x v="1512"/>
              <x v="1513"/>
              <x v="1932"/>
              <x v="1933"/>
            </reference>
            <reference field="4" count="1" selected="0">
              <x v="7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26">
              <x v="115"/>
              <x v="116"/>
              <x v="200"/>
              <x v="201"/>
              <x v="202"/>
              <x v="203"/>
              <x v="842"/>
              <x v="843"/>
              <x v="844"/>
              <x v="845"/>
              <x v="846"/>
              <x v="1514"/>
              <x v="1515"/>
              <x v="1516"/>
              <x v="1517"/>
              <x v="1518"/>
              <x v="1519"/>
              <x v="1520"/>
              <x v="1521"/>
              <x v="1522"/>
              <x v="1523"/>
              <x v="1524"/>
              <x v="1525"/>
              <x v="1526"/>
              <x v="1527"/>
              <x v="1528"/>
            </reference>
            <reference field="4" count="1" selected="0">
              <x v="8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3">
              <x v="204"/>
              <x v="273"/>
              <x v="274"/>
              <x v="1529"/>
              <x v="1530"/>
              <x v="1531"/>
              <x v="1532"/>
              <x v="1533"/>
              <x v="1534"/>
              <x v="1535"/>
              <x v="1536"/>
              <x v="1537"/>
              <x v="1601"/>
            </reference>
            <reference field="4" count="1" selected="0">
              <x v="9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11">
              <x v="205"/>
              <x v="206"/>
              <x v="1392"/>
              <x v="1538"/>
              <x v="1539"/>
              <x v="1540"/>
              <x v="1541"/>
              <x v="1542"/>
              <x v="1602"/>
              <x v="1603"/>
              <x v="1934"/>
            </reference>
            <reference field="4" count="1" selected="0">
              <x v="10"/>
            </reference>
          </references>
        </pivotArea>
        <pivotArea type="data" collapsedLevelsAreSubtotals="1" fieldPosition="0">
          <references count="2">
            <reference field="4294967294" count="1" selected="0">
              <x v="3"/>
            </reference>
            <reference field="4" count="1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2" count="28">
              <x v="117"/>
              <x v="118"/>
              <x v="207"/>
              <x v="208"/>
              <x v="224"/>
              <x v="847"/>
              <x v="848"/>
              <x v="849"/>
              <x v="850"/>
              <x v="1543"/>
              <x v="1544"/>
              <x v="1545"/>
              <x v="1546"/>
              <x v="1547"/>
              <x v="1548"/>
              <x v="1549"/>
              <x v="1550"/>
              <x v="1551"/>
              <x v="1604"/>
              <x v="1605"/>
              <x v="1606"/>
              <x v="1607"/>
              <x v="1608"/>
              <x v="1609"/>
              <x v="1653"/>
              <x v="1654"/>
              <x v="1655"/>
              <x v="1876"/>
            </reference>
            <reference field="4" count="1" selected="0">
              <x v="11"/>
            </reference>
          </references>
        </pivotArea>
      </pivotAreas>
    </conditionalFormat>
  </conditional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BFF0E8-6C6E-4B26-B26F-B4F6C3D6CEAE}" name="TablaDinámica3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B3:C16" firstHeaderRow="1" firstDataRow="1" firstDataCol="1"/>
  <pivotFields count="20">
    <pivotField showAll="0">
      <items count="33">
        <item h="1" x="18"/>
        <item h="1" x="17"/>
        <item h="1" x="6"/>
        <item h="1" x="7"/>
        <item h="1" x="31"/>
        <item h="1" x="10"/>
        <item x="3"/>
        <item h="1" x="5"/>
        <item h="1" x="1"/>
        <item h="1" x="24"/>
        <item h="1" x="26"/>
        <item h="1" x="20"/>
        <item h="1" x="21"/>
        <item h="1" x="25"/>
        <item h="1" x="28"/>
        <item h="1" x="8"/>
        <item h="1" x="2"/>
        <item h="1" x="29"/>
        <item h="1" x="14"/>
        <item h="1" x="23"/>
        <item h="1" x="22"/>
        <item h="1" x="15"/>
        <item h="1" x="12"/>
        <item h="1" x="27"/>
        <item h="1" x="11"/>
        <item h="1" x="30"/>
        <item h="1" x="9"/>
        <item h="1" x="16"/>
        <item h="1" x="0"/>
        <item h="1" x="4"/>
        <item h="1" x="13"/>
        <item h="1" x="19"/>
        <item t="default"/>
      </items>
    </pivotField>
    <pivotField compact="0" showAll="0">
      <items count="981">
        <item x="882"/>
        <item x="897"/>
        <item x="660"/>
        <item x="717"/>
        <item x="665"/>
        <item x="839"/>
        <item x="867"/>
        <item x="979"/>
        <item x="736"/>
        <item x="784"/>
        <item x="825"/>
        <item x="466"/>
        <item x="847"/>
        <item x="626"/>
        <item x="951"/>
        <item x="703"/>
        <item x="919"/>
        <item x="891"/>
        <item x="909"/>
        <item x="962"/>
        <item x="959"/>
        <item x="927"/>
        <item x="944"/>
        <item x="960"/>
        <item x="745"/>
        <item x="655"/>
        <item x="663"/>
        <item x="792"/>
        <item x="689"/>
        <item x="779"/>
        <item x="738"/>
        <item x="812"/>
        <item x="573"/>
        <item x="661"/>
        <item x="563"/>
        <item x="623"/>
        <item x="890"/>
        <item x="848"/>
        <item x="767"/>
        <item x="860"/>
        <item x="690"/>
        <item x="809"/>
        <item x="883"/>
        <item x="622"/>
        <item x="672"/>
        <item x="948"/>
        <item x="715"/>
        <item x="771"/>
        <item x="673"/>
        <item x="841"/>
        <item x="915"/>
        <item x="826"/>
        <item x="903"/>
        <item x="181"/>
        <item x="241"/>
        <item x="654"/>
        <item x="750"/>
        <item x="881"/>
        <item x="880"/>
        <item x="729"/>
        <item x="749"/>
        <item x="782"/>
        <item x="806"/>
        <item x="92"/>
        <item x="34"/>
        <item x="216"/>
        <item x="61"/>
        <item x="20"/>
        <item x="83"/>
        <item x="140"/>
        <item x="81"/>
        <item x="6"/>
        <item x="12"/>
        <item x="121"/>
        <item x="23"/>
        <item x="168"/>
        <item x="14"/>
        <item x="62"/>
        <item x="202"/>
        <item x="146"/>
        <item x="333"/>
        <item x="835"/>
        <item x="402"/>
        <item x="415"/>
        <item x="171"/>
        <item x="405"/>
        <item x="174"/>
        <item x="248"/>
        <item x="379"/>
        <item x="214"/>
        <item x="490"/>
        <item x="209"/>
        <item x="269"/>
        <item x="444"/>
        <item x="198"/>
        <item x="89"/>
        <item x="138"/>
        <item x="553"/>
        <item x="275"/>
        <item x="523"/>
        <item x="372"/>
        <item x="329"/>
        <item x="208"/>
        <item x="228"/>
        <item x="419"/>
        <item x="739"/>
        <item x="692"/>
        <item x="458"/>
        <item x="363"/>
        <item x="351"/>
        <item x="408"/>
        <item x="479"/>
        <item x="253"/>
        <item x="325"/>
        <item x="307"/>
        <item x="243"/>
        <item x="318"/>
        <item x="407"/>
        <item x="435"/>
        <item x="615"/>
        <item x="614"/>
        <item x="47"/>
        <item x="283"/>
        <item x="158"/>
        <item x="116"/>
        <item x="103"/>
        <item x="139"/>
        <item x="126"/>
        <item x="460"/>
        <item x="801"/>
        <item x="700"/>
        <item x="239"/>
        <item x="845"/>
        <item x="971"/>
        <item x="972"/>
        <item x="917"/>
        <item x="916"/>
        <item x="866"/>
        <item x="652"/>
        <item x="562"/>
        <item x="914"/>
        <item x="258"/>
        <item x="412"/>
        <item x="605"/>
        <item x="793"/>
        <item x="901"/>
        <item x="811"/>
        <item x="861"/>
        <item x="836"/>
        <item x="913"/>
        <item x="950"/>
        <item x="905"/>
        <item x="932"/>
        <item x="908"/>
        <item x="947"/>
        <item x="91"/>
        <item x="75"/>
        <item x="321"/>
        <item x="271"/>
        <item x="295"/>
        <item x="120"/>
        <item x="203"/>
        <item x="251"/>
        <item x="270"/>
        <item x="190"/>
        <item x="172"/>
        <item x="242"/>
        <item x="382"/>
        <item x="331"/>
        <item x="222"/>
        <item x="451"/>
        <item x="497"/>
        <item x="542"/>
        <item x="503"/>
        <item x="357"/>
        <item x="324"/>
        <item x="543"/>
        <item x="462"/>
        <item x="512"/>
        <item x="341"/>
        <item x="404"/>
        <item x="375"/>
        <item x="348"/>
        <item x="273"/>
        <item x="297"/>
        <item x="381"/>
        <item x="378"/>
        <item x="587"/>
        <item x="459"/>
        <item x="416"/>
        <item x="327"/>
        <item x="148"/>
        <item x="66"/>
        <item x="65"/>
        <item x="60"/>
        <item x="78"/>
        <item x="24"/>
        <item x="219"/>
        <item x="264"/>
        <item x="72"/>
        <item x="432"/>
        <item x="508"/>
        <item x="342"/>
        <item x="199"/>
        <item x="246"/>
        <item x="471"/>
        <item x="289"/>
        <item x="549"/>
        <item x="388"/>
        <item x="306"/>
        <item x="349"/>
        <item x="527"/>
        <item x="427"/>
        <item x="662"/>
        <item x="579"/>
        <item x="513"/>
        <item x="668"/>
        <item x="612"/>
        <item x="674"/>
        <item x="26"/>
        <item x="98"/>
        <item x="776"/>
        <item x="838"/>
        <item x="945"/>
        <item x="636"/>
        <item x="798"/>
        <item x="586"/>
        <item x="656"/>
        <item x="634"/>
        <item x="669"/>
        <item x="815"/>
        <item x="733"/>
        <item x="760"/>
        <item x="830"/>
        <item x="843"/>
        <item x="728"/>
        <item x="855"/>
        <item x="765"/>
        <item x="912"/>
        <item x="851"/>
        <item x="127"/>
        <item x="534"/>
        <item x="221"/>
        <item x="536"/>
        <item x="421"/>
        <item x="591"/>
        <item x="601"/>
        <item x="646"/>
        <item x="873"/>
        <item x="496"/>
        <item x="594"/>
        <item x="456"/>
        <item x="658"/>
        <item x="514"/>
        <item x="525"/>
        <item x="533"/>
        <item x="557"/>
        <item x="620"/>
        <item x="493"/>
        <item x="506"/>
        <item x="528"/>
        <item x="600"/>
        <item x="731"/>
        <item x="705"/>
        <item x="772"/>
        <item x="727"/>
        <item x="761"/>
        <item x="699"/>
        <item x="762"/>
        <item x="606"/>
        <item x="629"/>
        <item x="590"/>
        <item x="524"/>
        <item x="559"/>
        <item x="521"/>
        <item x="584"/>
        <item x="478"/>
        <item x="106"/>
        <item x="240"/>
        <item x="611"/>
        <item x="67"/>
        <item x="837"/>
        <item x="888"/>
        <item x="850"/>
        <item x="898"/>
        <item x="907"/>
        <item x="938"/>
        <item x="904"/>
        <item x="929"/>
        <item x="946"/>
        <item x="426"/>
        <item x="476"/>
        <item x="187"/>
        <item x="425"/>
        <item x="218"/>
        <item x="183"/>
        <item x="195"/>
        <item x="82"/>
        <item x="558"/>
        <item x="374"/>
        <item x="355"/>
        <item x="531"/>
        <item x="314"/>
        <item x="345"/>
        <item x="434"/>
        <item x="406"/>
        <item x="373"/>
        <item x="423"/>
        <item x="437"/>
        <item x="554"/>
        <item x="454"/>
        <item x="122"/>
        <item x="808"/>
        <item x="651"/>
        <item x="940"/>
        <item x="926"/>
        <item x="911"/>
        <item x="884"/>
        <item x="796"/>
        <item x="935"/>
        <item x="552"/>
        <item x="714"/>
        <item x="642"/>
        <item x="737"/>
        <item x="518"/>
        <item x="564"/>
        <item x="616"/>
        <item x="215"/>
        <item x="237"/>
        <item x="418"/>
        <item x="519"/>
        <item x="292"/>
        <item x="304"/>
        <item x="328"/>
        <item x="368"/>
        <item x="293"/>
        <item x="441"/>
        <item x="84"/>
        <item x="230"/>
        <item x="108"/>
        <item x="119"/>
        <item x="391"/>
        <item x="344"/>
        <item x="224"/>
        <item x="371"/>
        <item x="369"/>
        <item x="298"/>
        <item x="390"/>
        <item x="675"/>
        <item x="621"/>
        <item x="582"/>
        <item x="610"/>
        <item x="285"/>
        <item x="430"/>
        <item x="400"/>
        <item x="468"/>
        <item x="593"/>
        <item x="317"/>
        <item x="431"/>
        <item x="294"/>
        <item x="286"/>
        <item x="340"/>
        <item x="403"/>
        <item x="350"/>
        <item x="347"/>
        <item x="359"/>
        <item x="392"/>
        <item x="488"/>
        <item x="443"/>
        <item x="319"/>
        <item x="360"/>
        <item x="335"/>
        <item x="507"/>
        <item x="516"/>
        <item x="874"/>
        <item x="870"/>
        <item x="777"/>
        <item x="854"/>
        <item x="802"/>
        <item x="57"/>
        <item x="142"/>
        <item x="69"/>
        <item x="35"/>
        <item x="22"/>
        <item x="110"/>
        <item x="37"/>
        <item x="491"/>
        <item x="197"/>
        <item x="500"/>
        <item x="364"/>
        <item x="481"/>
        <item x="417"/>
        <item x="386"/>
        <item x="365"/>
        <item x="473"/>
        <item x="566"/>
        <item x="632"/>
        <item x="452"/>
        <item x="875"/>
        <item x="900"/>
        <item x="38"/>
        <item x="5"/>
        <item x="48"/>
        <item x="207"/>
        <item x="117"/>
        <item x="95"/>
        <item x="104"/>
        <item x="267"/>
        <item x="252"/>
        <item x="77"/>
        <item x="233"/>
        <item x="800"/>
        <item x="871"/>
        <item x="818"/>
        <item x="786"/>
        <item x="863"/>
        <item x="939"/>
        <item x="925"/>
        <item x="41"/>
        <item x="88"/>
        <item x="137"/>
        <item x="80"/>
        <item x="59"/>
        <item x="58"/>
        <item x="44"/>
        <item x="336"/>
        <item x="235"/>
        <item x="167"/>
        <item x="822"/>
        <item x="846"/>
        <item x="828"/>
        <item x="592"/>
        <item x="633"/>
        <item x="735"/>
        <item x="627"/>
        <item x="465"/>
        <item x="670"/>
        <item x="889"/>
        <item x="973"/>
        <item x="977"/>
        <item x="710"/>
        <item x="730"/>
        <item x="746"/>
        <item x="819"/>
        <item x="720"/>
        <item x="794"/>
        <item x="429"/>
        <item x="484"/>
        <item x="455"/>
        <item x="941"/>
        <item x="859"/>
        <item x="937"/>
        <item x="910"/>
        <item x="804"/>
        <item x="886"/>
        <item x="954"/>
        <item x="906"/>
        <item x="956"/>
        <item x="865"/>
        <item x="877"/>
        <item x="943"/>
        <item x="928"/>
        <item x="969"/>
        <item x="970"/>
        <item x="56"/>
        <item x="123"/>
        <item x="79"/>
        <item x="132"/>
        <item x="261"/>
        <item x="260"/>
        <item x="164"/>
        <item x="399"/>
        <item x="211"/>
        <item x="170"/>
        <item x="309"/>
        <item x="213"/>
        <item x="302"/>
        <item x="124"/>
        <item x="346"/>
        <item x="446"/>
        <item x="469"/>
        <item x="433"/>
        <item x="354"/>
        <item x="147"/>
        <item x="194"/>
        <item x="155"/>
        <item x="178"/>
        <item x="231"/>
        <item x="130"/>
        <item x="32"/>
        <item x="764"/>
        <item x="734"/>
        <item x="721"/>
        <item x="783"/>
        <item x="799"/>
        <item x="774"/>
        <item x="797"/>
        <item x="756"/>
        <item x="763"/>
        <item x="707"/>
        <item x="732"/>
        <item x="704"/>
        <item x="741"/>
        <item x="572"/>
        <item x="517"/>
        <item x="585"/>
        <item x="631"/>
        <item x="74"/>
        <item x="163"/>
        <item x="113"/>
        <item x="4"/>
        <item x="46"/>
        <item x="17"/>
        <item x="11"/>
        <item x="45"/>
        <item x="16"/>
        <item x="40"/>
        <item x="28"/>
        <item x="25"/>
        <item x="125"/>
        <item x="71"/>
        <item x="290"/>
        <item x="315"/>
        <item x="300"/>
        <item x="296"/>
        <item x="53"/>
        <item x="102"/>
        <item x="210"/>
        <item x="225"/>
        <item x="159"/>
        <item x="99"/>
        <item x="129"/>
        <item x="156"/>
        <item x="143"/>
        <item x="316"/>
        <item x="278"/>
        <item x="10"/>
        <item x="312"/>
        <item x="330"/>
        <item x="691"/>
        <item x="759"/>
        <item x="667"/>
        <item x="773"/>
        <item x="726"/>
        <item x="832"/>
        <item x="13"/>
        <item x="461"/>
        <item x="547"/>
        <item x="387"/>
        <item x="522"/>
        <item x="538"/>
        <item x="393"/>
        <item x="643"/>
        <item x="570"/>
        <item x="766"/>
        <item x="769"/>
        <item x="743"/>
        <item x="696"/>
        <item x="788"/>
        <item x="753"/>
        <item x="810"/>
        <item x="840"/>
        <item x="824"/>
        <item x="30"/>
        <item x="277"/>
        <item x="262"/>
        <item x="301"/>
        <item x="288"/>
        <item x="180"/>
        <item x="483"/>
        <item x="326"/>
        <item x="498"/>
        <item x="574"/>
        <item x="706"/>
        <item x="701"/>
        <item x="259"/>
        <item x="145"/>
        <item x="76"/>
        <item x="200"/>
        <item x="151"/>
        <item x="152"/>
        <item x="101"/>
        <item x="68"/>
        <item x="150"/>
        <item x="958"/>
        <item x="54"/>
        <item x="957"/>
        <item x="949"/>
        <item x="370"/>
        <item x="1"/>
        <item x="583"/>
        <item x="680"/>
        <item x="787"/>
        <item x="795"/>
        <item x="814"/>
        <item x="256"/>
        <item x="420"/>
        <item x="245"/>
        <item x="953"/>
        <item x="744"/>
        <item x="0"/>
        <item x="463"/>
        <item x="448"/>
        <item x="337"/>
        <item x="520"/>
        <item x="580"/>
        <item x="544"/>
        <item x="532"/>
        <item x="893"/>
        <item x="718"/>
        <item x="687"/>
        <item x="650"/>
        <item x="664"/>
        <item x="617"/>
        <item x="862"/>
        <item x="502"/>
        <item x="678"/>
        <item x="649"/>
        <item x="775"/>
        <item x="367"/>
        <item x="268"/>
        <item x="153"/>
        <item x="133"/>
        <item x="109"/>
        <item x="279"/>
        <item x="548"/>
        <item x="447"/>
        <item x="136"/>
        <item x="111"/>
        <item x="377"/>
        <item x="439"/>
        <item x="128"/>
        <item x="535"/>
        <item x="154"/>
        <item x="864"/>
        <item x="844"/>
        <item x="657"/>
        <item x="648"/>
        <item x="770"/>
        <item x="740"/>
        <item x="712"/>
        <item x="671"/>
        <item x="781"/>
        <item x="853"/>
        <item x="785"/>
        <item x="748"/>
        <item x="725"/>
        <item x="682"/>
        <item x="829"/>
        <item x="505"/>
        <item x="896"/>
        <item x="921"/>
        <item x="856"/>
        <item x="813"/>
        <item x="791"/>
        <item x="816"/>
        <item x="902"/>
        <item x="869"/>
        <item x="961"/>
        <item x="963"/>
        <item x="64"/>
        <item x="55"/>
        <item x="975"/>
        <item x="978"/>
        <item x="918"/>
        <item x="924"/>
        <item x="931"/>
        <item x="967"/>
        <item x="263"/>
        <item x="529"/>
        <item x="186"/>
        <item x="135"/>
        <item x="185"/>
        <item x="265"/>
        <item x="530"/>
        <item x="539"/>
        <item x="609"/>
        <item x="817"/>
        <item x="107"/>
        <item x="70"/>
        <item x="31"/>
        <item x="541"/>
        <item x="411"/>
        <item x="15"/>
        <item x="3"/>
        <item x="63"/>
        <item x="115"/>
        <item x="842"/>
        <item x="568"/>
        <item x="930"/>
        <item x="885"/>
        <item x="149"/>
        <item x="457"/>
        <item x="790"/>
        <item x="323"/>
        <item x="757"/>
        <item x="805"/>
        <item x="96"/>
        <item x="504"/>
        <item x="396"/>
        <item x="182"/>
        <item x="8"/>
        <item x="2"/>
        <item x="73"/>
        <item x="7"/>
        <item x="272"/>
        <item x="311"/>
        <item x="274"/>
        <item x="205"/>
        <item x="232"/>
        <item x="19"/>
        <item x="467"/>
        <item x="683"/>
        <item x="754"/>
        <item x="716"/>
        <item x="966"/>
        <item x="974"/>
        <item x="920"/>
        <item x="952"/>
        <item x="976"/>
        <item x="758"/>
        <item x="305"/>
        <item x="144"/>
        <item x="410"/>
        <item x="477"/>
        <item x="637"/>
        <item x="659"/>
        <item x="398"/>
        <item x="608"/>
        <item x="550"/>
        <item x="694"/>
        <item x="618"/>
        <item x="598"/>
        <item x="565"/>
        <item x="638"/>
        <item x="177"/>
        <item x="220"/>
        <item x="356"/>
        <item x="338"/>
        <item x="489"/>
        <item x="343"/>
        <item x="362"/>
        <item x="414"/>
        <item x="555"/>
        <item x="492"/>
        <item x="695"/>
        <item x="751"/>
        <item x="681"/>
        <item x="747"/>
        <item x="647"/>
        <item x="688"/>
        <item x="709"/>
        <item x="676"/>
        <item x="640"/>
        <item x="639"/>
        <item x="653"/>
        <item x="807"/>
        <item x="42"/>
        <item x="588"/>
        <item x="625"/>
        <item x="679"/>
        <item x="27"/>
        <item x="201"/>
        <item x="188"/>
        <item x="236"/>
        <item x="358"/>
        <item x="189"/>
        <item x="105"/>
        <item x="114"/>
        <item x="486"/>
        <item x="820"/>
        <item x="686"/>
        <item x="857"/>
        <item x="713"/>
        <item x="247"/>
        <item x="87"/>
        <item x="184"/>
        <item x="18"/>
        <item x="49"/>
        <item x="352"/>
        <item x="308"/>
        <item x="397"/>
        <item x="112"/>
        <item x="299"/>
        <item x="100"/>
        <item x="227"/>
        <item x="442"/>
        <item x="85"/>
        <item x="438"/>
        <item x="86"/>
        <item x="97"/>
        <item x="226"/>
        <item x="192"/>
        <item x="339"/>
        <item x="234"/>
        <item x="436"/>
        <item x="509"/>
        <item x="480"/>
        <item x="21"/>
        <item x="90"/>
        <item x="684"/>
        <item x="196"/>
        <item x="332"/>
        <item x="166"/>
        <item x="303"/>
        <item x="395"/>
        <item x="724"/>
        <item x="693"/>
        <item x="752"/>
        <item x="366"/>
        <item x="280"/>
        <item x="755"/>
        <item x="723"/>
        <item x="722"/>
        <item x="677"/>
        <item x="711"/>
        <item x="685"/>
        <item x="287"/>
        <item x="173"/>
        <item x="179"/>
        <item x="160"/>
        <item x="254"/>
        <item x="217"/>
        <item x="313"/>
        <item x="244"/>
        <item x="255"/>
        <item x="157"/>
        <item x="487"/>
        <item x="858"/>
        <item x="778"/>
        <item x="879"/>
        <item x="702"/>
        <item x="780"/>
        <item x="697"/>
        <item x="742"/>
        <item x="482"/>
        <item x="380"/>
        <item x="401"/>
        <item x="322"/>
        <item x="361"/>
        <item x="578"/>
        <item x="635"/>
        <item x="630"/>
        <item x="719"/>
        <item x="936"/>
        <item x="965"/>
        <item x="424"/>
        <item x="204"/>
        <item x="141"/>
        <item x="472"/>
        <item x="628"/>
        <item x="134"/>
        <item x="422"/>
        <item x="175"/>
        <item x="475"/>
        <item x="546"/>
        <item x="394"/>
        <item x="464"/>
        <item x="581"/>
        <item x="595"/>
        <item x="569"/>
        <item x="540"/>
        <item x="576"/>
        <item x="604"/>
        <item x="589"/>
        <item x="383"/>
        <item x="510"/>
        <item x="257"/>
        <item x="389"/>
        <item x="619"/>
        <item x="474"/>
        <item x="249"/>
        <item x="320"/>
        <item x="50"/>
        <item x="281"/>
        <item x="165"/>
        <item x="353"/>
        <item x="161"/>
        <item x="238"/>
        <item x="501"/>
        <item x="561"/>
        <item x="596"/>
        <item x="613"/>
        <item x="409"/>
        <item x="445"/>
        <item x="385"/>
        <item x="537"/>
        <item x="511"/>
        <item x="450"/>
        <item x="449"/>
        <item x="575"/>
        <item x="384"/>
        <item x="577"/>
        <item x="29"/>
        <item x="39"/>
        <item x="282"/>
        <item x="413"/>
        <item x="276"/>
        <item x="131"/>
        <item x="43"/>
        <item x="93"/>
        <item x="51"/>
        <item x="9"/>
        <item x="52"/>
        <item x="223"/>
        <item x="310"/>
        <item x="94"/>
        <item x="162"/>
        <item x="440"/>
        <item x="934"/>
        <item x="485"/>
        <item x="376"/>
        <item x="470"/>
        <item x="334"/>
        <item x="852"/>
        <item x="803"/>
        <item x="789"/>
        <item x="878"/>
        <item x="827"/>
        <item x="887"/>
        <item x="872"/>
        <item x="599"/>
        <item x="895"/>
        <item x="942"/>
        <item x="933"/>
        <item x="666"/>
        <item x="892"/>
        <item x="964"/>
        <item x="968"/>
        <item x="876"/>
        <item x="894"/>
        <item x="768"/>
        <item x="923"/>
        <item x="955"/>
        <item x="212"/>
        <item x="169"/>
        <item x="229"/>
        <item x="176"/>
        <item x="193"/>
        <item x="284"/>
        <item x="33"/>
        <item x="206"/>
        <item x="831"/>
        <item x="899"/>
        <item x="868"/>
        <item x="823"/>
        <item x="922"/>
        <item x="849"/>
        <item x="624"/>
        <item x="644"/>
        <item x="560"/>
        <item x="545"/>
        <item x="645"/>
        <item x="551"/>
        <item x="567"/>
        <item x="556"/>
        <item x="453"/>
        <item x="641"/>
        <item x="708"/>
        <item x="698"/>
        <item x="495"/>
        <item x="603"/>
        <item x="494"/>
        <item x="266"/>
        <item x="602"/>
        <item x="250"/>
        <item x="515"/>
        <item x="428"/>
        <item x="499"/>
        <item x="571"/>
        <item x="607"/>
        <item x="821"/>
        <item x="833"/>
        <item x="834"/>
        <item x="36"/>
        <item x="118"/>
        <item x="526"/>
        <item x="597"/>
        <item x="291"/>
        <item x="191"/>
        <item t="default"/>
      </items>
    </pivotField>
    <pivotField numFmtId="1" showAll="0" defaultSubtotal="0">
      <items count="1935">
        <item x="976"/>
        <item x="1099"/>
        <item x="1117"/>
        <item x="1202"/>
        <item x="1203"/>
        <item x="1255"/>
        <item x="1263"/>
        <item x="1271"/>
        <item x="1270"/>
        <item x="1268"/>
        <item x="1279"/>
        <item x="1281"/>
        <item x="1285"/>
        <item x="1284"/>
        <item x="1293"/>
        <item x="1296"/>
        <item x="1305"/>
        <item x="1304"/>
        <item x="1303"/>
        <item x="1321"/>
        <item x="1322"/>
        <item x="1332"/>
        <item x="1335"/>
        <item x="1339"/>
        <item x="1341"/>
        <item x="1353"/>
        <item x="1351"/>
        <item x="1380"/>
        <item x="1374"/>
        <item x="1377"/>
        <item x="1385"/>
        <item x="1391"/>
        <item x="1398"/>
        <item x="1421"/>
        <item x="1424"/>
        <item x="1423"/>
        <item x="1431"/>
        <item x="1434"/>
        <item x="1436"/>
        <item x="1443"/>
        <item x="1449"/>
        <item x="1450"/>
        <item x="1459"/>
        <item x="1474"/>
        <item x="1475"/>
        <item x="1479"/>
        <item x="1484"/>
        <item x="1498"/>
        <item x="1504"/>
        <item x="1510"/>
        <item x="1515"/>
        <item x="1516"/>
        <item x="1522"/>
        <item x="1523"/>
        <item x="1525"/>
        <item x="1543"/>
        <item x="1544"/>
        <item x="1554"/>
        <item x="1555"/>
        <item x="1556"/>
        <item x="1557"/>
        <item x="1559"/>
        <item x="1565"/>
        <item x="1563"/>
        <item x="1568"/>
        <item x="1569"/>
        <item x="1579"/>
        <item x="1577"/>
        <item x="1581"/>
        <item x="1583"/>
        <item x="1586"/>
        <item x="1587"/>
        <item x="1597"/>
        <item x="1616"/>
        <item x="1627"/>
        <item x="1632"/>
        <item x="1634"/>
        <item x="1628"/>
        <item x="1630"/>
        <item x="1629"/>
        <item x="1639"/>
        <item x="1636"/>
        <item x="1635"/>
        <item x="1646"/>
        <item x="1648"/>
        <item x="1649"/>
        <item x="1654"/>
        <item x="1668"/>
        <item x="1676"/>
        <item x="1685"/>
        <item x="1683"/>
        <item x="1689"/>
        <item x="1694"/>
        <item x="1707"/>
        <item x="1709"/>
        <item x="1712"/>
        <item x="1726"/>
        <item x="1736"/>
        <item x="1743"/>
        <item x="1746"/>
        <item x="1754"/>
        <item x="1759"/>
        <item x="1758"/>
        <item x="1768"/>
        <item x="1776"/>
        <item x="1794"/>
        <item x="1795"/>
        <item x="1805"/>
        <item x="1811"/>
        <item x="1816"/>
        <item x="1825"/>
        <item x="1826"/>
        <item x="1830"/>
        <item x="1835"/>
        <item x="1837"/>
        <item x="1867"/>
        <item x="1880"/>
        <item x="1911"/>
        <item x="1913"/>
        <item x="898"/>
        <item x="1166"/>
        <item x="1213"/>
        <item x="1280"/>
        <item x="1288"/>
        <item x="1294"/>
        <item x="1295"/>
        <item x="1306"/>
        <item x="1348"/>
        <item x="1363"/>
        <item x="1384"/>
        <item x="1388"/>
        <item x="1419"/>
        <item x="1437"/>
        <item x="1476"/>
        <item x="1508"/>
        <item x="1519"/>
        <item x="1536"/>
        <item x="1546"/>
        <item x="1578"/>
        <item x="1584"/>
        <item x="1585"/>
        <item x="1593"/>
        <item x="1591"/>
        <item x="1592"/>
        <item x="1598"/>
        <item x="1608"/>
        <item x="1611"/>
        <item x="1614"/>
        <item x="1620"/>
        <item x="1621"/>
        <item x="1633"/>
        <item x="1638"/>
        <item x="1643"/>
        <item x="1644"/>
        <item x="1647"/>
        <item x="1655"/>
        <item x="1667"/>
        <item x="1674"/>
        <item x="1684"/>
        <item x="1682"/>
        <item x="1706"/>
        <item x="1708"/>
        <item x="1714"/>
        <item x="1715"/>
        <item x="1718"/>
        <item x="1719"/>
        <item x="1724"/>
        <item x="1734"/>
        <item x="1740"/>
        <item x="1742"/>
        <item x="1749"/>
        <item x="1761"/>
        <item x="1762"/>
        <item x="1764"/>
        <item x="1766"/>
        <item x="1771"/>
        <item x="1773"/>
        <item x="1775"/>
        <item x="1777"/>
        <item x="1779"/>
        <item x="1778"/>
        <item x="1782"/>
        <item x="1787"/>
        <item x="1788"/>
        <item x="1791"/>
        <item x="1792"/>
        <item x="1796"/>
        <item x="1803"/>
        <item x="1804"/>
        <item x="1813"/>
        <item x="1815"/>
        <item x="1823"/>
        <item x="1827"/>
        <item x="1829"/>
        <item x="1832"/>
        <item x="1842"/>
        <item x="1844"/>
        <item x="1847"/>
        <item x="1851"/>
        <item x="1854"/>
        <item x="1857"/>
        <item x="1866"/>
        <item x="1869"/>
        <item x="1873"/>
        <item x="1890"/>
        <item x="1898"/>
        <item x="1902"/>
        <item x="1914"/>
        <item x="1919"/>
        <item x="35"/>
        <item x="63"/>
        <item x="168"/>
        <item x="191"/>
        <item x="328"/>
        <item x="461"/>
        <item x="460"/>
        <item x="40"/>
        <item x="75"/>
        <item x="95"/>
        <item x="119"/>
        <item x="193"/>
        <item x="218"/>
        <item x="230"/>
        <item x="365"/>
        <item x="1934"/>
        <item x="73"/>
        <item x="280"/>
        <item x="10"/>
        <item x="59"/>
        <item x="71"/>
        <item x="77"/>
        <item x="78"/>
        <item x="122"/>
        <item x="144"/>
        <item x="157"/>
        <item x="167"/>
        <item x="244"/>
        <item x="324"/>
        <item x="397"/>
        <item x="411"/>
        <item x="433"/>
        <item x="435"/>
        <item x="451"/>
        <item x="456"/>
        <item x="477"/>
        <item x="554"/>
        <item x="555"/>
        <item x="586"/>
        <item x="631"/>
        <item x="646"/>
        <item x="658"/>
        <item x="682"/>
        <item x="709"/>
        <item x="715"/>
        <item x="805"/>
        <item x="806"/>
        <item x="843"/>
        <item x="890"/>
        <item x="919"/>
        <item x="999"/>
        <item x="1005"/>
        <item x="1063"/>
        <item x="1493"/>
        <item x="1541"/>
        <item x="1669"/>
        <item x="1675"/>
        <item x="1690"/>
        <item x="1691"/>
        <item x="1705"/>
        <item x="1716"/>
        <item x="1722"/>
        <item x="1733"/>
        <item x="1739"/>
        <item x="1893"/>
        <item x="1894"/>
        <item x="30"/>
        <item x="33"/>
        <item x="39"/>
        <item x="79"/>
        <item x="90"/>
        <item x="89"/>
        <item x="88"/>
        <item x="102"/>
        <item x="87"/>
        <item x="117"/>
        <item x="118"/>
        <item x="125"/>
        <item x="151"/>
        <item x="150"/>
        <item x="158"/>
        <item x="170"/>
        <item x="181"/>
        <item x="211"/>
        <item x="198"/>
        <item x="199"/>
        <item x="221"/>
        <item x="227"/>
        <item x="245"/>
        <item x="247"/>
        <item x="263"/>
        <item x="254"/>
        <item x="270"/>
        <item x="285"/>
        <item x="269"/>
        <item x="268"/>
        <item x="300"/>
        <item x="314"/>
        <item x="320"/>
        <item x="336"/>
        <item x="325"/>
        <item x="383"/>
        <item x="379"/>
        <item x="382"/>
        <item x="381"/>
        <item x="378"/>
        <item x="398"/>
        <item x="402"/>
        <item x="410"/>
        <item x="403"/>
        <item x="416"/>
        <item x="415"/>
        <item x="450"/>
        <item x="471"/>
        <item x="470"/>
        <item x="457"/>
        <item x="462"/>
        <item x="476"/>
        <item x="472"/>
        <item x="506"/>
        <item x="496"/>
        <item x="509"/>
        <item x="508"/>
        <item x="511"/>
        <item x="520"/>
        <item x="521"/>
        <item x="530"/>
        <item x="534"/>
        <item x="551"/>
        <item x="550"/>
        <item x="549"/>
        <item x="562"/>
        <item x="565"/>
        <item x="578"/>
        <item x="601"/>
        <item x="589"/>
        <item x="588"/>
        <item x="621"/>
        <item x="629"/>
        <item x="643"/>
        <item x="652"/>
        <item x="655"/>
        <item x="657"/>
        <item x="661"/>
        <item x="660"/>
        <item x="672"/>
        <item x="681"/>
        <item x="680"/>
        <item x="687"/>
        <item x="696"/>
        <item x="730"/>
        <item x="735"/>
        <item x="740"/>
        <item x="751"/>
        <item x="757"/>
        <item x="778"/>
        <item x="774"/>
        <item x="782"/>
        <item x="789"/>
        <item x="797"/>
        <item x="807"/>
        <item x="801"/>
        <item x="802"/>
        <item x="810"/>
        <item x="820"/>
        <item x="826"/>
        <item x="819"/>
        <item x="828"/>
        <item x="848"/>
        <item x="874"/>
        <item x="886"/>
        <item x="887"/>
        <item x="905"/>
        <item x="908"/>
        <item x="910"/>
        <item x="921"/>
        <item x="920"/>
        <item x="934"/>
        <item x="940"/>
        <item x="937"/>
        <item x="946"/>
        <item x="947"/>
        <item x="969"/>
        <item x="967"/>
        <item x="973"/>
        <item x="986"/>
        <item x="987"/>
        <item x="995"/>
        <item x="994"/>
        <item x="1012"/>
        <item x="1016"/>
        <item x="1023"/>
        <item x="1022"/>
        <item x="1024"/>
        <item x="1021"/>
        <item x="1053"/>
        <item x="1064"/>
        <item x="1069"/>
        <item x="1080"/>
        <item x="1074"/>
        <item x="1095"/>
        <item x="1128"/>
        <item x="1132"/>
        <item x="1143"/>
        <item x="1169"/>
        <item x="1188"/>
        <item x="1189"/>
        <item x="1214"/>
        <item x="1235"/>
        <item x="1264"/>
        <item x="1282"/>
        <item x="1299"/>
        <item x="1307"/>
        <item x="1323"/>
        <item x="1342"/>
        <item x="1394"/>
        <item x="2"/>
        <item x="4"/>
        <item x="7"/>
        <item x="8"/>
        <item x="12"/>
        <item x="19"/>
        <item x="21"/>
        <item x="22"/>
        <item x="23"/>
        <item x="25"/>
        <item x="28"/>
        <item x="31"/>
        <item x="34"/>
        <item x="36"/>
        <item x="43"/>
        <item x="45"/>
        <item x="47"/>
        <item x="49"/>
        <item x="53"/>
        <item x="54"/>
        <item x="56"/>
        <item x="60"/>
        <item x="61"/>
        <item x="57"/>
        <item x="72"/>
        <item x="69"/>
        <item x="67"/>
        <item x="76"/>
        <item x="100"/>
        <item x="94"/>
        <item x="101"/>
        <item x="99"/>
        <item x="97"/>
        <item x="93"/>
        <item x="106"/>
        <item x="105"/>
        <item x="124"/>
        <item x="123"/>
        <item x="134"/>
        <item x="130"/>
        <item x="129"/>
        <item x="127"/>
        <item x="128"/>
        <item x="147"/>
        <item x="149"/>
        <item x="171"/>
        <item x="174"/>
        <item x="177"/>
        <item x="185"/>
        <item x="186"/>
        <item x="206"/>
        <item x="205"/>
        <item x="200"/>
        <item x="220"/>
        <item x="219"/>
        <item x="226"/>
        <item x="234"/>
        <item x="242"/>
        <item x="251"/>
        <item x="253"/>
        <item x="261"/>
        <item x="267"/>
        <item x="282"/>
        <item x="283"/>
        <item x="281"/>
        <item x="286"/>
        <item x="288"/>
        <item x="291"/>
        <item x="292"/>
        <item x="297"/>
        <item x="296"/>
        <item x="294"/>
        <item x="312"/>
        <item x="311"/>
        <item x="310"/>
        <item x="313"/>
        <item x="318"/>
        <item x="323"/>
        <item x="322"/>
        <item x="337"/>
        <item x="327"/>
        <item x="334"/>
        <item x="338"/>
        <item x="342"/>
        <item x="344"/>
        <item x="347"/>
        <item x="350"/>
        <item x="361"/>
        <item x="374"/>
        <item x="373"/>
        <item x="395"/>
        <item x="394"/>
        <item x="399"/>
        <item x="400"/>
        <item x="408"/>
        <item x="406"/>
        <item x="424"/>
        <item x="425"/>
        <item x="423"/>
        <item x="434"/>
        <item x="436"/>
        <item x="442"/>
        <item x="440"/>
        <item x="438"/>
        <item x="446"/>
        <item x="444"/>
        <item x="452"/>
        <item x="466"/>
        <item x="458"/>
        <item x="459"/>
        <item x="467"/>
        <item x="475"/>
        <item x="484"/>
        <item x="478"/>
        <item x="479"/>
        <item x="491"/>
        <item x="492"/>
        <item x="497"/>
        <item x="503"/>
        <item x="502"/>
        <item x="504"/>
        <item x="499"/>
        <item x="524"/>
        <item x="527"/>
        <item x="543"/>
        <item x="544"/>
        <item x="541"/>
        <item x="538"/>
        <item x="552"/>
        <item x="559"/>
        <item x="560"/>
        <item x="563"/>
        <item x="567"/>
        <item x="572"/>
        <item x="577"/>
        <item x="569"/>
        <item x="568"/>
        <item x="570"/>
        <item x="579"/>
        <item x="583"/>
        <item x="582"/>
        <item x="593"/>
        <item x="600"/>
        <item x="595"/>
        <item x="594"/>
        <item x="597"/>
        <item x="604"/>
        <item x="602"/>
        <item x="603"/>
        <item x="612"/>
        <item x="613"/>
        <item x="610"/>
        <item x="609"/>
        <item x="615"/>
        <item x="619"/>
        <item x="616"/>
        <item x="622"/>
        <item x="626"/>
        <item x="639"/>
        <item x="644"/>
        <item x="653"/>
        <item x="659"/>
        <item x="666"/>
        <item x="670"/>
        <item x="674"/>
        <item x="675"/>
        <item x="676"/>
        <item x="673"/>
        <item x="683"/>
        <item x="684"/>
        <item x="698"/>
        <item x="702"/>
        <item x="703"/>
        <item x="723"/>
        <item x="716"/>
        <item x="722"/>
        <item x="725"/>
        <item x="733"/>
        <item x="745"/>
        <item x="754"/>
        <item x="753"/>
        <item x="756"/>
        <item x="752"/>
        <item x="758"/>
        <item x="759"/>
        <item x="766"/>
        <item x="775"/>
        <item x="770"/>
        <item x="763"/>
        <item x="767"/>
        <item x="768"/>
        <item x="769"/>
        <item x="783"/>
        <item x="794"/>
        <item x="813"/>
        <item x="812"/>
        <item x="824"/>
        <item x="825"/>
        <item x="829"/>
        <item x="833"/>
        <item x="839"/>
        <item x="844"/>
        <item x="847"/>
        <item x="853"/>
        <item x="866"/>
        <item x="859"/>
        <item x="861"/>
        <item x="862"/>
        <item x="879"/>
        <item x="882"/>
        <item x="896"/>
        <item x="901"/>
        <item x="904"/>
        <item x="895"/>
        <item x="906"/>
        <item x="912"/>
        <item x="914"/>
        <item x="927"/>
        <item x="923"/>
        <item x="930"/>
        <item x="944"/>
        <item x="949"/>
        <item x="952"/>
        <item x="956"/>
        <item x="962"/>
        <item x="965"/>
        <item x="968"/>
        <item x="985"/>
        <item x="975"/>
        <item x="982"/>
        <item x="977"/>
        <item x="990"/>
        <item x="996"/>
        <item x="1006"/>
        <item x="1008"/>
        <item x="1017"/>
        <item x="1018"/>
        <item x="1029"/>
        <item x="1030"/>
        <item x="1028"/>
        <item x="1034"/>
        <item x="1038"/>
        <item x="1037"/>
        <item x="1039"/>
        <item x="1043"/>
        <item x="1046"/>
        <item x="1051"/>
        <item x="1061"/>
        <item x="1060"/>
        <item x="1062"/>
        <item x="1076"/>
        <item x="1082"/>
        <item x="1088"/>
        <item x="1091"/>
        <item x="1092"/>
        <item x="1096"/>
        <item x="1106"/>
        <item x="1107"/>
        <item x="1112"/>
        <item x="1114"/>
        <item x="1121"/>
        <item x="1123"/>
        <item x="1127"/>
        <item x="1130"/>
        <item x="1135"/>
        <item x="1138"/>
        <item x="1137"/>
        <item x="1134"/>
        <item x="1145"/>
        <item x="1146"/>
        <item x="1149"/>
        <item x="1154"/>
        <item x="1148"/>
        <item x="1156"/>
        <item x="1158"/>
        <item x="1160"/>
        <item x="1161"/>
        <item x="1163"/>
        <item x="1167"/>
        <item x="1170"/>
        <item x="1174"/>
        <item x="1176"/>
        <item x="1177"/>
        <item x="1179"/>
        <item x="1182"/>
        <item x="1185"/>
        <item x="1186"/>
        <item x="1184"/>
        <item x="1187"/>
        <item x="1190"/>
        <item x="1194"/>
        <item x="1199"/>
        <item x="1201"/>
        <item x="1200"/>
        <item x="1198"/>
        <item x="1204"/>
        <item x="1205"/>
        <item x="1206"/>
        <item x="1207"/>
        <item x="1210"/>
        <item x="1217"/>
        <item x="1224"/>
        <item x="1226"/>
        <item x="1229"/>
        <item x="1237"/>
        <item x="1236"/>
        <item x="1241"/>
        <item x="1242"/>
        <item x="1247"/>
        <item x="1251"/>
        <item x="1252"/>
        <item x="1262"/>
        <item x="1273"/>
        <item x="1283"/>
        <item x="1290"/>
        <item x="1298"/>
        <item x="1308"/>
        <item x="1310"/>
        <item x="1356"/>
        <item x="1358"/>
        <item x="1362"/>
        <item x="1365"/>
        <item x="1370"/>
        <item x="1393"/>
        <item x="1401"/>
        <item x="1406"/>
        <item x="1409"/>
        <item x="1412"/>
        <item x="1410"/>
        <item x="1408"/>
        <item x="1427"/>
        <item x="1440"/>
        <item x="1444"/>
        <item x="1455"/>
        <item x="1456"/>
        <item x="1464"/>
        <item x="1465"/>
        <item x="1485"/>
        <item x="1499"/>
        <item x="1505"/>
        <item x="1549"/>
        <item x="1550"/>
        <item x="1429"/>
        <item x="1503"/>
        <item x="1580"/>
        <item x="1601"/>
        <item x="1626"/>
        <item x="1656"/>
        <item x="1671"/>
        <item x="1704"/>
        <item x="1711"/>
        <item x="1729"/>
        <item x="1753"/>
        <item x="1767"/>
        <item x="1786"/>
        <item x="1807"/>
        <item x="1833"/>
        <item x="1140"/>
        <item x="1153"/>
        <item x="1227"/>
        <item x="1231"/>
        <item x="1233"/>
        <item x="1269"/>
        <item x="1301"/>
        <item x="1324"/>
        <item x="1407"/>
        <item x="1414"/>
        <item x="1463"/>
        <item x="1534"/>
        <item x="1567"/>
        <item x="1600"/>
        <item x="1637"/>
        <item x="1852"/>
        <item x="1142"/>
        <item x="1212"/>
        <item x="1239"/>
        <item x="1240"/>
        <item x="1254"/>
        <item x="1261"/>
        <item x="1265"/>
        <item x="1289"/>
        <item x="1309"/>
        <item x="1314"/>
        <item x="1319"/>
        <item x="1328"/>
        <item x="1338"/>
        <item x="1347"/>
        <item x="1349"/>
        <item x="1350"/>
        <item x="1367"/>
        <item x="1371"/>
        <item x="1442"/>
        <item x="1446"/>
        <item x="1453"/>
        <item x="1480"/>
        <item x="1640"/>
        <item x="1511"/>
        <item x="1538"/>
        <item x="1571"/>
        <item x="1613"/>
        <item x="1661"/>
        <item x="1688"/>
        <item x="1696"/>
        <item x="1703"/>
        <item x="1717"/>
        <item x="1723"/>
        <item x="1735"/>
        <item x="1751"/>
        <item x="1774"/>
        <item x="1784"/>
        <item x="1797"/>
        <item x="1801"/>
        <item x="1819"/>
        <item x="1839"/>
        <item x="1840"/>
        <item x="1845"/>
        <item x="1848"/>
        <item x="1859"/>
        <item x="1860"/>
        <item x="1872"/>
        <item x="1877"/>
        <item x="1882"/>
        <item x="1918"/>
        <item x="1928"/>
        <item x="1932"/>
        <item x="1933"/>
        <item x="1728"/>
        <item x="1769"/>
        <item x="1770"/>
        <item x="1790"/>
        <item x="1806"/>
        <item x="48"/>
        <item x="74"/>
        <item x="86"/>
        <item x="213"/>
        <item x="255"/>
        <item x="326"/>
        <item x="392"/>
        <item x="417"/>
        <item x="480"/>
        <item x="501"/>
        <item x="512"/>
        <item x="537"/>
        <item x="540"/>
        <item x="581"/>
        <item x="587"/>
        <item x="620"/>
        <item x="649"/>
        <item x="688"/>
        <item x="692"/>
        <item x="704"/>
        <item x="712"/>
        <item x="714"/>
        <item x="736"/>
        <item x="765"/>
        <item x="773"/>
        <item x="788"/>
        <item x="790"/>
        <item x="821"/>
        <item x="876"/>
        <item x="881"/>
        <item x="922"/>
        <item x="932"/>
        <item x="942"/>
        <item x="953"/>
        <item x="954"/>
        <item x="963"/>
        <item x="997"/>
        <item x="992"/>
        <item x="998"/>
        <item x="1013"/>
        <item x="1019"/>
        <item x="1025"/>
        <item x="1026"/>
        <item x="1027"/>
        <item x="1059"/>
        <item x="1058"/>
        <item x="1066"/>
        <item x="1077"/>
        <item x="1073"/>
        <item x="1075"/>
        <item x="1079"/>
        <item x="1085"/>
        <item x="1086"/>
        <item x="1090"/>
        <item x="1097"/>
        <item x="1103"/>
        <item x="1110"/>
        <item x="1115"/>
        <item x="1126"/>
        <item x="1136"/>
        <item x="1150"/>
        <item x="1155"/>
        <item x="1164"/>
        <item x="1165"/>
        <item x="1172"/>
        <item x="1173"/>
        <item x="1180"/>
        <item x="1181"/>
        <item x="1191"/>
        <item x="1197"/>
        <item x="1211"/>
        <item x="1209"/>
        <item x="1220"/>
        <item x="1221"/>
        <item x="1234"/>
        <item x="1238"/>
        <item x="1243"/>
        <item x="1250"/>
        <item x="1267"/>
        <item x="1275"/>
        <item x="1274"/>
        <item x="1312"/>
        <item x="1311"/>
        <item x="1315"/>
        <item x="1320"/>
        <item x="1318"/>
        <item x="1330"/>
        <item x="1331"/>
        <item x="1337"/>
        <item x="1345"/>
        <item x="1346"/>
        <item x="1352"/>
        <item x="1357"/>
        <item x="1369"/>
        <item x="1375"/>
        <item x="1392"/>
        <item x="1397"/>
        <item x="1395"/>
        <item x="1396"/>
        <item x="1399"/>
        <item x="1432"/>
        <item x="1433"/>
        <item x="1438"/>
        <item x="1447"/>
        <item x="1452"/>
        <item x="1454"/>
        <item x="1469"/>
        <item x="1495"/>
        <item x="1575"/>
        <item x="1607"/>
        <item x="1609"/>
        <item x="1610"/>
        <item x="3"/>
        <item x="5"/>
        <item x="6"/>
        <item x="9"/>
        <item x="11"/>
        <item x="13"/>
        <item x="14"/>
        <item x="17"/>
        <item x="16"/>
        <item x="18"/>
        <item x="20"/>
        <item x="24"/>
        <item x="26"/>
        <item x="29"/>
        <item x="27"/>
        <item x="32"/>
        <item x="37"/>
        <item x="38"/>
        <item x="44"/>
        <item x="42"/>
        <item x="46"/>
        <item x="50"/>
        <item x="51"/>
        <item x="52"/>
        <item x="58"/>
        <item x="62"/>
        <item x="64"/>
        <item x="65"/>
        <item x="66"/>
        <item x="70"/>
        <item x="68"/>
        <item x="81"/>
        <item x="82"/>
        <item x="85"/>
        <item x="83"/>
        <item x="80"/>
        <item x="84"/>
        <item x="91"/>
        <item x="96"/>
        <item x="98"/>
        <item x="108"/>
        <item x="111"/>
        <item x="109"/>
        <item x="110"/>
        <item x="107"/>
        <item x="113"/>
        <item x="112"/>
        <item x="115"/>
        <item x="120"/>
        <item x="121"/>
        <item x="133"/>
        <item x="126"/>
        <item x="131"/>
        <item x="132"/>
        <item x="136"/>
        <item x="135"/>
        <item x="137"/>
        <item x="142"/>
        <item x="139"/>
        <item x="143"/>
        <item x="140"/>
        <item x="141"/>
        <item x="145"/>
        <item x="146"/>
        <item x="148"/>
        <item x="155"/>
        <item x="156"/>
        <item x="154"/>
        <item x="153"/>
        <item x="159"/>
        <item x="165"/>
        <item x="161"/>
        <item x="162"/>
        <item x="169"/>
        <item x="160"/>
        <item x="175"/>
        <item x="178"/>
        <item x="180"/>
        <item x="179"/>
        <item x="184"/>
        <item x="189"/>
        <item x="195"/>
        <item x="194"/>
        <item x="209"/>
        <item x="210"/>
        <item x="202"/>
        <item x="204"/>
        <item x="207"/>
        <item x="196"/>
        <item x="201"/>
        <item x="214"/>
        <item x="215"/>
        <item x="216"/>
        <item x="225"/>
        <item x="223"/>
        <item x="231"/>
        <item x="233"/>
        <item x="228"/>
        <item x="229"/>
        <item x="232"/>
        <item x="239"/>
        <item x="241"/>
        <item x="238"/>
        <item x="246"/>
        <item x="248"/>
        <item x="249"/>
        <item x="258"/>
        <item x="260"/>
        <item x="262"/>
        <item x="256"/>
        <item x="264"/>
        <item x="265"/>
        <item x="266"/>
        <item x="274"/>
        <item x="279"/>
        <item x="277"/>
        <item x="290"/>
        <item x="289"/>
        <item x="299"/>
        <item x="307"/>
        <item x="305"/>
        <item x="308"/>
        <item x="304"/>
        <item x="309"/>
        <item x="303"/>
        <item x="315"/>
        <item x="317"/>
        <item x="330"/>
        <item x="333"/>
        <item x="331"/>
        <item x="332"/>
        <item x="329"/>
        <item x="343"/>
        <item x="345"/>
        <item x="340"/>
        <item x="346"/>
        <item x="341"/>
        <item x="348"/>
        <item x="351"/>
        <item x="352"/>
        <item x="353"/>
        <item x="356"/>
        <item x="357"/>
        <item x="380"/>
        <item x="371"/>
        <item x="367"/>
        <item x="377"/>
        <item x="366"/>
        <item x="363"/>
        <item x="364"/>
        <item x="368"/>
        <item x="372"/>
        <item x="387"/>
        <item x="386"/>
        <item x="388"/>
        <item x="389"/>
        <item x="390"/>
        <item x="401"/>
        <item x="407"/>
        <item x="404"/>
        <item x="405"/>
        <item x="412"/>
        <item x="422"/>
        <item x="428"/>
        <item x="429"/>
        <item x="426"/>
        <item x="421"/>
        <item x="427"/>
        <item x="420"/>
        <item x="431"/>
        <item x="419"/>
        <item x="432"/>
        <item x="437"/>
        <item x="443"/>
        <item x="441"/>
        <item x="447"/>
        <item x="448"/>
        <item x="449"/>
        <item x="453"/>
        <item x="455"/>
        <item x="465"/>
        <item x="463"/>
        <item x="464"/>
        <item x="468"/>
        <item x="474"/>
        <item x="473"/>
        <item x="485"/>
        <item x="481"/>
        <item x="493"/>
        <item x="500"/>
        <item x="505"/>
        <item x="515"/>
        <item x="514"/>
        <item x="518"/>
        <item x="516"/>
        <item x="517"/>
        <item x="525"/>
        <item x="522"/>
        <item x="523"/>
        <item x="526"/>
        <item x="528"/>
        <item x="529"/>
        <item x="531"/>
        <item x="532"/>
        <item x="533"/>
        <item x="535"/>
        <item x="545"/>
        <item x="539"/>
        <item x="548"/>
        <item x="556"/>
        <item x="557"/>
        <item x="558"/>
        <item x="564"/>
        <item x="561"/>
        <item x="574"/>
        <item x="571"/>
        <item x="575"/>
        <item x="576"/>
        <item x="573"/>
        <item x="592"/>
        <item x="598"/>
        <item x="590"/>
        <item x="596"/>
        <item x="591"/>
        <item x="599"/>
        <item x="607"/>
        <item x="611"/>
        <item x="608"/>
        <item x="614"/>
        <item x="617"/>
        <item x="624"/>
        <item x="625"/>
        <item x="628"/>
        <item x="630"/>
        <item x="627"/>
        <item x="637"/>
        <item x="635"/>
        <item x="645"/>
        <item x="641"/>
        <item x="636"/>
        <item x="638"/>
        <item x="647"/>
        <item x="650"/>
        <item x="651"/>
        <item x="656"/>
        <item x="664"/>
        <item x="667"/>
        <item x="669"/>
        <item x="663"/>
        <item x="662"/>
        <item x="665"/>
        <item x="671"/>
        <item x="677"/>
        <item x="679"/>
        <item x="678"/>
        <item x="685"/>
        <item x="694"/>
        <item x="690"/>
        <item x="689"/>
        <item x="691"/>
        <item x="695"/>
        <item x="697"/>
        <item x="699"/>
        <item x="700"/>
        <item x="701"/>
        <item x="705"/>
        <item x="706"/>
        <item x="707"/>
        <item x="708"/>
        <item x="710"/>
        <item x="729"/>
        <item x="727"/>
        <item x="734"/>
        <item x="724"/>
        <item x="720"/>
        <item x="726"/>
        <item x="731"/>
        <item x="717"/>
        <item x="738"/>
        <item x="737"/>
        <item x="739"/>
        <item x="741"/>
        <item x="742"/>
        <item x="748"/>
        <item x="746"/>
        <item x="744"/>
        <item x="747"/>
        <item x="749"/>
        <item x="755"/>
        <item x="772"/>
        <item x="764"/>
        <item x="779"/>
        <item x="776"/>
        <item x="780"/>
        <item x="771"/>
        <item x="777"/>
        <item x="781"/>
        <item x="784"/>
        <item x="785"/>
        <item x="786"/>
        <item x="787"/>
        <item x="803"/>
        <item x="799"/>
        <item x="796"/>
        <item x="795"/>
        <item x="800"/>
        <item x="798"/>
        <item x="804"/>
        <item x="793"/>
        <item x="811"/>
        <item x="814"/>
        <item x="815"/>
        <item x="822"/>
        <item x="827"/>
        <item x="830"/>
        <item x="835"/>
        <item x="838"/>
        <item x="834"/>
        <item x="831"/>
        <item x="836"/>
        <item x="837"/>
        <item x="832"/>
        <item x="842"/>
        <item x="840"/>
        <item x="846"/>
        <item x="850"/>
        <item x="849"/>
        <item x="851"/>
        <item x="855"/>
        <item x="854"/>
        <item x="852"/>
        <item x="857"/>
        <item x="867"/>
        <item x="868"/>
        <item x="863"/>
        <item x="869"/>
        <item x="864"/>
        <item x="870"/>
        <item x="873"/>
        <item x="865"/>
        <item x="871"/>
        <item x="872"/>
        <item x="875"/>
        <item x="877"/>
        <item x="883"/>
        <item x="884"/>
        <item x="889"/>
        <item x="888"/>
        <item x="891"/>
        <item x="900"/>
        <item x="902"/>
        <item x="903"/>
        <item x="893"/>
        <item x="907"/>
        <item x="913"/>
        <item x="916"/>
        <item x="915"/>
        <item x="928"/>
        <item x="924"/>
        <item x="925"/>
        <item x="926"/>
        <item x="929"/>
        <item x="931"/>
        <item x="935"/>
        <item x="933"/>
        <item x="939"/>
        <item x="945"/>
        <item x="948"/>
        <item x="958"/>
        <item x="959"/>
        <item x="951"/>
        <item x="957"/>
        <item x="955"/>
        <item x="961"/>
        <item x="964"/>
        <item x="970"/>
        <item x="978"/>
        <item x="979"/>
        <item x="983"/>
        <item x="981"/>
        <item x="980"/>
        <item x="984"/>
        <item x="972"/>
        <item x="989"/>
        <item x="988"/>
        <item x="991"/>
        <item x="1004"/>
        <item x="1003"/>
        <item x="993"/>
        <item x="1002"/>
        <item x="1010"/>
        <item x="1015"/>
        <item x="1014"/>
        <item x="1031"/>
        <item x="1042"/>
        <item x="1045"/>
        <item x="1047"/>
        <item x="1049"/>
        <item x="1055"/>
        <item x="1054"/>
        <item x="1056"/>
        <item x="1070"/>
        <item x="1083"/>
        <item x="1081"/>
        <item x="1084"/>
        <item x="1093"/>
        <item x="1094"/>
        <item x="1101"/>
        <item x="1108"/>
        <item x="1105"/>
        <item x="1109"/>
        <item x="1120"/>
        <item x="1124"/>
        <item x="1125"/>
        <item x="1129"/>
        <item x="1141"/>
        <item x="1144"/>
        <item x="1147"/>
        <item x="1157"/>
        <item x="1208"/>
        <item x="1222"/>
        <item x="1223"/>
        <item x="1228"/>
        <item x="1249"/>
        <item x="1905"/>
        <item x="217"/>
        <item x="498"/>
        <item x="792"/>
        <item x="899"/>
        <item x="1001"/>
        <item x="1078"/>
        <item x="1098"/>
        <item x="1102"/>
        <item x="1178"/>
        <item x="1195"/>
        <item x="1192"/>
        <item x="1193"/>
        <item x="1232"/>
        <item x="1244"/>
        <item x="1259"/>
        <item x="1258"/>
        <item x="1272"/>
        <item x="1266"/>
        <item x="1300"/>
        <item x="1327"/>
        <item x="1334"/>
        <item x="1376"/>
        <item x="1372"/>
        <item x="1381"/>
        <item x="1379"/>
        <item x="1389"/>
        <item x="1420"/>
        <item x="1411"/>
        <item x="1426"/>
        <item x="1439"/>
        <item x="1451"/>
        <item x="1445"/>
        <item x="1460"/>
        <item x="1490"/>
        <item x="1506"/>
        <item x="1512"/>
        <item x="1524"/>
        <item x="1531"/>
        <item x="1529"/>
        <item x="1530"/>
        <item x="1528"/>
        <item x="1533"/>
        <item x="1539"/>
        <item x="1545"/>
        <item x="1547"/>
        <item x="1551"/>
        <item x="1552"/>
        <item x="1553"/>
        <item x="1566"/>
        <item x="1560"/>
        <item x="1561"/>
        <item x="1564"/>
        <item x="1562"/>
        <item x="1570"/>
        <item x="1573"/>
        <item x="1588"/>
        <item x="1589"/>
        <item x="1590"/>
        <item x="1594"/>
        <item x="1595"/>
        <item x="1599"/>
        <item x="1604"/>
        <item x="1612"/>
        <item x="1617"/>
        <item x="1625"/>
        <item x="1624"/>
        <item x="1653"/>
        <item x="1651"/>
        <item x="1663"/>
        <item x="1664"/>
        <item x="1680"/>
        <item x="1686"/>
        <item x="1681"/>
        <item x="1695"/>
        <item x="1697"/>
        <item x="1710"/>
        <item x="1720"/>
        <item x="1727"/>
        <item x="1731"/>
        <item x="1737"/>
        <item x="1738"/>
        <item x="1744"/>
        <item x="1745"/>
        <item x="1741"/>
        <item x="1748"/>
        <item x="1757"/>
        <item x="1752"/>
        <item x="1750"/>
        <item x="1755"/>
        <item x="1756"/>
        <item x="1760"/>
        <item x="1763"/>
        <item x="1780"/>
        <item x="1783"/>
        <item x="1781"/>
        <item x="1785"/>
        <item x="1789"/>
        <item x="1793"/>
        <item x="1798"/>
        <item x="1799"/>
        <item x="1800"/>
        <item x="1802"/>
        <item x="1808"/>
        <item x="1809"/>
        <item x="1812"/>
        <item x="1814"/>
        <item x="1821"/>
        <item x="1820"/>
        <item x="1822"/>
        <item x="1828"/>
        <item x="1824"/>
        <item x="1831"/>
        <item x="1836"/>
        <item x="1838"/>
        <item x="1841"/>
        <item x="1843"/>
        <item x="1849"/>
        <item x="1850"/>
        <item x="1853"/>
        <item x="1855"/>
        <item x="1856"/>
        <item x="1858"/>
        <item x="1864"/>
        <item x="1863"/>
        <item x="1862"/>
        <item x="1861"/>
        <item x="1865"/>
        <item x="1868"/>
        <item x="1870"/>
        <item x="1871"/>
        <item x="1874"/>
        <item x="1875"/>
        <item x="1878"/>
        <item x="1876"/>
        <item x="1879"/>
        <item x="1881"/>
        <item x="1883"/>
        <item x="1884"/>
        <item x="1885"/>
        <item x="1886"/>
        <item x="1889"/>
        <item x="1887"/>
        <item x="1891"/>
        <item x="1892"/>
        <item x="1895"/>
        <item x="1896"/>
        <item x="1897"/>
        <item x="1900"/>
        <item x="1901"/>
        <item x="1903"/>
        <item x="1908"/>
        <item x="1910"/>
        <item x="1917"/>
        <item x="1920"/>
        <item x="1921"/>
        <item x="1922"/>
        <item x="1927"/>
        <item x="1926"/>
        <item x="1929"/>
        <item x="1344"/>
        <item x="1364"/>
        <item x="1368"/>
        <item x="1400"/>
        <item x="1404"/>
        <item x="1405"/>
        <item x="1413"/>
        <item x="1422"/>
        <item x="1425"/>
        <item x="1457"/>
        <item x="1461"/>
        <item x="1466"/>
        <item x="1470"/>
        <item x="1481"/>
        <item x="1698"/>
        <item x="1732"/>
        <item x="1253"/>
        <item x="1317"/>
        <item x="1468"/>
        <item x="1572"/>
        <item x="1662"/>
        <item x="1673"/>
        <item x="1672"/>
        <item x="1701"/>
        <item x="1721"/>
        <item x="1725"/>
        <item x="1810"/>
        <item x="713"/>
        <item x="1256"/>
        <item x="1313"/>
        <item x="1489"/>
        <item x="188"/>
        <item x="208"/>
        <item x="252"/>
        <item x="293"/>
        <item x="298"/>
        <item x="376"/>
        <item x="409"/>
        <item x="430"/>
        <item x="490"/>
        <item x="585"/>
        <item x="640"/>
        <item x="668"/>
        <item x="693"/>
        <item x="719"/>
        <item x="762"/>
        <item x="1699"/>
        <item x="1818"/>
        <item x="1817"/>
        <item x="1888"/>
        <item x="1906"/>
        <item x="1904"/>
        <item x="1907"/>
        <item x="1909"/>
        <item x="1912"/>
        <item x="1915"/>
        <item x="1923"/>
        <item x="1924"/>
        <item x="92"/>
        <item x="104"/>
        <item x="114"/>
        <item x="138"/>
        <item x="152"/>
        <item x="163"/>
        <item x="164"/>
        <item x="176"/>
        <item x="182"/>
        <item x="183"/>
        <item x="190"/>
        <item x="192"/>
        <item x="224"/>
        <item x="257"/>
        <item x="273"/>
        <item x="275"/>
        <item x="276"/>
        <item x="301"/>
        <item x="306"/>
        <item x="316"/>
        <item x="349"/>
        <item x="354"/>
        <item x="355"/>
        <item x="360"/>
        <item x="375"/>
        <item x="384"/>
        <item x="393"/>
        <item x="414"/>
        <item x="439"/>
        <item x="454"/>
        <item x="494"/>
        <item x="487"/>
        <item x="547"/>
        <item x="686"/>
        <item x="728"/>
        <item x="817"/>
        <item x="818"/>
        <item x="918"/>
        <item x="936"/>
        <item x="960"/>
        <item x="1035"/>
        <item x="1089"/>
        <item x="1119"/>
        <item x="1925"/>
        <item x="1930"/>
        <item x="1931"/>
        <item x="55"/>
        <item x="237"/>
        <item x="359"/>
        <item x="358"/>
        <item x="507"/>
        <item x="510"/>
        <item x="580"/>
        <item x="584"/>
        <item x="743"/>
        <item x="885"/>
        <item x="941"/>
        <item x="966"/>
        <item x="1032"/>
        <item x="1033"/>
        <item x="1050"/>
        <item x="1071"/>
        <item x="1175"/>
        <item x="1183"/>
        <item x="1196"/>
        <item x="1257"/>
        <item x="1286"/>
        <item x="1287"/>
        <item x="1291"/>
        <item x="1326"/>
        <item x="1333"/>
        <item x="1336"/>
        <item x="1360"/>
        <item x="1366"/>
        <item x="1378"/>
        <item x="1386"/>
        <item x="1542"/>
        <item x="1574"/>
        <item x="1657"/>
        <item x="1659"/>
        <item x="1658"/>
        <item x="1677"/>
        <item x="1687"/>
        <item x="791"/>
        <item x="1052"/>
        <item x="1100"/>
        <item x="0"/>
        <item x="1"/>
        <item x="41"/>
        <item x="103"/>
        <item x="272"/>
        <item x="284"/>
        <item x="287"/>
        <item x="319"/>
        <item x="335"/>
        <item x="339"/>
        <item x="369"/>
        <item x="362"/>
        <item x="413"/>
        <item x="469"/>
        <item x="486"/>
        <item x="488"/>
        <item x="546"/>
        <item x="553"/>
        <item x="606"/>
        <item x="623"/>
        <item x="634"/>
        <item x="642"/>
        <item x="648"/>
        <item x="654"/>
        <item x="858"/>
        <item x="880"/>
        <item x="894"/>
        <item x="909"/>
        <item x="943"/>
        <item x="1000"/>
        <item x="1007"/>
        <item x="1041"/>
        <item x="1036"/>
        <item x="1057"/>
        <item x="1116"/>
        <item x="1133"/>
        <item x="1139"/>
        <item x="1159"/>
        <item x="1219"/>
        <item x="1390"/>
        <item x="1402"/>
        <item x="1415"/>
        <item x="1458"/>
        <item x="1467"/>
        <item x="1488"/>
        <item x="1500"/>
        <item x="1507"/>
        <item x="1520"/>
        <item x="1532"/>
        <item x="1535"/>
        <item x="1548"/>
        <item x="15"/>
        <item x="116"/>
        <item x="166"/>
        <item x="172"/>
        <item x="173"/>
        <item x="187"/>
        <item x="212"/>
        <item x="222"/>
        <item x="243"/>
        <item x="271"/>
        <item x="302"/>
        <item x="396"/>
        <item x="418"/>
        <item x="445"/>
        <item x="482"/>
        <item x="495"/>
        <item x="513"/>
        <item x="605"/>
        <item x="633"/>
        <item x="718"/>
        <item x="750"/>
        <item x="760"/>
        <item x="808"/>
        <item x="823"/>
        <item x="845"/>
        <item x="860"/>
        <item x="878"/>
        <item x="897"/>
        <item x="892"/>
        <item x="938"/>
        <item x="950"/>
        <item x="974"/>
        <item x="1009"/>
        <item x="1011"/>
        <item x="1020"/>
        <item x="1040"/>
        <item x="1044"/>
        <item x="1048"/>
        <item x="1067"/>
        <item x="1087"/>
        <item x="1104"/>
        <item x="1113"/>
        <item x="1118"/>
        <item x="1131"/>
        <item x="1152"/>
        <item x="1151"/>
        <item x="1162"/>
        <item x="1171"/>
        <item x="1215"/>
        <item x="1225"/>
        <item x="1246"/>
        <item x="1245"/>
        <item x="1248"/>
        <item x="1260"/>
        <item x="1276"/>
        <item x="1277"/>
        <item x="1278"/>
        <item x="1292"/>
        <item x="1297"/>
        <item x="1302"/>
        <item x="1316"/>
        <item x="1325"/>
        <item x="1340"/>
        <item x="1343"/>
        <item x="1354"/>
        <item x="1359"/>
        <item x="1361"/>
        <item x="1373"/>
        <item x="1382"/>
        <item x="1383"/>
        <item x="1403"/>
        <item x="1416"/>
        <item x="1417"/>
        <item x="1418"/>
        <item x="1428"/>
        <item x="1435"/>
        <item x="1441"/>
        <item x="1448"/>
        <item x="1462"/>
        <item x="1471"/>
        <item x="1472"/>
        <item x="1473"/>
        <item x="1478"/>
        <item x="1483"/>
        <item x="1482"/>
        <item x="1486"/>
        <item x="1487"/>
        <item x="1491"/>
        <item x="1494"/>
        <item x="1501"/>
        <item x="1509"/>
        <item x="1513"/>
        <item x="1514"/>
        <item x="1517"/>
        <item x="1518"/>
        <item x="1521"/>
        <item x="1526"/>
        <item x="1527"/>
        <item x="1537"/>
        <item x="1540"/>
        <item x="1558"/>
        <item x="1576"/>
        <item x="1582"/>
        <item x="1596"/>
        <item x="1602"/>
        <item x="1603"/>
        <item x="1605"/>
        <item x="1606"/>
        <item x="1615"/>
        <item x="1618"/>
        <item x="1619"/>
        <item x="1622"/>
        <item x="1623"/>
        <item x="1631"/>
        <item x="1641"/>
        <item x="1645"/>
        <item x="1650"/>
        <item x="1652"/>
        <item x="1660"/>
        <item x="1665"/>
        <item x="1666"/>
        <item x="1670"/>
        <item x="1678"/>
        <item x="1692"/>
        <item x="1693"/>
        <item x="1700"/>
        <item x="1702"/>
        <item x="1713"/>
        <item x="1765"/>
        <item x="1916"/>
        <item x="197"/>
        <item x="203"/>
        <item x="235"/>
        <item x="240"/>
        <item x="236"/>
        <item x="250"/>
        <item x="259"/>
        <item x="278"/>
        <item x="295"/>
        <item x="321"/>
        <item x="370"/>
        <item x="385"/>
        <item x="391"/>
        <item x="483"/>
        <item x="489"/>
        <item x="519"/>
        <item x="536"/>
        <item x="542"/>
        <item x="566"/>
        <item x="618"/>
        <item x="632"/>
        <item x="711"/>
        <item x="721"/>
        <item x="732"/>
        <item x="761"/>
        <item x="809"/>
        <item x="816"/>
        <item x="841"/>
        <item x="856"/>
        <item x="911"/>
        <item x="917"/>
        <item x="971"/>
        <item x="1065"/>
        <item x="1068"/>
        <item x="1072"/>
        <item x="1122"/>
        <item x="1168"/>
        <item x="1216"/>
        <item x="1329"/>
        <item x="1496"/>
        <item x="1642"/>
        <item x="1679"/>
        <item x="1111"/>
        <item x="1218"/>
        <item x="1230"/>
        <item x="1355"/>
        <item x="1387"/>
        <item x="1430"/>
        <item x="1477"/>
        <item x="1492"/>
        <item x="1497"/>
        <item x="1502"/>
        <item x="1730"/>
        <item x="1747"/>
        <item x="1772"/>
        <item x="1834"/>
        <item x="1846"/>
        <item x="1899"/>
      </items>
    </pivotField>
    <pivotField numFmtId="165" showAll="0"/>
    <pivotField numFmtId="164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numFmtId="2" showAll="0">
      <items count="19">
        <item x="17"/>
        <item x="7"/>
        <item x="5"/>
        <item x="3"/>
        <item x="2"/>
        <item x="0"/>
        <item x="4"/>
        <item x="1"/>
        <item x="8"/>
        <item x="6"/>
        <item x="10"/>
        <item x="11"/>
        <item x="9"/>
        <item x="12"/>
        <item x="13"/>
        <item x="14"/>
        <item x="15"/>
        <item x="16"/>
        <item t="default"/>
      </items>
    </pivotField>
    <pivotField dataField="1" numFmtId="2" showAll="0"/>
    <pivotField showAll="0">
      <items count="6">
        <item x="3"/>
        <item x="2"/>
        <item x="4"/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3"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Promedio de Kilometer " fld="6" subtotal="average" baseField="4" baseItem="1"/>
  </dataFields>
  <formats count="1">
    <format dxfId="79">
      <pivotArea dataOnly="0" labelOnly="1" fieldPosition="0">
        <references count="1">
          <reference field="5" count="0"/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1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D5B9B33C-287E-482B-9C24-281979DCA8C6}" autoFormatId="16" applyNumberFormats="0" applyBorderFormats="0" applyFontFormats="0" applyPatternFormats="0" applyAlignmentFormats="0" applyWidthHeightFormats="0">
  <queryTableRefresh nextId="27">
    <queryTableFields count="16">
      <queryTableField id="1" name="Make          " tableColumnId="1"/>
      <queryTableField id="2" name="Model                                              " tableColumnId="2"/>
      <queryTableField id="24" dataBound="0" tableColumnId="8"/>
      <queryTableField id="3" name="Price    " tableColumnId="3"/>
      <queryTableField id="20" dataBound="0" tableColumnId="21"/>
      <queryTableField id="4" name="Year " tableColumnId="4"/>
      <queryTableField id="5" name="Kilometer " tableColumnId="5"/>
      <queryTableField id="6" name="Fuel Type    " tableColumnId="6"/>
      <queryTableField id="7" name="Transmission " tableColumnId="7"/>
      <queryTableField id="9" name="Color  " tableColumnId="9"/>
      <queryTableField id="12" name="Engine  " tableColumnId="12"/>
      <queryTableField id="13" name="Max Power           " tableColumnId="13"/>
      <queryTableField id="26" dataBound="0" tableColumnId="14"/>
      <queryTableField id="18" name="Seating Capacity " tableColumnId="18"/>
      <queryTableField id="25" dataBound="0" tableColumnId="11"/>
      <queryTableField id="19" name="Fuel Tank Capacity" tableColumnId="19"/>
    </queryTableFields>
    <queryTableDeletedFields count="7">
      <deletedField name="Location         "/>
      <deletedField name="Seller Type             "/>
      <deletedField name="Max Torque             "/>
      <deletedField name="Length "/>
      <deletedField name="Width  "/>
      <deletedField name="Height "/>
      <deletedField name="Owner            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uel_Type" xr10:uid="{AF0A556A-47DA-4B58-B5D6-172A845F1E31}" sourceName="Fuel Type    ">
  <pivotTables>
    <pivotTable tabId="4" name="TablaDinámica5"/>
    <pivotTable tabId="1" name="TablaDinámica1"/>
  </pivotTables>
  <data>
    <tabular pivotCacheId="448764145">
      <items count="5">
        <i x="3" s="1"/>
        <i x="2" s="1"/>
        <i x="4" s="1"/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Year" xr10:uid="{A91DCB48-FA77-471D-91EE-3AEE1F2065F0}" sourceName="Year ">
  <pivotTables>
    <pivotTable tabId="4" name="TablaDinámica5"/>
    <pivotTable tabId="1" name="TablaDinámica1"/>
  </pivotTables>
  <data>
    <tabular pivotCacheId="448764145">
      <items count="18">
        <i x="17" s="1"/>
        <i x="7" s="1"/>
        <i x="5" s="1"/>
        <i x="3" s="1"/>
        <i x="2" s="1"/>
        <i x="0" s="1"/>
        <i x="4" s="1"/>
        <i x="1" s="1"/>
        <i x="8" s="1"/>
        <i x="6" s="1"/>
        <i x="10" s="1"/>
        <i x="11" s="1"/>
        <i x="9" s="1"/>
        <i x="12" s="1"/>
        <i x="13" s="1"/>
        <i x="14" s="1"/>
        <i x="15" s="1"/>
        <i x="16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ake" xr10:uid="{94FC1040-54B0-421E-930C-98B00A128DAF}" sourceName="Make          ">
  <pivotTables>
    <pivotTable tabId="4" name="TablaDinámica5"/>
    <pivotTable tabId="1" name="TablaDinámica1"/>
  </pivotTables>
  <data>
    <tabular pivotCacheId="448764145">
      <items count="32">
        <i x="18" s="1"/>
        <i x="17" s="1"/>
        <i x="6" s="1"/>
        <i x="7" s="1"/>
        <i x="31" s="1"/>
        <i x="10" s="1"/>
        <i x="3" s="1"/>
        <i x="5" s="1"/>
        <i x="1" s="1"/>
        <i x="24" s="1"/>
        <i x="26" s="1"/>
        <i x="20" s="1"/>
        <i x="21" s="1"/>
        <i x="25" s="1"/>
        <i x="28" s="1"/>
        <i x="8" s="1"/>
        <i x="2" s="1"/>
        <i x="29" s="1"/>
        <i x="14" s="1"/>
        <i x="23" s="1"/>
        <i x="22" s="1"/>
        <i x="15" s="1"/>
        <i x="12" s="1"/>
        <i x="27" s="1"/>
        <i x="11" s="1"/>
        <i x="30" s="1"/>
        <i x="9" s="1"/>
        <i x="16" s="1"/>
        <i x="0" s="1"/>
        <i x="4" s="1"/>
        <i x="13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lor" xr10:uid="{B671F1F0-373D-498F-9F7F-433B84757214}" sourceName="Color  ">
  <pivotTables>
    <pivotTable tabId="4" name="TablaDinámica5"/>
    <pivotTable tabId="1" name="TablaDinámica1"/>
  </pivotTables>
  <data>
    <tabular pivotCacheId="448764145">
      <items count="17">
        <i x="13" s="1"/>
        <i x="8" s="1"/>
        <i x="7" s="1"/>
        <i x="12" s="1"/>
        <i x="10" s="1"/>
        <i x="5" s="1"/>
        <i x="11" s="1"/>
        <i x="2" s="1"/>
        <i x="6" s="1"/>
        <i x="9" s="1"/>
        <i x="14" s="1"/>
        <i x="3" s="1"/>
        <i x="15" s="1"/>
        <i x="4" s="1"/>
        <i x="1" s="1"/>
        <i x="0" s="1"/>
        <i x="16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odel" xr10:uid="{CD0714AA-A623-48DA-8839-5068281BDBAC}" sourceName="Model                                              ">
  <pivotTables>
    <pivotTable tabId="4" name="TablaDinámica5"/>
    <pivotTable tabId="1" name="TablaDinámica1"/>
  </pivotTables>
  <data>
    <tabular pivotCacheId="448764145">
      <items count="980">
        <i x="882" s="1"/>
        <i x="897" s="1"/>
        <i x="660" s="1"/>
        <i x="717" s="1"/>
        <i x="665" s="1"/>
        <i x="839" s="1"/>
        <i x="867" s="1"/>
        <i x="979" s="1"/>
        <i x="736" s="1"/>
        <i x="784" s="1"/>
        <i x="825" s="1"/>
        <i x="466" s="1"/>
        <i x="847" s="1"/>
        <i x="626" s="1"/>
        <i x="951" s="1"/>
        <i x="703" s="1"/>
        <i x="919" s="1"/>
        <i x="891" s="1"/>
        <i x="909" s="1"/>
        <i x="962" s="1"/>
        <i x="959" s="1"/>
        <i x="927" s="1"/>
        <i x="944" s="1"/>
        <i x="960" s="1"/>
        <i x="745" s="1"/>
        <i x="655" s="1"/>
        <i x="663" s="1"/>
        <i x="792" s="1"/>
        <i x="689" s="1"/>
        <i x="779" s="1"/>
        <i x="738" s="1"/>
        <i x="812" s="1"/>
        <i x="573" s="1"/>
        <i x="661" s="1"/>
        <i x="563" s="1"/>
        <i x="623" s="1"/>
        <i x="890" s="1"/>
        <i x="848" s="1"/>
        <i x="767" s="1"/>
        <i x="860" s="1"/>
        <i x="690" s="1"/>
        <i x="809" s="1"/>
        <i x="883" s="1"/>
        <i x="622" s="1"/>
        <i x="672" s="1"/>
        <i x="948" s="1"/>
        <i x="715" s="1"/>
        <i x="771" s="1"/>
        <i x="673" s="1"/>
        <i x="841" s="1"/>
        <i x="915" s="1"/>
        <i x="826" s="1"/>
        <i x="903" s="1"/>
        <i x="181" s="1"/>
        <i x="241" s="1"/>
        <i x="654" s="1"/>
        <i x="750" s="1"/>
        <i x="881" s="1"/>
        <i x="880" s="1"/>
        <i x="729" s="1"/>
        <i x="749" s="1"/>
        <i x="782" s="1"/>
        <i x="806" s="1"/>
        <i x="92" s="1"/>
        <i x="34" s="1"/>
        <i x="216" s="1"/>
        <i x="61" s="1"/>
        <i x="20" s="1"/>
        <i x="83" s="1"/>
        <i x="140" s="1"/>
        <i x="81" s="1"/>
        <i x="6" s="1"/>
        <i x="12" s="1"/>
        <i x="121" s="1"/>
        <i x="23" s="1"/>
        <i x="168" s="1"/>
        <i x="14" s="1"/>
        <i x="62" s="1"/>
        <i x="202" s="1"/>
        <i x="146" s="1"/>
        <i x="333" s="1"/>
        <i x="835" s="1"/>
        <i x="402" s="1"/>
        <i x="415" s="1"/>
        <i x="171" s="1"/>
        <i x="405" s="1"/>
        <i x="174" s="1"/>
        <i x="248" s="1"/>
        <i x="379" s="1"/>
        <i x="214" s="1"/>
        <i x="490" s="1"/>
        <i x="209" s="1"/>
        <i x="269" s="1"/>
        <i x="444" s="1"/>
        <i x="198" s="1"/>
        <i x="89" s="1"/>
        <i x="138" s="1"/>
        <i x="553" s="1"/>
        <i x="275" s="1"/>
        <i x="523" s="1"/>
        <i x="372" s="1"/>
        <i x="329" s="1"/>
        <i x="208" s="1"/>
        <i x="228" s="1"/>
        <i x="419" s="1"/>
        <i x="739" s="1"/>
        <i x="692" s="1"/>
        <i x="458" s="1"/>
        <i x="363" s="1"/>
        <i x="351" s="1"/>
        <i x="408" s="1"/>
        <i x="479" s="1"/>
        <i x="253" s="1"/>
        <i x="325" s="1"/>
        <i x="307" s="1"/>
        <i x="243" s="1"/>
        <i x="318" s="1"/>
        <i x="407" s="1"/>
        <i x="435" s="1"/>
        <i x="615" s="1"/>
        <i x="614" s="1"/>
        <i x="47" s="1"/>
        <i x="283" s="1"/>
        <i x="158" s="1"/>
        <i x="116" s="1"/>
        <i x="103" s="1"/>
        <i x="139" s="1"/>
        <i x="126" s="1"/>
        <i x="460" s="1"/>
        <i x="801" s="1"/>
        <i x="700" s="1"/>
        <i x="239" s="1"/>
        <i x="845" s="1"/>
        <i x="971" s="1"/>
        <i x="972" s="1"/>
        <i x="917" s="1"/>
        <i x="916" s="1"/>
        <i x="866" s="1"/>
        <i x="652" s="1"/>
        <i x="562" s="1"/>
        <i x="914" s="1"/>
        <i x="258" s="1"/>
        <i x="412" s="1"/>
        <i x="605" s="1"/>
        <i x="793" s="1"/>
        <i x="901" s="1"/>
        <i x="811" s="1"/>
        <i x="861" s="1"/>
        <i x="836" s="1"/>
        <i x="913" s="1"/>
        <i x="950" s="1"/>
        <i x="905" s="1"/>
        <i x="932" s="1"/>
        <i x="908" s="1"/>
        <i x="947" s="1"/>
        <i x="91" s="1"/>
        <i x="75" s="1"/>
        <i x="321" s="1"/>
        <i x="271" s="1"/>
        <i x="295" s="1"/>
        <i x="120" s="1"/>
        <i x="203" s="1"/>
        <i x="251" s="1"/>
        <i x="270" s="1"/>
        <i x="190" s="1"/>
        <i x="172" s="1"/>
        <i x="242" s="1"/>
        <i x="382" s="1"/>
        <i x="331" s="1"/>
        <i x="222" s="1"/>
        <i x="451" s="1"/>
        <i x="497" s="1"/>
        <i x="542" s="1"/>
        <i x="503" s="1"/>
        <i x="357" s="1"/>
        <i x="324" s="1"/>
        <i x="543" s="1"/>
        <i x="462" s="1"/>
        <i x="512" s="1"/>
        <i x="341" s="1"/>
        <i x="404" s="1"/>
        <i x="375" s="1"/>
        <i x="348" s="1"/>
        <i x="273" s="1"/>
        <i x="297" s="1"/>
        <i x="381" s="1"/>
        <i x="378" s="1"/>
        <i x="587" s="1"/>
        <i x="459" s="1"/>
        <i x="416" s="1"/>
        <i x="327" s="1"/>
        <i x="148" s="1"/>
        <i x="66" s="1"/>
        <i x="65" s="1"/>
        <i x="60" s="1"/>
        <i x="78" s="1"/>
        <i x="24" s="1"/>
        <i x="219" s="1"/>
        <i x="264" s="1"/>
        <i x="72" s="1"/>
        <i x="432" s="1"/>
        <i x="508" s="1"/>
        <i x="342" s="1"/>
        <i x="199" s="1"/>
        <i x="246" s="1"/>
        <i x="471" s="1"/>
        <i x="289" s="1"/>
        <i x="549" s="1"/>
        <i x="388" s="1"/>
        <i x="306" s="1"/>
        <i x="349" s="1"/>
        <i x="527" s="1"/>
        <i x="427" s="1"/>
        <i x="662" s="1"/>
        <i x="579" s="1"/>
        <i x="513" s="1"/>
        <i x="668" s="1"/>
        <i x="612" s="1"/>
        <i x="674" s="1"/>
        <i x="26" s="1"/>
        <i x="98" s="1"/>
        <i x="776" s="1"/>
        <i x="838" s="1"/>
        <i x="945" s="1"/>
        <i x="636" s="1"/>
        <i x="798" s="1"/>
        <i x="586" s="1"/>
        <i x="656" s="1"/>
        <i x="634" s="1"/>
        <i x="669" s="1"/>
        <i x="815" s="1"/>
        <i x="733" s="1"/>
        <i x="760" s="1"/>
        <i x="830" s="1"/>
        <i x="843" s="1"/>
        <i x="728" s="1"/>
        <i x="855" s="1"/>
        <i x="765" s="1"/>
        <i x="912" s="1"/>
        <i x="851" s="1"/>
        <i x="127" s="1"/>
        <i x="534" s="1"/>
        <i x="221" s="1"/>
        <i x="536" s="1"/>
        <i x="421" s="1"/>
        <i x="591" s="1"/>
        <i x="601" s="1"/>
        <i x="646" s="1"/>
        <i x="873" s="1"/>
        <i x="496" s="1"/>
        <i x="594" s="1"/>
        <i x="456" s="1"/>
        <i x="658" s="1"/>
        <i x="514" s="1"/>
        <i x="525" s="1"/>
        <i x="533" s="1"/>
        <i x="557" s="1"/>
        <i x="620" s="1"/>
        <i x="493" s="1"/>
        <i x="506" s="1"/>
        <i x="528" s="1"/>
        <i x="600" s="1"/>
        <i x="731" s="1"/>
        <i x="705" s="1"/>
        <i x="772" s="1"/>
        <i x="727" s="1"/>
        <i x="761" s="1"/>
        <i x="699" s="1"/>
        <i x="762" s="1"/>
        <i x="606" s="1"/>
        <i x="629" s="1"/>
        <i x="590" s="1"/>
        <i x="524" s="1"/>
        <i x="559" s="1"/>
        <i x="521" s="1"/>
        <i x="584" s="1"/>
        <i x="478" s="1"/>
        <i x="106" s="1"/>
        <i x="240" s="1"/>
        <i x="611" s="1"/>
        <i x="67" s="1"/>
        <i x="837" s="1"/>
        <i x="888" s="1"/>
        <i x="850" s="1"/>
        <i x="898" s="1"/>
        <i x="907" s="1"/>
        <i x="938" s="1"/>
        <i x="904" s="1"/>
        <i x="929" s="1"/>
        <i x="946" s="1"/>
        <i x="426" s="1"/>
        <i x="476" s="1"/>
        <i x="187" s="1"/>
        <i x="425" s="1"/>
        <i x="218" s="1"/>
        <i x="183" s="1"/>
        <i x="195" s="1"/>
        <i x="82" s="1"/>
        <i x="558" s="1"/>
        <i x="374" s="1"/>
        <i x="355" s="1"/>
        <i x="531" s="1"/>
        <i x="314" s="1"/>
        <i x="345" s="1"/>
        <i x="434" s="1"/>
        <i x="406" s="1"/>
        <i x="373" s="1"/>
        <i x="423" s="1"/>
        <i x="437" s="1"/>
        <i x="554" s="1"/>
        <i x="454" s="1"/>
        <i x="122" s="1"/>
        <i x="808" s="1"/>
        <i x="651" s="1"/>
        <i x="940" s="1"/>
        <i x="926" s="1"/>
        <i x="911" s="1"/>
        <i x="884" s="1"/>
        <i x="796" s="1"/>
        <i x="935" s="1"/>
        <i x="552" s="1"/>
        <i x="714" s="1"/>
        <i x="642" s="1"/>
        <i x="737" s="1"/>
        <i x="518" s="1"/>
        <i x="564" s="1"/>
        <i x="616" s="1"/>
        <i x="215" s="1"/>
        <i x="237" s="1"/>
        <i x="418" s="1"/>
        <i x="519" s="1"/>
        <i x="292" s="1"/>
        <i x="304" s="1"/>
        <i x="328" s="1"/>
        <i x="368" s="1"/>
        <i x="293" s="1"/>
        <i x="441" s="1"/>
        <i x="84" s="1"/>
        <i x="230" s="1"/>
        <i x="108" s="1"/>
        <i x="119" s="1"/>
        <i x="391" s="1"/>
        <i x="344" s="1"/>
        <i x="224" s="1"/>
        <i x="371" s="1"/>
        <i x="369" s="1"/>
        <i x="298" s="1"/>
        <i x="390" s="1"/>
        <i x="675" s="1"/>
        <i x="621" s="1"/>
        <i x="582" s="1"/>
        <i x="610" s="1"/>
        <i x="285" s="1"/>
        <i x="430" s="1"/>
        <i x="400" s="1"/>
        <i x="468" s="1"/>
        <i x="593" s="1"/>
        <i x="317" s="1"/>
        <i x="431" s="1"/>
        <i x="294" s="1"/>
        <i x="286" s="1"/>
        <i x="340" s="1"/>
        <i x="403" s="1"/>
        <i x="350" s="1"/>
        <i x="347" s="1"/>
        <i x="359" s="1"/>
        <i x="392" s="1"/>
        <i x="488" s="1"/>
        <i x="443" s="1"/>
        <i x="319" s="1"/>
        <i x="360" s="1"/>
        <i x="335" s="1"/>
        <i x="507" s="1"/>
        <i x="516" s="1"/>
        <i x="874" s="1"/>
        <i x="870" s="1"/>
        <i x="777" s="1"/>
        <i x="854" s="1"/>
        <i x="802" s="1"/>
        <i x="57" s="1"/>
        <i x="142" s="1"/>
        <i x="69" s="1"/>
        <i x="35" s="1"/>
        <i x="22" s="1"/>
        <i x="110" s="1"/>
        <i x="37" s="1"/>
        <i x="491" s="1"/>
        <i x="197" s="1"/>
        <i x="500" s="1"/>
        <i x="364" s="1"/>
        <i x="481" s="1"/>
        <i x="417" s="1"/>
        <i x="386" s="1"/>
        <i x="365" s="1"/>
        <i x="473" s="1"/>
        <i x="566" s="1"/>
        <i x="632" s="1"/>
        <i x="452" s="1"/>
        <i x="875" s="1"/>
        <i x="900" s="1"/>
        <i x="38" s="1"/>
        <i x="5" s="1"/>
        <i x="48" s="1"/>
        <i x="207" s="1"/>
        <i x="117" s="1"/>
        <i x="95" s="1"/>
        <i x="104" s="1"/>
        <i x="267" s="1"/>
        <i x="252" s="1"/>
        <i x="77" s="1"/>
        <i x="233" s="1"/>
        <i x="800" s="1"/>
        <i x="871" s="1"/>
        <i x="818" s="1"/>
        <i x="786" s="1"/>
        <i x="863" s="1"/>
        <i x="939" s="1"/>
        <i x="925" s="1"/>
        <i x="41" s="1"/>
        <i x="88" s="1"/>
        <i x="137" s="1"/>
        <i x="80" s="1"/>
        <i x="59" s="1"/>
        <i x="58" s="1"/>
        <i x="44" s="1"/>
        <i x="336" s="1"/>
        <i x="235" s="1"/>
        <i x="167" s="1"/>
        <i x="822" s="1"/>
        <i x="846" s="1"/>
        <i x="828" s="1"/>
        <i x="592" s="1"/>
        <i x="633" s="1"/>
        <i x="735" s="1"/>
        <i x="627" s="1"/>
        <i x="465" s="1"/>
        <i x="670" s="1"/>
        <i x="889" s="1"/>
        <i x="973" s="1"/>
        <i x="977" s="1"/>
        <i x="710" s="1"/>
        <i x="730" s="1"/>
        <i x="746" s="1"/>
        <i x="819" s="1"/>
        <i x="720" s="1"/>
        <i x="794" s="1"/>
        <i x="429" s="1"/>
        <i x="484" s="1"/>
        <i x="455" s="1"/>
        <i x="941" s="1"/>
        <i x="859" s="1"/>
        <i x="937" s="1"/>
        <i x="910" s="1"/>
        <i x="804" s="1"/>
        <i x="886" s="1"/>
        <i x="954" s="1"/>
        <i x="906" s="1"/>
        <i x="956" s="1"/>
        <i x="865" s="1"/>
        <i x="877" s="1"/>
        <i x="943" s="1"/>
        <i x="928" s="1"/>
        <i x="969" s="1"/>
        <i x="970" s="1"/>
        <i x="56" s="1"/>
        <i x="123" s="1"/>
        <i x="79" s="1"/>
        <i x="132" s="1"/>
        <i x="261" s="1"/>
        <i x="260" s="1"/>
        <i x="164" s="1"/>
        <i x="399" s="1"/>
        <i x="211" s="1"/>
        <i x="170" s="1"/>
        <i x="309" s="1"/>
        <i x="213" s="1"/>
        <i x="302" s="1"/>
        <i x="124" s="1"/>
        <i x="346" s="1"/>
        <i x="446" s="1"/>
        <i x="469" s="1"/>
        <i x="433" s="1"/>
        <i x="354" s="1"/>
        <i x="147" s="1"/>
        <i x="194" s="1"/>
        <i x="155" s="1"/>
        <i x="178" s="1"/>
        <i x="231" s="1"/>
        <i x="130" s="1"/>
        <i x="32" s="1"/>
        <i x="764" s="1"/>
        <i x="734" s="1"/>
        <i x="721" s="1"/>
        <i x="783" s="1"/>
        <i x="799" s="1"/>
        <i x="774" s="1"/>
        <i x="797" s="1"/>
        <i x="756" s="1"/>
        <i x="763" s="1"/>
        <i x="707" s="1"/>
        <i x="732" s="1"/>
        <i x="704" s="1"/>
        <i x="741" s="1"/>
        <i x="572" s="1"/>
        <i x="517" s="1"/>
        <i x="585" s="1"/>
        <i x="631" s="1"/>
        <i x="74" s="1"/>
        <i x="163" s="1"/>
        <i x="113" s="1"/>
        <i x="4" s="1"/>
        <i x="46" s="1"/>
        <i x="17" s="1"/>
        <i x="11" s="1"/>
        <i x="45" s="1"/>
        <i x="16" s="1"/>
        <i x="40" s="1"/>
        <i x="28" s="1"/>
        <i x="25" s="1"/>
        <i x="125" s="1"/>
        <i x="71" s="1"/>
        <i x="290" s="1"/>
        <i x="315" s="1"/>
        <i x="300" s="1"/>
        <i x="296" s="1"/>
        <i x="53" s="1"/>
        <i x="102" s="1"/>
        <i x="210" s="1"/>
        <i x="225" s="1"/>
        <i x="159" s="1"/>
        <i x="99" s="1"/>
        <i x="129" s="1"/>
        <i x="156" s="1"/>
        <i x="143" s="1"/>
        <i x="316" s="1"/>
        <i x="278" s="1"/>
        <i x="10" s="1"/>
        <i x="312" s="1"/>
        <i x="330" s="1"/>
        <i x="691" s="1"/>
        <i x="759" s="1"/>
        <i x="667" s="1"/>
        <i x="773" s="1"/>
        <i x="726" s="1"/>
        <i x="832" s="1"/>
        <i x="13" s="1"/>
        <i x="461" s="1"/>
        <i x="547" s="1"/>
        <i x="387" s="1"/>
        <i x="522" s="1"/>
        <i x="538" s="1"/>
        <i x="393" s="1"/>
        <i x="643" s="1"/>
        <i x="570" s="1"/>
        <i x="766" s="1"/>
        <i x="769" s="1"/>
        <i x="743" s="1"/>
        <i x="696" s="1"/>
        <i x="788" s="1"/>
        <i x="753" s="1"/>
        <i x="810" s="1"/>
        <i x="840" s="1"/>
        <i x="824" s="1"/>
        <i x="30" s="1"/>
        <i x="277" s="1"/>
        <i x="262" s="1"/>
        <i x="301" s="1"/>
        <i x="288" s="1"/>
        <i x="180" s="1"/>
        <i x="483" s="1"/>
        <i x="326" s="1"/>
        <i x="498" s="1"/>
        <i x="574" s="1"/>
        <i x="706" s="1"/>
        <i x="701" s="1"/>
        <i x="259" s="1"/>
        <i x="145" s="1"/>
        <i x="76" s="1"/>
        <i x="200" s="1"/>
        <i x="151" s="1"/>
        <i x="152" s="1"/>
        <i x="101" s="1"/>
        <i x="68" s="1"/>
        <i x="150" s="1"/>
        <i x="958" s="1"/>
        <i x="54" s="1"/>
        <i x="957" s="1"/>
        <i x="949" s="1"/>
        <i x="370" s="1"/>
        <i x="1" s="1"/>
        <i x="583" s="1"/>
        <i x="680" s="1"/>
        <i x="787" s="1"/>
        <i x="795" s="1"/>
        <i x="814" s="1"/>
        <i x="256" s="1"/>
        <i x="420" s="1"/>
        <i x="245" s="1"/>
        <i x="953" s="1"/>
        <i x="744" s="1"/>
        <i x="0" s="1"/>
        <i x="463" s="1"/>
        <i x="448" s="1"/>
        <i x="337" s="1"/>
        <i x="520" s="1"/>
        <i x="580" s="1"/>
        <i x="544" s="1"/>
        <i x="532" s="1"/>
        <i x="893" s="1"/>
        <i x="718" s="1"/>
        <i x="687" s="1"/>
        <i x="650" s="1"/>
        <i x="664" s="1"/>
        <i x="617" s="1"/>
        <i x="862" s="1"/>
        <i x="502" s="1"/>
        <i x="678" s="1"/>
        <i x="649" s="1"/>
        <i x="775" s="1"/>
        <i x="367" s="1"/>
        <i x="268" s="1"/>
        <i x="153" s="1"/>
        <i x="133" s="1"/>
        <i x="109" s="1"/>
        <i x="279" s="1"/>
        <i x="548" s="1"/>
        <i x="447" s="1"/>
        <i x="136" s="1"/>
        <i x="111" s="1"/>
        <i x="377" s="1"/>
        <i x="439" s="1"/>
        <i x="128" s="1"/>
        <i x="535" s="1"/>
        <i x="154" s="1"/>
        <i x="864" s="1"/>
        <i x="844" s="1"/>
        <i x="657" s="1"/>
        <i x="648" s="1"/>
        <i x="770" s="1"/>
        <i x="740" s="1"/>
        <i x="712" s="1"/>
        <i x="671" s="1"/>
        <i x="781" s="1"/>
        <i x="853" s="1"/>
        <i x="785" s="1"/>
        <i x="748" s="1"/>
        <i x="725" s="1"/>
        <i x="682" s="1"/>
        <i x="829" s="1"/>
        <i x="505" s="1"/>
        <i x="896" s="1"/>
        <i x="921" s="1"/>
        <i x="856" s="1"/>
        <i x="813" s="1"/>
        <i x="791" s="1"/>
        <i x="816" s="1"/>
        <i x="902" s="1"/>
        <i x="869" s="1"/>
        <i x="961" s="1"/>
        <i x="963" s="1"/>
        <i x="64" s="1"/>
        <i x="55" s="1"/>
        <i x="975" s="1"/>
        <i x="978" s="1"/>
        <i x="918" s="1"/>
        <i x="924" s="1"/>
        <i x="931" s="1"/>
        <i x="967" s="1"/>
        <i x="263" s="1"/>
        <i x="529" s="1"/>
        <i x="186" s="1"/>
        <i x="135" s="1"/>
        <i x="185" s="1"/>
        <i x="265" s="1"/>
        <i x="530" s="1"/>
        <i x="539" s="1"/>
        <i x="609" s="1"/>
        <i x="817" s="1"/>
        <i x="107" s="1"/>
        <i x="70" s="1"/>
        <i x="31" s="1"/>
        <i x="541" s="1"/>
        <i x="411" s="1"/>
        <i x="15" s="1"/>
        <i x="3" s="1"/>
        <i x="63" s="1"/>
        <i x="115" s="1"/>
        <i x="842" s="1"/>
        <i x="568" s="1"/>
        <i x="930" s="1"/>
        <i x="885" s="1"/>
        <i x="149" s="1"/>
        <i x="457" s="1"/>
        <i x="790" s="1"/>
        <i x="323" s="1"/>
        <i x="757" s="1"/>
        <i x="805" s="1"/>
        <i x="96" s="1"/>
        <i x="504" s="1"/>
        <i x="396" s="1"/>
        <i x="182" s="1"/>
        <i x="8" s="1"/>
        <i x="2" s="1"/>
        <i x="73" s="1"/>
        <i x="7" s="1"/>
        <i x="272" s="1"/>
        <i x="311" s="1"/>
        <i x="274" s="1"/>
        <i x="205" s="1"/>
        <i x="232" s="1"/>
        <i x="19" s="1"/>
        <i x="467" s="1"/>
        <i x="683" s="1"/>
        <i x="754" s="1"/>
        <i x="716" s="1"/>
        <i x="966" s="1"/>
        <i x="974" s="1"/>
        <i x="920" s="1"/>
        <i x="952" s="1"/>
        <i x="976" s="1"/>
        <i x="758" s="1"/>
        <i x="305" s="1"/>
        <i x="144" s="1"/>
        <i x="410" s="1"/>
        <i x="477" s="1"/>
        <i x="637" s="1"/>
        <i x="659" s="1"/>
        <i x="398" s="1"/>
        <i x="608" s="1"/>
        <i x="550" s="1"/>
        <i x="694" s="1"/>
        <i x="618" s="1"/>
        <i x="598" s="1"/>
        <i x="565" s="1"/>
        <i x="638" s="1"/>
        <i x="177" s="1"/>
        <i x="220" s="1"/>
        <i x="356" s="1"/>
        <i x="338" s="1"/>
        <i x="489" s="1"/>
        <i x="343" s="1"/>
        <i x="362" s="1"/>
        <i x="414" s="1"/>
        <i x="555" s="1"/>
        <i x="492" s="1"/>
        <i x="695" s="1"/>
        <i x="751" s="1"/>
        <i x="681" s="1"/>
        <i x="747" s="1"/>
        <i x="647" s="1"/>
        <i x="688" s="1"/>
        <i x="709" s="1"/>
        <i x="676" s="1"/>
        <i x="640" s="1"/>
        <i x="639" s="1"/>
        <i x="653" s="1"/>
        <i x="807" s="1"/>
        <i x="42" s="1"/>
        <i x="588" s="1"/>
        <i x="625" s="1"/>
        <i x="679" s="1"/>
        <i x="27" s="1"/>
        <i x="201" s="1"/>
        <i x="188" s="1"/>
        <i x="236" s="1"/>
        <i x="358" s="1"/>
        <i x="189" s="1"/>
        <i x="105" s="1"/>
        <i x="114" s="1"/>
        <i x="486" s="1"/>
        <i x="820" s="1"/>
        <i x="686" s="1"/>
        <i x="857" s="1"/>
        <i x="713" s="1"/>
        <i x="247" s="1"/>
        <i x="87" s="1"/>
        <i x="184" s="1"/>
        <i x="18" s="1"/>
        <i x="49" s="1"/>
        <i x="352" s="1"/>
        <i x="308" s="1"/>
        <i x="397" s="1"/>
        <i x="112" s="1"/>
        <i x="299" s="1"/>
        <i x="100" s="1"/>
        <i x="227" s="1"/>
        <i x="442" s="1"/>
        <i x="85" s="1"/>
        <i x="438" s="1"/>
        <i x="86" s="1"/>
        <i x="97" s="1"/>
        <i x="226" s="1"/>
        <i x="192" s="1"/>
        <i x="339" s="1"/>
        <i x="234" s="1"/>
        <i x="436" s="1"/>
        <i x="509" s="1"/>
        <i x="480" s="1"/>
        <i x="21" s="1"/>
        <i x="90" s="1"/>
        <i x="684" s="1"/>
        <i x="196" s="1"/>
        <i x="332" s="1"/>
        <i x="166" s="1"/>
        <i x="303" s="1"/>
        <i x="395" s="1"/>
        <i x="724" s="1"/>
        <i x="693" s="1"/>
        <i x="752" s="1"/>
        <i x="366" s="1"/>
        <i x="280" s="1"/>
        <i x="755" s="1"/>
        <i x="723" s="1"/>
        <i x="722" s="1"/>
        <i x="677" s="1"/>
        <i x="711" s="1"/>
        <i x="685" s="1"/>
        <i x="287" s="1"/>
        <i x="173" s="1"/>
        <i x="179" s="1"/>
        <i x="160" s="1"/>
        <i x="254" s="1"/>
        <i x="217" s="1"/>
        <i x="313" s="1"/>
        <i x="244" s="1"/>
        <i x="255" s="1"/>
        <i x="157" s="1"/>
        <i x="487" s="1"/>
        <i x="858" s="1"/>
        <i x="778" s="1"/>
        <i x="879" s="1"/>
        <i x="702" s="1"/>
        <i x="780" s="1"/>
        <i x="697" s="1"/>
        <i x="742" s="1"/>
        <i x="482" s="1"/>
        <i x="380" s="1"/>
        <i x="401" s="1"/>
        <i x="322" s="1"/>
        <i x="361" s="1"/>
        <i x="578" s="1"/>
        <i x="635" s="1"/>
        <i x="630" s="1"/>
        <i x="719" s="1"/>
        <i x="936" s="1"/>
        <i x="965" s="1"/>
        <i x="424" s="1"/>
        <i x="204" s="1"/>
        <i x="141" s="1"/>
        <i x="472" s="1"/>
        <i x="628" s="1"/>
        <i x="134" s="1"/>
        <i x="422" s="1"/>
        <i x="175" s="1"/>
        <i x="475" s="1"/>
        <i x="546" s="1"/>
        <i x="394" s="1"/>
        <i x="464" s="1"/>
        <i x="581" s="1"/>
        <i x="595" s="1"/>
        <i x="569" s="1"/>
        <i x="540" s="1"/>
        <i x="576" s="1"/>
        <i x="604" s="1"/>
        <i x="589" s="1"/>
        <i x="383" s="1"/>
        <i x="510" s="1"/>
        <i x="257" s="1"/>
        <i x="389" s="1"/>
        <i x="619" s="1"/>
        <i x="474" s="1"/>
        <i x="249" s="1"/>
        <i x="320" s="1"/>
        <i x="50" s="1"/>
        <i x="281" s="1"/>
        <i x="165" s="1"/>
        <i x="353" s="1"/>
        <i x="161" s="1"/>
        <i x="238" s="1"/>
        <i x="501" s="1"/>
        <i x="561" s="1"/>
        <i x="596" s="1"/>
        <i x="613" s="1"/>
        <i x="409" s="1"/>
        <i x="445" s="1"/>
        <i x="385" s="1"/>
        <i x="537" s="1"/>
        <i x="511" s="1"/>
        <i x="450" s="1"/>
        <i x="449" s="1"/>
        <i x="575" s="1"/>
        <i x="384" s="1"/>
        <i x="577" s="1"/>
        <i x="29" s="1"/>
        <i x="39" s="1"/>
        <i x="282" s="1"/>
        <i x="413" s="1"/>
        <i x="276" s="1"/>
        <i x="131" s="1"/>
        <i x="43" s="1"/>
        <i x="93" s="1"/>
        <i x="51" s="1"/>
        <i x="9" s="1"/>
        <i x="52" s="1"/>
        <i x="223" s="1"/>
        <i x="310" s="1"/>
        <i x="94" s="1"/>
        <i x="162" s="1"/>
        <i x="440" s="1"/>
        <i x="934" s="1"/>
        <i x="485" s="1"/>
        <i x="376" s="1"/>
        <i x="470" s="1"/>
        <i x="334" s="1"/>
        <i x="852" s="1"/>
        <i x="803" s="1"/>
        <i x="789" s="1"/>
        <i x="878" s="1"/>
        <i x="827" s="1"/>
        <i x="887" s="1"/>
        <i x="872" s="1"/>
        <i x="599" s="1"/>
        <i x="895" s="1"/>
        <i x="942" s="1"/>
        <i x="933" s="1"/>
        <i x="666" s="1"/>
        <i x="892" s="1"/>
        <i x="964" s="1"/>
        <i x="968" s="1"/>
        <i x="876" s="1"/>
        <i x="894" s="1"/>
        <i x="768" s="1"/>
        <i x="923" s="1"/>
        <i x="955" s="1"/>
        <i x="212" s="1"/>
        <i x="169" s="1"/>
        <i x="229" s="1"/>
        <i x="176" s="1"/>
        <i x="193" s="1"/>
        <i x="284" s="1"/>
        <i x="33" s="1"/>
        <i x="206" s="1"/>
        <i x="831" s="1"/>
        <i x="899" s="1"/>
        <i x="868" s="1"/>
        <i x="823" s="1"/>
        <i x="922" s="1"/>
        <i x="849" s="1"/>
        <i x="624" s="1"/>
        <i x="644" s="1"/>
        <i x="560" s="1"/>
        <i x="545" s="1"/>
        <i x="645" s="1"/>
        <i x="551" s="1"/>
        <i x="567" s="1"/>
        <i x="556" s="1"/>
        <i x="453" s="1"/>
        <i x="641" s="1"/>
        <i x="708" s="1"/>
        <i x="698" s="1"/>
        <i x="495" s="1"/>
        <i x="603" s="1"/>
        <i x="494" s="1"/>
        <i x="266" s="1"/>
        <i x="602" s="1"/>
        <i x="250" s="1"/>
        <i x="515" s="1"/>
        <i x="428" s="1"/>
        <i x="499" s="1"/>
        <i x="571" s="1"/>
        <i x="607" s="1"/>
        <i x="821" s="1"/>
        <i x="833" s="1"/>
        <i x="834" s="1"/>
        <i x="36" s="1"/>
        <i x="118" s="1"/>
        <i x="526" s="1"/>
        <i x="597" s="1"/>
        <i x="291" s="1"/>
        <i x="191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ake1" xr10:uid="{664FD254-E8E6-4FF7-BF32-DDF116CAC746}" sourceName="Make          ">
  <pivotTables>
    <pivotTable tabId="6" name="TablaDinámica3"/>
  </pivotTables>
  <data>
    <tabular pivotCacheId="448764145">
      <items count="32">
        <i x="18"/>
        <i x="17"/>
        <i x="6"/>
        <i x="7"/>
        <i x="31"/>
        <i x="10"/>
        <i x="3" s="1"/>
        <i x="5"/>
        <i x="1"/>
        <i x="24"/>
        <i x="26"/>
        <i x="20"/>
        <i x="21"/>
        <i x="25"/>
        <i x="28"/>
        <i x="8"/>
        <i x="2"/>
        <i x="29"/>
        <i x="14"/>
        <i x="23"/>
        <i x="22"/>
        <i x="15"/>
        <i x="12"/>
        <i x="27"/>
        <i x="11"/>
        <i x="30"/>
        <i x="9"/>
        <i x="16"/>
        <i x="0"/>
        <i x="4"/>
        <i x="13"/>
        <i x="19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amiliar" xr10:uid="{BD3702EE-30B0-422F-A78A-B6F38F0D3253}" sourceName="Familiar">
  <pivotTables>
    <pivotTable tabId="1" name="TablaDinámica1"/>
  </pivotTables>
  <data>
    <tabular pivotCacheId="448764145">
      <items count="2">
        <i x="0" s="1"/>
        <i x="1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ransmission" xr10:uid="{5796B44B-7642-4629-A3A0-585EA4BD6974}" sourceName="Transmission ">
  <pivotTables>
    <pivotTable tabId="1" name="TablaDinámica1"/>
  </pivotTables>
  <data>
    <tabular pivotCacheId="448764145">
      <items count="2">
        <i x="1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uel Type     1" xr10:uid="{69201F15-183C-460D-85E5-B17C135CB715}" cache="SegmentaciónDeDatos_Fuel_Type" caption="Fuel Type    " rowHeight="247650"/>
  <slicer name="Year  1" xr10:uid="{E3247A7A-7024-49D5-A7EF-2CFEF44FDA15}" cache="SegmentaciónDeDatos_Year" caption="Year " rowHeight="247650"/>
  <slicer name="Make           3" xr10:uid="{B5815460-3950-4F9B-88AB-744EC56E4B42}" cache="SegmentaciónDeDatos_Make" caption="Make          " rowHeight="247650"/>
  <slicer name="Color   1" xr10:uid="{2FE584D0-B150-478E-B338-7955B6990A58}" cache="SegmentaciónDeDatos_Color" caption="Color  " rowHeight="247650"/>
  <slicer name="Model                                               1" xr10:uid="{2D07FA61-717D-46E4-85B0-6A9A5DA6FB51}" cache="SegmentaciónDeDatos_Model" caption="Model                                              " startItem="8" rowHeight="247650"/>
  <slicer name="Make           2" xr10:uid="{87C12701-590F-4959-9F89-63DD749D273F}" cache="SegmentaciónDeDatos_Make1" caption="Make          " columnCount="2" rowHeight="247650"/>
  <slicer name="Familiar" xr10:uid="{1D197C40-6810-468F-9532-60B8613B48CE}" cache="SegmentaciónDeDatos_Familiar" caption="Familiar" rowHeight="247650"/>
  <slicer name="Transmission " xr10:uid="{D119A285-D422-436A-876A-13381D3D0460}" cache="SegmentaciónDeDatos_Transmission" caption="Transmission " rowHeight="2476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uel Type    " xr10:uid="{56DE6CB0-866C-4E26-917B-7D13B13C7470}" cache="SegmentaciónDeDatos_Fuel_Type" caption="Fuel Type    " rowHeight="247650"/>
  <slicer name="Year " xr10:uid="{F2A08285-D4B6-4B0B-8ECD-6C7824402EF3}" cache="SegmentaciónDeDatos_Year" caption="Year " rowHeight="247650"/>
  <slicer name="Make          " xr10:uid="{52E15E12-851F-4E5F-B23F-7B659EABE2C6}" cache="SegmentaciónDeDatos_Make" caption="Make          " rowHeight="247650"/>
  <slicer name="Color  " xr10:uid="{0AF192FC-CECC-4838-A305-6EF0FE1DD870}" cache="SegmentaciónDeDatos_Color" caption="Color  " rowHeight="247650"/>
  <slicer name="Model                                              " xr10:uid="{EB261B30-60F0-45B3-9E4C-D35F41B2B8E0}" cache="SegmentaciónDeDatos_Model" caption="Model                                              " startItem="8" rowHeight="2476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ke           1" xr10:uid="{8A21803A-EF54-423D-AA0F-AFF08C562D44}" cache="SegmentaciónDeDatos_Make1" caption="Make          " rowHeight="247650"/>
</slicer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0B8D544-B5C3-4F83-999D-5694C8ED5868}" name="Tabla26" displayName="Tabla26" ref="P56:T66" totalsRowShown="0" headerRowDxfId="25" dataDxfId="24">
  <autoFilter ref="P56:T66" xr:uid="{50B8D544-B5C3-4F83-999D-5694C8ED5868}"/>
  <tableColumns count="5">
    <tableColumn id="4" xr3:uid="{123DBEA6-8DC8-4C6B-AF2E-E20099C11F4D}" name="Id" dataDxfId="30"/>
    <tableColumn id="2" xr3:uid="{B9A265F5-A388-4229-9990-4AF009DFC20B}" name="Marca" dataDxfId="29"/>
    <tableColumn id="1" xr3:uid="{82FEE631-4D37-4976-9692-05F1906EE32C}" name="Modelo" dataDxfId="28"/>
    <tableColumn id="6" xr3:uid="{3EE87CB2-C4DB-4889-BA6A-839501E690B6}" name="Kilómetros" dataDxfId="27">
      <calculatedColumnFormula>IFERROR(VLOOKUP(Tabla26[[#This Row],[Id]],datos_limpios!$C$2:$G$1936, 5, FALSE), "")</calculatedColumnFormula>
    </tableColumn>
    <tableColumn id="3" xr3:uid="{09C60AAB-205B-4423-833E-4AA8758C4A05}" name="Precio" dataDxfId="26">
      <calculatedColumnFormula>IFERROR(VLOOKUP(Tabla26[[#This Row],[Id]],datos_limpios!$C$2:$G$1936, 3, FALSE), "")</calculatedColumnFormula>
    </tableColumn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4179308-0490-4C1B-813F-4C251616F78E}" name="Tabla247" displayName="Tabla247" ref="X56:AB66" totalsRowShown="0" headerRowDxfId="18" dataDxfId="17">
  <autoFilter ref="X56:AB66" xr:uid="{F4179308-0490-4C1B-813F-4C251616F78E}"/>
  <tableColumns count="5">
    <tableColumn id="4" xr3:uid="{08A38008-6727-410D-863F-3B139097CFFE}" name="Id" dataDxfId="23"/>
    <tableColumn id="2" xr3:uid="{36CBD7F0-8219-41D3-BECB-0A40DAB75982}" name="Marca" dataDxfId="22"/>
    <tableColumn id="1" xr3:uid="{F53E12FC-D84C-4AB5-8130-9757F8C91518}" name="Modelo" dataDxfId="21"/>
    <tableColumn id="6" xr3:uid="{4F722F32-9BB6-4C08-AA1D-E4F658E676C2}" name="Kilómetros" dataDxfId="20">
      <calculatedColumnFormula>IFERROR(VLOOKUP(Tabla247[[#This Row],[Id]],datos_limpios!$C$2:$G$1936, 5, FALSE), "")</calculatedColumnFormula>
    </tableColumn>
    <tableColumn id="3" xr3:uid="{38239656-A7E1-454C-9144-1BE64C7EEA35}" name="Precio" dataDxfId="19">
      <calculatedColumnFormula>IFERROR(VLOOKUP(Tabla247[[#This Row],[Id]],datos_limpios!$C$2:$G$1936, 3, FALSE), "")</calculatedColumnFormula>
    </tableColumn>
  </tableColumns>
  <tableStyleInfo name="TableStyleLight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E0919C0-238D-4692-ADEE-54189FF5DEBB}" name="Tabla10" displayName="Tabla10" ref="I94:J97" totalsRowShown="0" headerRowDxfId="8" dataDxfId="9">
  <autoFilter ref="I94:J97" xr:uid="{0E0919C0-238D-4692-ADEE-54189FF5DEBB}"/>
  <tableColumns count="2">
    <tableColumn id="1" xr3:uid="{187F401F-0541-453D-A893-4E52600F606E}" name="COLOR" dataDxfId="7"/>
    <tableColumn id="2" xr3:uid="{1238C53C-451E-477C-B019-9D6FC2275CCD}" name="REGLA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19312D5-A9BC-4EF7-A067-4405F6FA8C6B}" name="Tabla4" displayName="Tabla4" ref="A4:B37" totalsRowShown="0" dataDxfId="106">
  <autoFilter ref="A4:B37" xr:uid="{219312D5-A9BC-4EF7-A067-4405F6FA8C6B}"/>
  <tableColumns count="2">
    <tableColumn id="1" xr3:uid="{DD0CA984-D23B-4CFC-A265-F7F3659299B3}" name="Marcas" dataDxfId="105"/>
    <tableColumn id="2" xr3:uid="{CEE7E7FF-C112-41CE-B0B5-167426F9BFD5}" name="Recuento" dataDxfId="104">
      <calculatedColumnFormula>COUNTIF(datos_limpios!$A$2:$A$1936,Tabla4[[#This Row],[Marcas]])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BD4206F-5A79-4EE8-A45C-7E2F8365312F}" name="Tabla7" displayName="Tabla7" ref="H7:J12" totalsRowShown="0">
  <autoFilter ref="H7:J12" xr:uid="{DBD4206F-5A79-4EE8-A45C-7E2F8365312F}"/>
  <tableColumns count="3">
    <tableColumn id="1" xr3:uid="{C8279155-9D34-4233-AA98-C43F6F4E198E}" name="Tipo"/>
    <tableColumn id="2" xr3:uid="{58DA7440-3F3D-426F-B9BD-7915D6A396D2}" name="RECUENTO" dataDxfId="103">
      <calculatedColumnFormula>COUNTIF(datos_limpios!H2:H1936,Tabla7[[#This Row],[Tipo]])</calculatedColumnFormula>
    </tableColumn>
    <tableColumn id="3" xr3:uid="{332555F9-31EE-40E8-AC3E-0385B8151FA6}" name="Promedio de precio" dataDxfId="102">
      <calculatedColumnFormula array="1">AVERAGE(IF(datos_limpios!$H$2:$H$1936=Tabla7[[#This Row],[Tipo]],datos_limpios!$E$2:$E$1936))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DD37A9A-6F8C-4C83-8160-35150FF4AA64}" name="Tabla9" displayName="Tabla9" ref="A41:B59" totalsRowShown="0">
  <autoFilter ref="A41:B59" xr:uid="{8DD37A9A-6F8C-4C83-8160-35150FF4AA64}"/>
  <tableColumns count="2">
    <tableColumn id="1" xr3:uid="{40B1FB38-872D-4288-B82F-B6DB718A87A9}" name="Colores"/>
    <tableColumn id="2" xr3:uid="{48D7F9E9-4974-453B-8BE3-217847E769B8}" name="Recuento" dataDxfId="101">
      <calculatedColumnFormula>COUNTIF(datos_limpios!$J$2:$J$1936,Tabla9[[#This Row],[Colores]])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E1B190B-5723-4CC7-879D-9AEEB5E3EEBB}" name="Tabla2" displayName="Tabla2" ref="A68:E78" totalsRowShown="0">
  <autoFilter ref="A68:E78" xr:uid="{8E1B190B-5723-4CC7-879D-9AEEB5E3EEBB}"/>
  <tableColumns count="5">
    <tableColumn id="4" xr3:uid="{0C5155EB-5E97-4C18-8D2F-A3E8E60596AB}" name="Id" dataDxfId="100"/>
    <tableColumn id="2" xr3:uid="{C0407F7D-B615-41EC-9C34-9B2DF057C48B}" name="Marca" dataDxfId="99"/>
    <tableColumn id="1" xr3:uid="{D78F0D7F-AF03-4C74-AACF-728BA132B6E8}" name="Modelo" dataDxfId="98"/>
    <tableColumn id="6" xr3:uid="{1CB6AC45-5071-430D-B160-139C70A350FF}" name="Kilómetros" dataDxfId="97">
      <calculatedColumnFormula>IFERROR(VLOOKUP(Tabla2[[#This Row],[Id]],datos_limpios!$C$2:$G$1936, 5, FALSE), "")</calculatedColumnFormula>
    </tableColumn>
    <tableColumn id="3" xr3:uid="{8A783AD1-832C-4D2E-97E1-EDDDFA5B9B44}" name="Precio" dataDxfId="96">
      <calculatedColumnFormula>IFERROR(VLOOKUP(Tabla2[[#This Row],[Id]],datos_limpios!$C$2:$G$1936, 3, FALSE), "")</calculatedColumnFormula>
    </tableColumn>
  </tableColumns>
  <tableStyleInfo name="TableStyleLight1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1F1D482-7A59-4BFE-9014-ACDD748F39A0}" name="Tabla24" displayName="Tabla24" ref="G68:K78" totalsRowShown="0">
  <autoFilter ref="G68:K78" xr:uid="{61F1D482-7A59-4BFE-9014-ACDD748F39A0}"/>
  <tableColumns count="5">
    <tableColumn id="4" xr3:uid="{2BC94E1C-F7F0-4340-8CED-05E6B83BED31}" name="Id" dataDxfId="95"/>
    <tableColumn id="2" xr3:uid="{600C9E3D-667E-4152-81B4-53CAC533A947}" name="Marca" dataDxfId="94"/>
    <tableColumn id="1" xr3:uid="{5FB7D6E2-2C90-4B8C-8C02-92244333FE2B}" name="Modelo" dataDxfId="93"/>
    <tableColumn id="6" xr3:uid="{A0FAB808-2035-4F2B-B584-9D39C2E1B800}" name="Kilómetros" dataDxfId="92">
      <calculatedColumnFormula>IFERROR(VLOOKUP(Tabla24[[#This Row],[Id]],datos_limpios!$C$2:$G$1936, 5, FALSE), "")</calculatedColumnFormula>
    </tableColumn>
    <tableColumn id="3" xr3:uid="{11EBD07C-04A0-4434-9FD3-B18F0E73D0B9}" name="Precio" dataDxfId="91">
      <calculatedColumnFormula>IFERROR(VLOOKUP(Tabla24[[#This Row],[Id]],datos_limpios!$C$2:$G$1936, 3, FALSE), "")</calculatedColumnFormula>
    </tableColumn>
  </tableColumns>
  <tableStyleInfo name="TableStyleLight1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AF633-2A06-475A-8E48-BAE096FCFDF5}" name="datos_limpios" displayName="datos_limpios" ref="A1:P1936" tableType="queryTable" totalsRowShown="0">
  <sortState xmlns:xlrd2="http://schemas.microsoft.com/office/spreadsheetml/2017/richdata2" ref="A2:P1936">
    <sortCondition ref="C2:C1936"/>
  </sortState>
  <tableColumns count="16">
    <tableColumn id="1" xr3:uid="{E8302D49-2044-4CC3-BF6E-FB1737468660}" uniqueName="1" name="Make          " queryTableFieldId="1" dataDxfId="90"/>
    <tableColumn id="2" xr3:uid="{00D03E70-CCF8-476C-9DD5-69B946C01233}" uniqueName="2" name="Model                                              " queryTableFieldId="2" dataDxfId="89"/>
    <tableColumn id="8" xr3:uid="{725645DF-DEBA-4867-8E08-181208319BC8}" uniqueName="8" name="Id" queryTableFieldId="24" dataDxfId="88"/>
    <tableColumn id="3" xr3:uid="{5ABDA2E2-5165-4694-B6B7-C53A9E7BF0A5}" uniqueName="3" name="Price INR   " queryTableFieldId="3" dataDxfId="87"/>
    <tableColumn id="21" xr3:uid="{87B5D4DD-ABE9-4DA2-8A69-F82D5A41448A}" uniqueName="21" name="Price EUR" queryTableFieldId="20" dataDxfId="78">
      <calculatedColumnFormula>datos_limpios[[#This Row],[Price INR   ]]*0.011</calculatedColumnFormula>
    </tableColumn>
    <tableColumn id="4" xr3:uid="{9B03520E-885F-492E-90AC-605579434916}" uniqueName="4" name="Year " queryTableFieldId="4" dataDxfId="76"/>
    <tableColumn id="5" xr3:uid="{BB0E0ABB-4C6B-4E60-BD38-485FD35B9697}" uniqueName="5" name="Kilometer " queryTableFieldId="5" dataDxfId="77"/>
    <tableColumn id="6" xr3:uid="{C6FBA929-1FE5-4B6E-AD0D-A7F487151E39}" uniqueName="6" name="Fuel Type    " queryTableFieldId="6" dataDxfId="86"/>
    <tableColumn id="7" xr3:uid="{B2A94F8B-8474-434C-A6A8-65AF39486C0F}" uniqueName="7" name="Transmission " queryTableFieldId="7" dataDxfId="85"/>
    <tableColumn id="9" xr3:uid="{A656D40D-BAC0-451D-88F7-54C5BE2642F4}" uniqueName="9" name="Color  " queryTableFieldId="9" dataDxfId="84"/>
    <tableColumn id="12" xr3:uid="{B137A5A1-8003-40EC-BA0A-DB93DC0748E0}" uniqueName="12" name="Engine  " queryTableFieldId="12" dataDxfId="83"/>
    <tableColumn id="13" xr3:uid="{8645AEAE-CDBB-4C93-A122-29D1B4F331E5}" uniqueName="13" name="Max Power           " queryTableFieldId="13" dataDxfId="82"/>
    <tableColumn id="14" xr3:uid="{999291D6-CD4E-4346-A9CE-95C156022616}" uniqueName="14" name="Caballos" queryTableFieldId="26" dataDxfId="81">
      <calculatedColumnFormula>VALUE(MID(L2,1,FIND("@",L2)-6))</calculatedColumnFormula>
    </tableColumn>
    <tableColumn id="18" xr3:uid="{D201217E-78FF-41E8-8EE2-FA31F72B6D20}" uniqueName="18" name="Seating Capacity " queryTableFieldId="18"/>
    <tableColumn id="11" xr3:uid="{0F16F1A3-CB7C-4BCD-BD38-1B7E090166AA}" uniqueName="11" name="Familiar" queryTableFieldId="25" dataDxfId="80">
      <calculatedColumnFormula>IF(datos_limpios[[#This Row],[Seating Capacity ]]&gt;4,"SI","NO")</calculatedColumnFormula>
    </tableColumn>
    <tableColumn id="19" xr3:uid="{940F1293-90A6-46AE-AFF2-FD30D8A79A31}" uniqueName="19" name="Fuel Tank Capacity L" queryTableFieldId="1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hyperlink" Target="mailto:118@6600" TargetMode="External"/><Relationship Id="rId1" Type="http://schemas.openxmlformats.org/officeDocument/2006/relationships/hyperlink" Target="mailto:87@6000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3F4AB-EE4D-4DCC-963C-6798F37B3E08}">
  <sheetPr codeName="Hoja2"/>
  <dimension ref="A1:DD146"/>
  <sheetViews>
    <sheetView showGridLines="0" tabSelected="1" topLeftCell="A84" zoomScale="39" zoomScaleNormal="85" workbookViewId="0">
      <selection activeCell="J97" sqref="J97"/>
    </sheetView>
  </sheetViews>
  <sheetFormatPr baseColWidth="10" defaultRowHeight="14.4" x14ac:dyDescent="0.3"/>
  <cols>
    <col min="1" max="1" width="11.5546875" style="11"/>
    <col min="2" max="2" width="28.21875" style="11" bestFit="1" customWidth="1"/>
    <col min="3" max="3" width="17.77734375" style="11" bestFit="1" customWidth="1"/>
    <col min="4" max="4" width="29.77734375" style="11" bestFit="1" customWidth="1"/>
    <col min="5" max="5" width="45.88671875" style="11" bestFit="1" customWidth="1"/>
    <col min="6" max="6" width="42.6640625" style="11" bestFit="1" customWidth="1"/>
    <col min="7" max="7" width="21.5546875" style="11" customWidth="1"/>
    <col min="8" max="8" width="10.5546875" style="11" customWidth="1"/>
    <col min="9" max="9" width="13.5546875" style="11" bestFit="1" customWidth="1"/>
    <col min="10" max="10" width="23.88671875" style="11" bestFit="1" customWidth="1"/>
    <col min="11" max="11" width="8.44140625" style="11" customWidth="1"/>
    <col min="12" max="12" width="11.6640625" style="11" bestFit="1" customWidth="1"/>
    <col min="13" max="13" width="12.33203125" style="11" bestFit="1" customWidth="1"/>
    <col min="14" max="14" width="11.5546875" style="11"/>
    <col min="15" max="15" width="11.6640625" style="11" bestFit="1" customWidth="1"/>
    <col min="16" max="16" width="11.77734375" style="11" bestFit="1" customWidth="1"/>
    <col min="17" max="17" width="17.6640625" style="11" bestFit="1" customWidth="1"/>
    <col min="18" max="18" width="49.44140625" style="11" bestFit="1" customWidth="1"/>
    <col min="19" max="19" width="16.6640625" style="11" bestFit="1" customWidth="1"/>
    <col min="20" max="20" width="18.77734375" style="11" bestFit="1" customWidth="1"/>
    <col min="21" max="23" width="11.5546875" style="11"/>
    <col min="24" max="24" width="11.6640625" style="11" bestFit="1" customWidth="1"/>
    <col min="25" max="25" width="15.5546875" style="11" bestFit="1" customWidth="1"/>
    <col min="26" max="26" width="40.88671875" style="11" bestFit="1" customWidth="1"/>
    <col min="27" max="27" width="12" style="11" bestFit="1" customWidth="1"/>
    <col min="28" max="28" width="12.21875" style="11" bestFit="1" customWidth="1"/>
    <col min="29" max="29" width="11.5546875" style="11"/>
    <col min="30" max="30" width="11.88671875" style="11" bestFit="1" customWidth="1"/>
    <col min="31" max="31" width="14.21875" style="11" bestFit="1" customWidth="1"/>
    <col min="32" max="34" width="11.5546875" style="11"/>
    <col min="35" max="35" width="11.6640625" style="11" bestFit="1" customWidth="1"/>
    <col min="36" max="36" width="11.5546875" style="11"/>
    <col min="37" max="38" width="11.6640625" style="11" bestFit="1" customWidth="1"/>
    <col min="39" max="39" width="15.109375" style="11" bestFit="1" customWidth="1"/>
    <col min="40" max="40" width="11.6640625" style="11" bestFit="1" customWidth="1"/>
    <col min="41" max="41" width="14.77734375" style="11" bestFit="1" customWidth="1"/>
    <col min="42" max="42" width="11.5546875" style="11"/>
    <col min="43" max="43" width="11.6640625" style="11" bestFit="1" customWidth="1"/>
    <col min="44" max="45" width="11.5546875" style="11"/>
    <col min="46" max="46" width="11.6640625" style="11" bestFit="1" customWidth="1"/>
    <col min="47" max="47" width="12.109375" style="11" bestFit="1" customWidth="1"/>
    <col min="48" max="16384" width="11.5546875" style="11"/>
  </cols>
  <sheetData>
    <row r="1" spans="1:108" x14ac:dyDescent="0.3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CO1" s="11" t="s">
        <v>125</v>
      </c>
      <c r="CP1" s="11" t="s">
        <v>1253</v>
      </c>
      <c r="CQ1" s="11">
        <v>1</v>
      </c>
      <c r="CR1" s="11">
        <v>825000</v>
      </c>
      <c r="CS1" s="45">
        <v>9075</v>
      </c>
      <c r="CT1" s="11">
        <v>2009</v>
      </c>
      <c r="CU1" s="11">
        <v>63300</v>
      </c>
      <c r="CV1" s="11" t="s">
        <v>19</v>
      </c>
      <c r="CW1" s="11" t="s">
        <v>40</v>
      </c>
      <c r="CX1" s="11" t="s">
        <v>20</v>
      </c>
      <c r="CY1" s="11" t="s">
        <v>269</v>
      </c>
      <c r="CZ1" s="11" t="s">
        <v>1480</v>
      </c>
      <c r="DA1" s="11">
        <v>24</v>
      </c>
      <c r="DB1" s="11">
        <v>5</v>
      </c>
      <c r="DC1" s="11" t="s">
        <v>1550</v>
      </c>
      <c r="DD1" s="11">
        <v>75</v>
      </c>
    </row>
    <row r="2" spans="1:108" x14ac:dyDescent="0.3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</row>
    <row r="3" spans="1:108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</row>
    <row r="4" spans="1:108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</row>
    <row r="5" spans="1:108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</row>
    <row r="6" spans="1:108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</row>
    <row r="7" spans="1:108" x14ac:dyDescent="0.3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</row>
    <row r="8" spans="1:108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</row>
    <row r="9" spans="1:108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</row>
    <row r="10" spans="1:108" x14ac:dyDescent="0.3">
      <c r="A10" s="15"/>
      <c r="B10" s="15"/>
      <c r="C10" s="15"/>
      <c r="D10" s="15"/>
      <c r="E10" s="15"/>
      <c r="F10" s="15"/>
      <c r="G10" s="15"/>
      <c r="H10" s="16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</row>
    <row r="11" spans="1:108" x14ac:dyDescent="0.3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P11" s="15"/>
    </row>
    <row r="12" spans="1:108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P12" s="15"/>
    </row>
    <row r="13" spans="1:108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P13" s="15"/>
    </row>
    <row r="14" spans="1:108" ht="34.799999999999997" customHeight="1" x14ac:dyDescent="0.3">
      <c r="A14" s="15"/>
      <c r="B14" s="15"/>
      <c r="C14" s="15"/>
      <c r="D14" s="32" t="s">
        <v>1475</v>
      </c>
      <c r="E14" s="33"/>
      <c r="F14" s="17" t="s">
        <v>116</v>
      </c>
      <c r="G14" s="18"/>
      <c r="H14" s="19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P14" s="15"/>
    </row>
    <row r="15" spans="1:108" ht="36.6" customHeight="1" x14ac:dyDescent="0.3">
      <c r="A15" s="15"/>
      <c r="B15" s="15"/>
      <c r="C15" s="29"/>
      <c r="D15" s="38" t="s">
        <v>1547</v>
      </c>
      <c r="E15" s="34"/>
      <c r="F15" s="34">
        <f>IFERROR(VLOOKUP(F14,'Tablas y graficos'!A5:B37,2,FALSE),"Selecciona el modelo")</f>
        <v>159</v>
      </c>
      <c r="G15" s="34"/>
      <c r="H15" s="3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P15" s="15"/>
    </row>
    <row r="16" spans="1:108" ht="25.8" customHeight="1" x14ac:dyDescent="0.3">
      <c r="A16" s="15"/>
      <c r="B16" s="15"/>
      <c r="C16" s="15"/>
      <c r="E16" s="37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P16" s="27"/>
    </row>
    <row r="17" spans="1:42" ht="25.8" customHeight="1" x14ac:dyDescent="0.3">
      <c r="A17" s="15"/>
      <c r="B17" s="15"/>
      <c r="C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P17" s="15"/>
    </row>
    <row r="18" spans="1:42" x14ac:dyDescent="0.3">
      <c r="A18" s="15"/>
      <c r="B18" s="15"/>
      <c r="C18" s="15"/>
      <c r="D18" s="36"/>
      <c r="E18" s="30"/>
      <c r="F18" s="20"/>
      <c r="G18" s="21"/>
      <c r="H18" s="20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P18" s="15"/>
    </row>
    <row r="19" spans="1:42" x14ac:dyDescent="0.3">
      <c r="A19" s="15"/>
      <c r="B19" s="15"/>
      <c r="C19" s="15"/>
      <c r="D19" s="22"/>
      <c r="E19" s="22"/>
      <c r="F19" s="22"/>
      <c r="G19" s="22"/>
      <c r="H19" s="22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P19" s="15"/>
    </row>
    <row r="20" spans="1:42" x14ac:dyDescent="0.3">
      <c r="A20" s="15"/>
      <c r="B20" s="15"/>
      <c r="C20" s="15"/>
      <c r="D20" s="22"/>
      <c r="E20" s="22"/>
      <c r="F20" s="22"/>
      <c r="G20" s="22"/>
      <c r="H20" s="22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P20" s="15"/>
    </row>
    <row r="21" spans="1:42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P21" s="15"/>
    </row>
    <row r="22" spans="1:42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</row>
    <row r="23" spans="1:42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</row>
    <row r="24" spans="1:42" x14ac:dyDescent="0.3">
      <c r="A24" s="15"/>
      <c r="B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</row>
    <row r="25" spans="1:42" x14ac:dyDescent="0.3">
      <c r="A25" s="15"/>
      <c r="B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</row>
    <row r="26" spans="1:42" x14ac:dyDescent="0.3">
      <c r="A26" s="15"/>
      <c r="B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</row>
    <row r="27" spans="1:42" x14ac:dyDescent="0.3">
      <c r="A27" s="15"/>
      <c r="B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</row>
    <row r="28" spans="1:42" x14ac:dyDescent="0.3">
      <c r="A28" s="15"/>
      <c r="B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</row>
    <row r="29" spans="1:42" x14ac:dyDescent="0.3">
      <c r="A29" s="15"/>
      <c r="B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</row>
    <row r="30" spans="1:42" x14ac:dyDescent="0.3">
      <c r="A30" s="15"/>
      <c r="B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</row>
    <row r="31" spans="1:42" x14ac:dyDescent="0.3">
      <c r="A31" s="15"/>
      <c r="B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</row>
    <row r="32" spans="1:42" x14ac:dyDescent="0.3">
      <c r="A32" s="15"/>
      <c r="B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</row>
    <row r="33" spans="1:29" x14ac:dyDescent="0.3">
      <c r="A33" s="15"/>
      <c r="B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</row>
    <row r="34" spans="1:29" x14ac:dyDescent="0.3">
      <c r="A34" s="15"/>
      <c r="B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</row>
    <row r="35" spans="1:29" x14ac:dyDescent="0.3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</row>
    <row r="36" spans="1:29" x14ac:dyDescent="0.3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</row>
    <row r="37" spans="1:29" x14ac:dyDescent="0.3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</row>
    <row r="38" spans="1:29" x14ac:dyDescent="0.3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</row>
    <row r="39" spans="1:29" x14ac:dyDescent="0.3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</row>
    <row r="40" spans="1:29" x14ac:dyDescent="0.3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</row>
    <row r="41" spans="1:29" x14ac:dyDescent="0.3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</row>
    <row r="42" spans="1:29" x14ac:dyDescent="0.3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</row>
    <row r="43" spans="1:29" x14ac:dyDescent="0.3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</row>
    <row r="44" spans="1:29" x14ac:dyDescent="0.3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</row>
    <row r="45" spans="1:29" x14ac:dyDescent="0.3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</row>
    <row r="46" spans="1:29" x14ac:dyDescent="0.3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</row>
    <row r="47" spans="1:29" x14ac:dyDescent="0.3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</row>
    <row r="48" spans="1:29" x14ac:dyDescent="0.3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</row>
    <row r="49" spans="1:29" x14ac:dyDescent="0.3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</row>
    <row r="50" spans="1:29" x14ac:dyDescent="0.3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</row>
    <row r="51" spans="1:29" x14ac:dyDescent="0.3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</row>
    <row r="52" spans="1:29" x14ac:dyDescent="0.3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</row>
    <row r="53" spans="1:29" x14ac:dyDescent="0.3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</row>
    <row r="54" spans="1:29" x14ac:dyDescent="0.3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</row>
    <row r="55" spans="1:29" x14ac:dyDescent="0.3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</row>
    <row r="56" spans="1:29" ht="18" x14ac:dyDescent="0.3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2"/>
      <c r="P56" s="23" t="s">
        <v>1473</v>
      </c>
      <c r="Q56" s="23" t="s">
        <v>1475</v>
      </c>
      <c r="R56" s="23" t="s">
        <v>1474</v>
      </c>
      <c r="S56" s="23" t="s">
        <v>1548</v>
      </c>
      <c r="T56" s="23" t="s">
        <v>1549</v>
      </c>
      <c r="U56" s="12"/>
      <c r="V56" s="12"/>
      <c r="W56" s="12"/>
      <c r="X56" s="23" t="s">
        <v>1473</v>
      </c>
      <c r="Y56" s="23" t="s">
        <v>1475</v>
      </c>
      <c r="Z56" s="23" t="s">
        <v>1474</v>
      </c>
      <c r="AA56" s="23" t="s">
        <v>1548</v>
      </c>
      <c r="AB56" s="23" t="s">
        <v>1549</v>
      </c>
      <c r="AC56" s="12"/>
    </row>
    <row r="57" spans="1:29" ht="18" x14ac:dyDescent="0.3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2"/>
      <c r="P57" s="24">
        <v>225</v>
      </c>
      <c r="Q57" s="25" t="s">
        <v>638</v>
      </c>
      <c r="R57" s="25" t="s">
        <v>639</v>
      </c>
      <c r="S57" s="23">
        <f>IFERROR(VLOOKUP(Tabla26[[#This Row],[Id]],datos_limpios!$C$2:$G$1936, 5, FALSE), "")</f>
        <v>9500</v>
      </c>
      <c r="T57" s="26">
        <f>IFERROR(VLOOKUP(Tabla26[[#This Row],[Id]],datos_limpios!$C$2:$G$1936, 3, FALSE), "")</f>
        <v>385000</v>
      </c>
      <c r="U57" s="12"/>
      <c r="V57" s="12"/>
      <c r="W57" s="12"/>
      <c r="X57" s="24">
        <v>1699</v>
      </c>
      <c r="Y57" s="25" t="s">
        <v>60</v>
      </c>
      <c r="Z57" s="25" t="s">
        <v>647</v>
      </c>
      <c r="AA57" s="23">
        <f>IFERROR(VLOOKUP(Tabla247[[#This Row],[Id]],datos_limpios!$C$2:$G$1936, 5, FALSE), "")</f>
        <v>60000</v>
      </c>
      <c r="AB57" s="26">
        <f>IFERROR(VLOOKUP(Tabla247[[#This Row],[Id]],datos_limpios!$C$2:$G$1936, 3, FALSE), "")</f>
        <v>539</v>
      </c>
      <c r="AC57" s="12"/>
    </row>
    <row r="58" spans="1:29" ht="18" x14ac:dyDescent="0.3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2"/>
      <c r="P58" s="24">
        <v>851</v>
      </c>
      <c r="Q58" s="25" t="s">
        <v>299</v>
      </c>
      <c r="R58" s="25" t="s">
        <v>1150</v>
      </c>
      <c r="S58" s="23">
        <f>IFERROR(VLOOKUP(Tabla26[[#This Row],[Id]],datos_limpios!$C$2:$G$1936, 5, FALSE), "")</f>
        <v>11000</v>
      </c>
      <c r="T58" s="26">
        <f>IFERROR(VLOOKUP(Tabla26[[#This Row],[Id]],datos_limpios!$C$2:$G$1936, 3, FALSE), "")</f>
        <v>302500</v>
      </c>
      <c r="U58" s="12"/>
      <c r="V58" s="39"/>
      <c r="W58" s="12"/>
      <c r="X58" s="24">
        <v>1700</v>
      </c>
      <c r="Y58" s="25" t="s">
        <v>60</v>
      </c>
      <c r="Z58" s="25" t="s">
        <v>621</v>
      </c>
      <c r="AA58" s="23">
        <f>IFERROR(VLOOKUP(Tabla247[[#This Row],[Id]],datos_limpios!$C$2:$G$1936, 5, FALSE), "")</f>
        <v>93000</v>
      </c>
      <c r="AB58" s="26">
        <f>IFERROR(VLOOKUP(Tabla247[[#This Row],[Id]],datos_limpios!$C$2:$G$1936, 3, FALSE), "")</f>
        <v>1264.989</v>
      </c>
      <c r="AC58" s="12"/>
    </row>
    <row r="59" spans="1:29" ht="18" x14ac:dyDescent="0.3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2"/>
      <c r="P59" s="24">
        <v>850</v>
      </c>
      <c r="Q59" s="25" t="s">
        <v>299</v>
      </c>
      <c r="R59" s="25" t="s">
        <v>727</v>
      </c>
      <c r="S59" s="23">
        <f>IFERROR(VLOOKUP(Tabla26[[#This Row],[Id]],datos_limpios!$C$2:$G$1936, 5, FALSE), "")</f>
        <v>35000</v>
      </c>
      <c r="T59" s="26">
        <f>IFERROR(VLOOKUP(Tabla26[[#This Row],[Id]],datos_limpios!$C$2:$G$1936, 3, FALSE), "")</f>
        <v>242000</v>
      </c>
      <c r="U59" s="12"/>
      <c r="V59" s="12"/>
      <c r="W59" s="12"/>
      <c r="X59" s="24">
        <v>426</v>
      </c>
      <c r="Y59" s="25" t="s">
        <v>23</v>
      </c>
      <c r="Z59" s="25" t="s">
        <v>253</v>
      </c>
      <c r="AA59" s="23">
        <f>IFERROR(VLOOKUP(Tabla247[[#This Row],[Id]],datos_limpios!$C$2:$G$1936, 5, FALSE), "")</f>
        <v>48500</v>
      </c>
      <c r="AB59" s="26">
        <f>IFERROR(VLOOKUP(Tabla247[[#This Row],[Id]],datos_limpios!$C$2:$G$1936, 3, FALSE), "")</f>
        <v>1320</v>
      </c>
      <c r="AC59" s="12"/>
    </row>
    <row r="60" spans="1:29" ht="18" x14ac:dyDescent="0.3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2"/>
      <c r="P60" s="24">
        <v>1554</v>
      </c>
      <c r="Q60" s="25" t="s">
        <v>116</v>
      </c>
      <c r="R60" s="25" t="s">
        <v>1387</v>
      </c>
      <c r="S60" s="23">
        <f>IFERROR(VLOOKUP(Tabla26[[#This Row],[Id]],datos_limpios!$C$2:$G$1936, 5, FALSE), "")</f>
        <v>6600</v>
      </c>
      <c r="T60" s="26">
        <f>IFERROR(VLOOKUP(Tabla26[[#This Row],[Id]],datos_limpios!$C$2:$G$1936, 3, FALSE), "")</f>
        <v>220000</v>
      </c>
      <c r="U60" s="12"/>
      <c r="V60" s="12"/>
      <c r="W60" s="12"/>
      <c r="X60" s="24">
        <v>969</v>
      </c>
      <c r="Y60" s="25" t="s">
        <v>17</v>
      </c>
      <c r="Z60" s="25" t="s">
        <v>392</v>
      </c>
      <c r="AA60" s="23">
        <f>IFERROR(VLOOKUP(Tabla247[[#This Row],[Id]],datos_limpios!$C$2:$G$1936, 5, FALSE), "")</f>
        <v>80000</v>
      </c>
      <c r="AB60" s="26">
        <f>IFERROR(VLOOKUP(Tabla247[[#This Row],[Id]],datos_limpios!$C$2:$G$1936, 3, FALSE), "")</f>
        <v>1320</v>
      </c>
      <c r="AC60" s="12"/>
    </row>
    <row r="61" spans="1:29" ht="21" x14ac:dyDescent="0.4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2"/>
      <c r="P61" s="24">
        <v>1657</v>
      </c>
      <c r="Q61" s="25" t="s">
        <v>986</v>
      </c>
      <c r="R61" s="25" t="s">
        <v>1133</v>
      </c>
      <c r="S61" s="23">
        <f>IFERROR(VLOOKUP(Tabla26[[#This Row],[Id]],datos_limpios!$C$2:$G$1936, 5, FALSE), "")</f>
        <v>27000</v>
      </c>
      <c r="T61" s="26">
        <f>IFERROR(VLOOKUP(Tabla26[[#This Row],[Id]],datos_limpios!$C$2:$G$1936, 3, FALSE), "")</f>
        <v>220000</v>
      </c>
      <c r="U61" s="12"/>
      <c r="V61" s="40"/>
      <c r="W61" s="12"/>
      <c r="X61" s="24">
        <v>427</v>
      </c>
      <c r="Y61" s="25" t="s">
        <v>23</v>
      </c>
      <c r="Z61" s="25" t="s">
        <v>1301</v>
      </c>
      <c r="AA61" s="23">
        <f>IFERROR(VLOOKUP(Tabla247[[#This Row],[Id]],datos_limpios!$C$2:$G$1936, 5, FALSE), "")</f>
        <v>59000</v>
      </c>
      <c r="AB61" s="26">
        <f>IFERROR(VLOOKUP(Tabla247[[#This Row],[Id]],datos_limpios!$C$2:$G$1936, 3, FALSE), "")</f>
        <v>1430</v>
      </c>
      <c r="AC61" s="12"/>
    </row>
    <row r="62" spans="1:29" ht="18" x14ac:dyDescent="0.3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2"/>
      <c r="P62" s="24">
        <v>1658</v>
      </c>
      <c r="Q62" s="25" t="s">
        <v>986</v>
      </c>
      <c r="R62" s="25" t="s">
        <v>1133</v>
      </c>
      <c r="S62" s="23">
        <f>IFERROR(VLOOKUP(Tabla26[[#This Row],[Id]],datos_limpios!$C$2:$G$1936, 5, FALSE), "")</f>
        <v>55000</v>
      </c>
      <c r="T62" s="26">
        <f>IFERROR(VLOOKUP(Tabla26[[#This Row],[Id]],datos_limpios!$C$2:$G$1936, 3, FALSE), "")</f>
        <v>220000</v>
      </c>
      <c r="U62" s="12"/>
      <c r="V62" s="12"/>
      <c r="W62" s="12"/>
      <c r="X62" s="24">
        <v>970</v>
      </c>
      <c r="Y62" s="25" t="s">
        <v>17</v>
      </c>
      <c r="Z62" s="25" t="s">
        <v>910</v>
      </c>
      <c r="AA62" s="23">
        <f>IFERROR(VLOOKUP(Tabla247[[#This Row],[Id]],datos_limpios!$C$2:$G$1936, 5, FALSE), "")</f>
        <v>72542</v>
      </c>
      <c r="AB62" s="26">
        <f>IFERROR(VLOOKUP(Tabla247[[#This Row],[Id]],datos_limpios!$C$2:$G$1936, 3, FALSE), "")</f>
        <v>1485</v>
      </c>
      <c r="AC62" s="12"/>
    </row>
    <row r="63" spans="1:29" ht="18" x14ac:dyDescent="0.3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2"/>
      <c r="P63" s="24">
        <v>849</v>
      </c>
      <c r="Q63" s="25" t="s">
        <v>299</v>
      </c>
      <c r="R63" s="25" t="s">
        <v>727</v>
      </c>
      <c r="S63" s="23">
        <f>IFERROR(VLOOKUP(Tabla26[[#This Row],[Id]],datos_limpios!$C$2:$G$1936, 5, FALSE), "")</f>
        <v>63000</v>
      </c>
      <c r="T63" s="26">
        <f>IFERROR(VLOOKUP(Tabla26[[#This Row],[Id]],datos_limpios!$C$2:$G$1936, 3, FALSE), "")</f>
        <v>212300</v>
      </c>
      <c r="U63" s="12"/>
      <c r="V63" s="12"/>
      <c r="W63" s="12"/>
      <c r="X63" s="24">
        <v>971</v>
      </c>
      <c r="Y63" s="25" t="s">
        <v>17</v>
      </c>
      <c r="Z63" s="25" t="s">
        <v>466</v>
      </c>
      <c r="AA63" s="23">
        <f>IFERROR(VLOOKUP(Tabla247[[#This Row],[Id]],datos_limpios!$C$2:$G$1936, 5, FALSE), "")</f>
        <v>65000</v>
      </c>
      <c r="AB63" s="26">
        <f>IFERROR(VLOOKUP(Tabla247[[#This Row],[Id]],datos_limpios!$C$2:$G$1936, 3, FALSE), "")</f>
        <v>1540</v>
      </c>
      <c r="AC63" s="12"/>
    </row>
    <row r="64" spans="1:29" ht="18" x14ac:dyDescent="0.3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2"/>
      <c r="P64" s="24">
        <v>1553</v>
      </c>
      <c r="Q64" s="25" t="s">
        <v>116</v>
      </c>
      <c r="R64" s="25" t="s">
        <v>482</v>
      </c>
      <c r="S64" s="23">
        <f>IFERROR(VLOOKUP(Tabla26[[#This Row],[Id]],datos_limpios!$C$2:$G$1936, 5, FALSE), "")</f>
        <v>5000</v>
      </c>
      <c r="T64" s="26">
        <f>IFERROR(VLOOKUP(Tabla26[[#This Row],[Id]],datos_limpios!$C$2:$G$1936, 3, FALSE), "")</f>
        <v>203500</v>
      </c>
      <c r="U64" s="12"/>
      <c r="V64" s="12"/>
      <c r="W64" s="12"/>
      <c r="X64" s="24">
        <v>428</v>
      </c>
      <c r="Y64" s="25" t="s">
        <v>23</v>
      </c>
      <c r="Z64" s="25" t="s">
        <v>1163</v>
      </c>
      <c r="AA64" s="23">
        <f>IFERROR(VLOOKUP(Tabla247[[#This Row],[Id]],datos_limpios!$C$2:$G$1936, 5, FALSE), "")</f>
        <v>56400</v>
      </c>
      <c r="AB64" s="26">
        <f>IFERROR(VLOOKUP(Tabla247[[#This Row],[Id]],datos_limpios!$C$2:$G$1936, 3, FALSE), "")</f>
        <v>1551</v>
      </c>
      <c r="AC64" s="12"/>
    </row>
    <row r="65" spans="1:29" ht="18" x14ac:dyDescent="0.3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2"/>
      <c r="P65" s="24">
        <v>1552</v>
      </c>
      <c r="Q65" s="25" t="s">
        <v>116</v>
      </c>
      <c r="R65" s="25" t="s">
        <v>598</v>
      </c>
      <c r="S65" s="23">
        <f>IFERROR(VLOOKUP(Tabla26[[#This Row],[Id]],datos_limpios!$C$2:$G$1936, 5, FALSE), "")</f>
        <v>21000</v>
      </c>
      <c r="T65" s="26">
        <f>IFERROR(VLOOKUP(Tabla26[[#This Row],[Id]],datos_limpios!$C$2:$G$1936, 3, FALSE), "")</f>
        <v>203500</v>
      </c>
      <c r="U65" s="12"/>
      <c r="V65" s="12"/>
      <c r="W65" s="12"/>
      <c r="X65" s="24">
        <v>429</v>
      </c>
      <c r="Y65" s="25" t="s">
        <v>23</v>
      </c>
      <c r="Z65" s="25" t="s">
        <v>107</v>
      </c>
      <c r="AA65" s="23">
        <f>IFERROR(VLOOKUP(Tabla247[[#This Row],[Id]],datos_limpios!$C$2:$G$1936, 5, FALSE), "")</f>
        <v>72000</v>
      </c>
      <c r="AB65" s="26">
        <f>IFERROR(VLOOKUP(Tabla247[[#This Row],[Id]],datos_limpios!$C$2:$G$1936, 3, FALSE), "")</f>
        <v>1595</v>
      </c>
      <c r="AC65" s="12"/>
    </row>
    <row r="66" spans="1:29" ht="18" x14ac:dyDescent="0.3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2"/>
      <c r="P66" s="24">
        <v>1656</v>
      </c>
      <c r="Q66" s="25" t="s">
        <v>986</v>
      </c>
      <c r="R66" s="25" t="s">
        <v>987</v>
      </c>
      <c r="S66" s="23">
        <f>IFERROR(VLOOKUP(Tabla26[[#This Row],[Id]],datos_limpios!$C$2:$G$1936, 5, FALSE), "")</f>
        <v>60000</v>
      </c>
      <c r="T66" s="26">
        <f>IFERROR(VLOOKUP(Tabla26[[#This Row],[Id]],datos_limpios!$C$2:$G$1936, 3, FALSE), "")</f>
        <v>198000</v>
      </c>
      <c r="U66" s="12"/>
      <c r="V66" s="12"/>
      <c r="W66" s="12"/>
      <c r="X66" s="24">
        <v>972</v>
      </c>
      <c r="Y66" s="25" t="s">
        <v>17</v>
      </c>
      <c r="Z66" s="25" t="s">
        <v>433</v>
      </c>
      <c r="AA66" s="23">
        <f>IFERROR(VLOOKUP(Tabla247[[#This Row],[Id]],datos_limpios!$C$2:$G$1936, 5, FALSE), "")</f>
        <v>39586</v>
      </c>
      <c r="AB66" s="26">
        <f>IFERROR(VLOOKUP(Tabla247[[#This Row],[Id]],datos_limpios!$C$2:$G$1936, 3, FALSE), "")</f>
        <v>1595</v>
      </c>
      <c r="AC66" s="12"/>
    </row>
    <row r="67" spans="1:29" x14ac:dyDescent="0.3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</row>
    <row r="68" spans="1:29" x14ac:dyDescent="0.3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</row>
    <row r="69" spans="1:29" x14ac:dyDescent="0.3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</row>
    <row r="70" spans="1:29" x14ac:dyDescent="0.3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</row>
    <row r="71" spans="1:29" x14ac:dyDescent="0.3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</row>
    <row r="72" spans="1:29" x14ac:dyDescent="0.3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</row>
    <row r="73" spans="1:29" x14ac:dyDescent="0.3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</row>
    <row r="74" spans="1:29" x14ac:dyDescent="0.3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</row>
    <row r="75" spans="1:29" x14ac:dyDescent="0.3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</row>
    <row r="76" spans="1:29" x14ac:dyDescent="0.3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</row>
    <row r="77" spans="1:29" x14ac:dyDescent="0.3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</row>
    <row r="78" spans="1:29" x14ac:dyDescent="0.3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</row>
    <row r="79" spans="1:29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</row>
    <row r="80" spans="1:29" x14ac:dyDescent="0.3">
      <c r="A80" s="15"/>
      <c r="B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</row>
    <row r="81" spans="1:108" x14ac:dyDescent="0.3">
      <c r="A81" s="15"/>
      <c r="B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</row>
    <row r="82" spans="1:108" x14ac:dyDescent="0.3">
      <c r="A82" s="15"/>
      <c r="B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</row>
    <row r="83" spans="1:108" x14ac:dyDescent="0.3">
      <c r="A83" s="15"/>
      <c r="B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</row>
    <row r="84" spans="1:108" x14ac:dyDescent="0.3">
      <c r="A84" s="15"/>
      <c r="B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</row>
    <row r="85" spans="1:108" x14ac:dyDescent="0.3">
      <c r="A85" s="15"/>
      <c r="B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</row>
    <row r="86" spans="1:108" x14ac:dyDescent="0.3">
      <c r="A86" s="15"/>
      <c r="B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</row>
    <row r="87" spans="1:108" x14ac:dyDescent="0.3">
      <c r="A87" s="15"/>
      <c r="B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</row>
    <row r="88" spans="1:108" x14ac:dyDescent="0.3">
      <c r="A88" s="15"/>
      <c r="B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</row>
    <row r="89" spans="1:108" x14ac:dyDescent="0.3">
      <c r="A89" s="15"/>
      <c r="B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</row>
    <row r="90" spans="1:108" x14ac:dyDescent="0.3">
      <c r="A90" s="15"/>
      <c r="B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</row>
    <row r="91" spans="1:108" ht="28.8" x14ac:dyDescent="0.55000000000000004">
      <c r="A91" s="15"/>
      <c r="B91" s="41" t="s">
        <v>1551</v>
      </c>
      <c r="C91" s="41" t="s">
        <v>1477</v>
      </c>
      <c r="D91" s="41" t="s">
        <v>1552</v>
      </c>
      <c r="E91" s="41" t="s">
        <v>1553</v>
      </c>
      <c r="F91" s="41" t="s">
        <v>1554</v>
      </c>
      <c r="H91" s="46"/>
      <c r="I91" s="46"/>
      <c r="J91" s="46"/>
      <c r="K91" s="46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</row>
    <row r="92" spans="1:108" ht="28.8" x14ac:dyDescent="0.55000000000000004">
      <c r="A92" s="15"/>
      <c r="B92" s="42" t="s">
        <v>1463</v>
      </c>
      <c r="C92" s="43">
        <v>1054</v>
      </c>
      <c r="D92" s="44">
        <v>59577.551233396582</v>
      </c>
      <c r="E92" s="44">
        <v>43.10721062618596</v>
      </c>
      <c r="F92" s="44">
        <v>88.212523719165091</v>
      </c>
      <c r="H92" s="46"/>
      <c r="I92" s="46"/>
      <c r="J92" s="46"/>
      <c r="K92" s="46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</row>
    <row r="93" spans="1:108" ht="28.8" x14ac:dyDescent="0.55000000000000004">
      <c r="A93" s="15"/>
      <c r="B93" s="42" t="s">
        <v>1464</v>
      </c>
      <c r="C93" s="43">
        <v>384</v>
      </c>
      <c r="D93" s="44">
        <v>56176.979166666664</v>
      </c>
      <c r="E93" s="44">
        <v>56.670572916666664</v>
      </c>
      <c r="F93" s="44">
        <v>138.8984375</v>
      </c>
      <c r="H93" s="46"/>
      <c r="I93" s="46"/>
      <c r="J93" s="46"/>
      <c r="K93" s="46"/>
      <c r="L93" s="15"/>
      <c r="M93" s="15"/>
      <c r="N93" s="15"/>
      <c r="O93" s="15"/>
      <c r="P93" s="15"/>
      <c r="Q93" s="15"/>
      <c r="R93" s="15"/>
      <c r="S93" s="15"/>
      <c r="T93" s="15"/>
      <c r="U93" s="31"/>
      <c r="V93" s="15"/>
      <c r="W93" s="15"/>
      <c r="X93" s="15"/>
      <c r="Y93" s="15"/>
      <c r="Z93" s="15"/>
      <c r="AA93" s="15"/>
      <c r="AB93" s="15"/>
      <c r="AC93" s="15"/>
      <c r="CO93" s="11" t="s">
        <v>125</v>
      </c>
      <c r="CP93" s="11" t="s">
        <v>1253</v>
      </c>
      <c r="CQ93" s="11">
        <v>1</v>
      </c>
      <c r="CR93" s="11">
        <v>825000</v>
      </c>
      <c r="CS93" s="45">
        <v>9075</v>
      </c>
      <c r="CT93" s="11">
        <v>2009</v>
      </c>
      <c r="CU93" s="11">
        <v>63300</v>
      </c>
      <c r="CV93" s="11" t="s">
        <v>19</v>
      </c>
      <c r="CW93" s="11" t="s">
        <v>40</v>
      </c>
      <c r="CX93" s="11" t="s">
        <v>20</v>
      </c>
      <c r="CY93" s="11" t="s">
        <v>269</v>
      </c>
      <c r="CZ93" s="11" t="s">
        <v>1480</v>
      </c>
      <c r="DA93" s="11">
        <v>24</v>
      </c>
      <c r="DB93" s="11">
        <v>5</v>
      </c>
      <c r="DC93" s="11" t="s">
        <v>1550</v>
      </c>
      <c r="DD93" s="11">
        <v>75</v>
      </c>
    </row>
    <row r="94" spans="1:108" ht="28.8" x14ac:dyDescent="0.55000000000000004">
      <c r="A94" s="15"/>
      <c r="B94" s="42" t="s">
        <v>1465</v>
      </c>
      <c r="C94" s="43">
        <v>165</v>
      </c>
      <c r="D94" s="44">
        <v>50140.684848484845</v>
      </c>
      <c r="E94" s="44">
        <v>61.975757575757576</v>
      </c>
      <c r="F94" s="44">
        <v>172.23030303030302</v>
      </c>
      <c r="H94" s="46"/>
      <c r="I94" s="47" t="s">
        <v>1556</v>
      </c>
      <c r="J94" s="47" t="s">
        <v>1557</v>
      </c>
      <c r="K94" s="46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</row>
    <row r="95" spans="1:108" ht="28.8" x14ac:dyDescent="0.55000000000000004">
      <c r="A95" s="15"/>
      <c r="B95" s="42" t="s">
        <v>1466</v>
      </c>
      <c r="C95" s="43">
        <v>102</v>
      </c>
      <c r="D95" s="44">
        <v>45234.774509803923</v>
      </c>
      <c r="E95" s="44">
        <v>66.294117647058826</v>
      </c>
      <c r="F95" s="44">
        <v>185.1764705882353</v>
      </c>
      <c r="H95" s="46"/>
      <c r="I95" s="48"/>
      <c r="J95" s="51" t="s">
        <v>1558</v>
      </c>
      <c r="K95" s="46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</row>
    <row r="96" spans="1:108" ht="28.8" x14ac:dyDescent="0.55000000000000004">
      <c r="A96" s="15"/>
      <c r="B96" s="42" t="s">
        <v>1467</v>
      </c>
      <c r="C96" s="43">
        <v>76</v>
      </c>
      <c r="D96" s="44">
        <v>36692.76315789474</v>
      </c>
      <c r="E96" s="44">
        <v>66.35526315789474</v>
      </c>
      <c r="F96" s="44">
        <v>193.19736842105263</v>
      </c>
      <c r="G96" s="28"/>
      <c r="H96" s="46"/>
      <c r="I96" s="49"/>
      <c r="J96" s="51" t="s">
        <v>1559</v>
      </c>
      <c r="K96" s="46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</row>
    <row r="97" spans="1:29" ht="28.8" x14ac:dyDescent="0.55000000000000004">
      <c r="A97" s="15"/>
      <c r="B97" s="42" t="s">
        <v>1468</v>
      </c>
      <c r="C97" s="43">
        <v>43</v>
      </c>
      <c r="D97" s="44">
        <v>35101.279069767443</v>
      </c>
      <c r="E97" s="44">
        <v>70.488372093023258</v>
      </c>
      <c r="F97" s="44">
        <v>214.46511627906978</v>
      </c>
      <c r="G97" s="28"/>
      <c r="H97" s="46"/>
      <c r="I97" s="50"/>
      <c r="J97" s="51" t="s">
        <v>1560</v>
      </c>
      <c r="K97" s="46"/>
      <c r="L97" s="15"/>
      <c r="M97" s="15"/>
      <c r="N97" s="15"/>
      <c r="O97" s="15"/>
      <c r="P97" s="15"/>
      <c r="Q97" s="31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</row>
    <row r="98" spans="1:29" ht="28.8" x14ac:dyDescent="0.55000000000000004">
      <c r="A98" s="15"/>
      <c r="B98" s="42" t="s">
        <v>1469</v>
      </c>
      <c r="C98" s="43">
        <v>33</v>
      </c>
      <c r="D98" s="44">
        <v>31616.727272727272</v>
      </c>
      <c r="E98" s="44">
        <v>74.530303030303031</v>
      </c>
      <c r="F98" s="44">
        <v>230.45454545454547</v>
      </c>
      <c r="G98" s="28"/>
      <c r="H98" s="46"/>
      <c r="I98" s="46"/>
      <c r="J98" s="46"/>
      <c r="K98" s="46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</row>
    <row r="99" spans="1:29" ht="28.8" x14ac:dyDescent="0.55000000000000004">
      <c r="A99" s="15"/>
      <c r="B99" s="42" t="s">
        <v>1470</v>
      </c>
      <c r="C99" s="43">
        <v>26</v>
      </c>
      <c r="D99" s="44">
        <v>21464.461538461539</v>
      </c>
      <c r="E99" s="44">
        <v>71.230769230769226</v>
      </c>
      <c r="F99" s="44">
        <v>219</v>
      </c>
      <c r="G99" s="28"/>
      <c r="H99" s="46"/>
      <c r="I99" s="46"/>
      <c r="J99" s="46"/>
      <c r="K99" s="46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</row>
    <row r="100" spans="1:29" ht="28.8" x14ac:dyDescent="0.55000000000000004">
      <c r="A100" s="15"/>
      <c r="B100" s="42" t="s">
        <v>1471</v>
      </c>
      <c r="C100" s="43">
        <v>13</v>
      </c>
      <c r="D100" s="44">
        <v>15696.384615384615</v>
      </c>
      <c r="E100" s="44">
        <v>71.907692307692301</v>
      </c>
      <c r="F100" s="44">
        <v>260.76923076923077</v>
      </c>
      <c r="G100" s="28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</row>
    <row r="101" spans="1:29" ht="28.8" x14ac:dyDescent="0.55000000000000004">
      <c r="A101" s="15"/>
      <c r="B101" s="42" t="s">
        <v>1472</v>
      </c>
      <c r="C101" s="43">
        <v>11</v>
      </c>
      <c r="D101" s="44">
        <v>24770.090909090908</v>
      </c>
      <c r="E101" s="44">
        <v>82</v>
      </c>
      <c r="F101" s="44">
        <v>264.90909090909093</v>
      </c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W101" s="15"/>
      <c r="X101" s="15"/>
      <c r="Y101" s="15"/>
      <c r="Z101" s="15"/>
      <c r="AA101" s="15"/>
      <c r="AB101" s="15"/>
      <c r="AC101" s="15"/>
    </row>
    <row r="102" spans="1:29" ht="28.8" x14ac:dyDescent="0.55000000000000004">
      <c r="A102" s="15"/>
      <c r="B102" s="42" t="s">
        <v>1459</v>
      </c>
      <c r="C102" s="43">
        <v>28</v>
      </c>
      <c r="D102" s="44">
        <v>18811.071428571428</v>
      </c>
      <c r="E102" s="44">
        <v>81.267857142857139</v>
      </c>
      <c r="F102" s="44">
        <v>347.92857142857144</v>
      </c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W102" s="15"/>
      <c r="X102" s="15"/>
      <c r="Y102" s="15"/>
      <c r="Z102" s="15"/>
      <c r="AA102" s="15"/>
      <c r="AB102" s="15"/>
      <c r="AC102" s="15"/>
    </row>
    <row r="103" spans="1:29" ht="28.8" x14ac:dyDescent="0.55000000000000004">
      <c r="A103" s="15"/>
      <c r="B103" s="42" t="s">
        <v>1447</v>
      </c>
      <c r="C103" s="43">
        <v>1935</v>
      </c>
      <c r="D103" s="44">
        <v>53827.662015503876</v>
      </c>
      <c r="E103" s="44">
        <v>52.032196382428936</v>
      </c>
      <c r="F103" s="44">
        <v>127.58087855297157</v>
      </c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W103" s="15"/>
      <c r="X103" s="15"/>
      <c r="Y103" s="15"/>
      <c r="Z103" s="15"/>
      <c r="AA103" s="15"/>
      <c r="AB103" s="15"/>
      <c r="AC103" s="15"/>
    </row>
    <row r="104" spans="1:29" x14ac:dyDescent="0.3">
      <c r="A104" s="15"/>
      <c r="B104"/>
      <c r="C104"/>
      <c r="D104"/>
      <c r="E104"/>
      <c r="F104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W104" s="15"/>
      <c r="X104" s="15"/>
      <c r="Y104" s="15"/>
      <c r="Z104" s="15"/>
      <c r="AA104" s="15"/>
      <c r="AB104" s="15"/>
      <c r="AC104" s="15"/>
    </row>
    <row r="105" spans="1:29" x14ac:dyDescent="0.3">
      <c r="A105" s="15"/>
      <c r="B105"/>
      <c r="C105"/>
      <c r="D105"/>
      <c r="E105"/>
      <c r="F10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W105" s="15"/>
      <c r="X105" s="15"/>
      <c r="Y105" s="15"/>
      <c r="Z105" s="15"/>
      <c r="AA105" s="15"/>
      <c r="AB105" s="15"/>
      <c r="AC105" s="15"/>
    </row>
    <row r="106" spans="1:29" x14ac:dyDescent="0.3">
      <c r="A106" s="15"/>
      <c r="B106"/>
      <c r="C106"/>
      <c r="D106"/>
      <c r="E106"/>
      <c r="F106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W106" s="15"/>
      <c r="X106" s="15"/>
      <c r="Y106" s="15"/>
      <c r="Z106" s="15"/>
      <c r="AA106" s="15"/>
      <c r="AB106" s="15"/>
      <c r="AC106" s="15"/>
    </row>
    <row r="107" spans="1:29" x14ac:dyDescent="0.3">
      <c r="A107" s="15"/>
      <c r="B107"/>
      <c r="C107"/>
      <c r="D107"/>
      <c r="E107"/>
      <c r="F107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W107" s="15"/>
      <c r="X107" s="15"/>
      <c r="Y107" s="15"/>
      <c r="Z107" s="15"/>
      <c r="AA107" s="15"/>
      <c r="AB107" s="15"/>
      <c r="AC107" s="15"/>
    </row>
    <row r="108" spans="1:29" x14ac:dyDescent="0.3">
      <c r="A108" s="15"/>
      <c r="B108"/>
      <c r="C108"/>
      <c r="D108"/>
      <c r="E108"/>
      <c r="F108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W108" s="15"/>
      <c r="X108" s="15"/>
      <c r="Y108" s="15"/>
      <c r="Z108" s="15"/>
      <c r="AA108" s="15"/>
      <c r="AB108" s="15"/>
      <c r="AC108" s="15"/>
    </row>
    <row r="109" spans="1:29" x14ac:dyDescent="0.3">
      <c r="A109" s="15"/>
      <c r="B109"/>
      <c r="C109"/>
      <c r="D109"/>
      <c r="E109"/>
      <c r="F109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W109" s="15"/>
      <c r="X109" s="15"/>
      <c r="Y109" s="15"/>
      <c r="Z109" s="15"/>
      <c r="AA109" s="15"/>
      <c r="AB109" s="15"/>
      <c r="AC109" s="15"/>
    </row>
    <row r="110" spans="1:29" x14ac:dyDescent="0.3">
      <c r="A110" s="15"/>
      <c r="B110"/>
      <c r="C110"/>
      <c r="D110"/>
      <c r="E110"/>
      <c r="F110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W110" s="15"/>
      <c r="X110" s="15"/>
      <c r="Y110" s="15"/>
      <c r="Z110" s="15"/>
      <c r="AA110" s="15"/>
      <c r="AB110" s="15"/>
      <c r="AC110" s="15"/>
    </row>
    <row r="111" spans="1:29" x14ac:dyDescent="0.3">
      <c r="A111" s="15"/>
      <c r="B111"/>
      <c r="C111"/>
      <c r="D111"/>
      <c r="E111"/>
      <c r="F111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W111" s="15"/>
      <c r="X111" s="15"/>
      <c r="Y111" s="15"/>
      <c r="Z111" s="15"/>
      <c r="AA111" s="15"/>
      <c r="AB111" s="15"/>
      <c r="AC111" s="15"/>
    </row>
    <row r="112" spans="1:29" x14ac:dyDescent="0.3">
      <c r="A112" s="15"/>
      <c r="B112"/>
      <c r="C112"/>
      <c r="D112"/>
      <c r="E112"/>
      <c r="F112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W112" s="15"/>
      <c r="X112" s="15"/>
      <c r="Y112" s="15"/>
      <c r="Z112" s="15"/>
      <c r="AA112" s="15"/>
      <c r="AB112" s="15"/>
      <c r="AC112" s="15"/>
    </row>
    <row r="113" spans="1:29" x14ac:dyDescent="0.3">
      <c r="A113" s="15"/>
      <c r="B113"/>
      <c r="C113"/>
      <c r="D113"/>
      <c r="E113"/>
      <c r="F113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W113" s="15"/>
      <c r="X113" s="15"/>
      <c r="Y113" s="15"/>
      <c r="Z113" s="15"/>
      <c r="AA113" s="15"/>
      <c r="AB113" s="15"/>
      <c r="AC113" s="15"/>
    </row>
    <row r="114" spans="1:29" x14ac:dyDescent="0.3">
      <c r="A114" s="15"/>
      <c r="B114"/>
      <c r="C114"/>
      <c r="D114"/>
      <c r="E114"/>
      <c r="F114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W114" s="15"/>
      <c r="X114" s="15"/>
      <c r="Y114" s="15"/>
      <c r="Z114" s="15"/>
      <c r="AA114" s="15"/>
      <c r="AB114" s="15"/>
      <c r="AC114" s="15"/>
    </row>
    <row r="115" spans="1:29" x14ac:dyDescent="0.3">
      <c r="A115" s="15"/>
      <c r="B115"/>
      <c r="C115"/>
      <c r="D115"/>
      <c r="E115"/>
      <c r="F1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W115" s="15"/>
      <c r="X115" s="15"/>
      <c r="Y115" s="15"/>
      <c r="Z115" s="15"/>
      <c r="AA115" s="15"/>
      <c r="AB115" s="15"/>
      <c r="AC115" s="15"/>
    </row>
    <row r="116" spans="1:29" x14ac:dyDescent="0.3">
      <c r="A116" s="15"/>
      <c r="B116"/>
      <c r="C116"/>
      <c r="D116"/>
      <c r="E116"/>
      <c r="F116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W116" s="15"/>
      <c r="X116" s="15"/>
      <c r="Y116" s="15"/>
      <c r="Z116" s="15"/>
      <c r="AA116" s="15"/>
      <c r="AB116" s="15"/>
      <c r="AC116" s="15"/>
    </row>
    <row r="117" spans="1:29" x14ac:dyDescent="0.3">
      <c r="A117" s="15"/>
      <c r="B117"/>
      <c r="C117"/>
      <c r="D117"/>
      <c r="E117"/>
      <c r="F117"/>
      <c r="G117" s="15"/>
      <c r="H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</row>
    <row r="118" spans="1:29" x14ac:dyDescent="0.3">
      <c r="A118" s="15"/>
      <c r="B118"/>
      <c r="C118"/>
      <c r="D118"/>
      <c r="E118"/>
      <c r="F118"/>
      <c r="G118" s="15"/>
      <c r="H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</row>
    <row r="119" spans="1:29" x14ac:dyDescent="0.3">
      <c r="B119"/>
      <c r="C119"/>
      <c r="D119"/>
      <c r="E119"/>
      <c r="F119"/>
    </row>
    <row r="120" spans="1:29" x14ac:dyDescent="0.3">
      <c r="B120"/>
      <c r="C120"/>
      <c r="D120"/>
      <c r="E120"/>
      <c r="F120"/>
    </row>
    <row r="121" spans="1:29" x14ac:dyDescent="0.3">
      <c r="B121"/>
      <c r="C121"/>
      <c r="D121"/>
      <c r="E121"/>
      <c r="F121"/>
    </row>
    <row r="122" spans="1:29" x14ac:dyDescent="0.3">
      <c r="B122"/>
      <c r="C122"/>
      <c r="D122"/>
      <c r="E122"/>
      <c r="F122"/>
    </row>
    <row r="123" spans="1:29" x14ac:dyDescent="0.3">
      <c r="B123"/>
      <c r="C123"/>
      <c r="D123"/>
      <c r="E123"/>
      <c r="F123"/>
    </row>
    <row r="124" spans="1:29" x14ac:dyDescent="0.3">
      <c r="B124"/>
      <c r="C124"/>
      <c r="D124"/>
      <c r="E124"/>
      <c r="F124"/>
    </row>
    <row r="125" spans="1:29" x14ac:dyDescent="0.3">
      <c r="B125"/>
      <c r="C125"/>
      <c r="D125"/>
      <c r="E125"/>
      <c r="F125"/>
    </row>
    <row r="126" spans="1:29" x14ac:dyDescent="0.3">
      <c r="B126"/>
      <c r="C126"/>
      <c r="D126"/>
      <c r="E126"/>
      <c r="F126"/>
    </row>
    <row r="127" spans="1:29" x14ac:dyDescent="0.3">
      <c r="B127"/>
      <c r="C127"/>
      <c r="D127"/>
      <c r="E127"/>
      <c r="F127"/>
    </row>
    <row r="128" spans="1:29" x14ac:dyDescent="0.3">
      <c r="B128"/>
      <c r="C128"/>
      <c r="D128"/>
      <c r="E128"/>
      <c r="F128"/>
    </row>
    <row r="129" spans="2:6" x14ac:dyDescent="0.3">
      <c r="B129"/>
      <c r="C129"/>
      <c r="D129"/>
      <c r="E129"/>
      <c r="F129"/>
    </row>
    <row r="130" spans="2:6" x14ac:dyDescent="0.3">
      <c r="B130"/>
      <c r="C130"/>
      <c r="D130"/>
      <c r="E130"/>
      <c r="F130"/>
    </row>
    <row r="131" spans="2:6" x14ac:dyDescent="0.3">
      <c r="B131"/>
      <c r="C131"/>
      <c r="D131"/>
      <c r="E131"/>
      <c r="F131"/>
    </row>
    <row r="132" spans="2:6" x14ac:dyDescent="0.3">
      <c r="B132"/>
      <c r="C132"/>
      <c r="D132"/>
      <c r="E132"/>
      <c r="F132"/>
    </row>
    <row r="133" spans="2:6" x14ac:dyDescent="0.3">
      <c r="B133"/>
      <c r="C133"/>
      <c r="D133"/>
      <c r="E133"/>
      <c r="F133"/>
    </row>
    <row r="134" spans="2:6" x14ac:dyDescent="0.3">
      <c r="B134"/>
      <c r="C134"/>
      <c r="D134"/>
      <c r="E134"/>
      <c r="F134"/>
    </row>
    <row r="135" spans="2:6" x14ac:dyDescent="0.3">
      <c r="B135"/>
      <c r="C135"/>
      <c r="D135"/>
      <c r="E135"/>
      <c r="F135"/>
    </row>
    <row r="136" spans="2:6" x14ac:dyDescent="0.3">
      <c r="B136"/>
      <c r="C136"/>
      <c r="D136"/>
      <c r="E136"/>
      <c r="F136"/>
    </row>
    <row r="137" spans="2:6" x14ac:dyDescent="0.3">
      <c r="B137"/>
      <c r="C137"/>
      <c r="D137"/>
      <c r="E137"/>
      <c r="F137"/>
    </row>
    <row r="138" spans="2:6" x14ac:dyDescent="0.3">
      <c r="B138"/>
      <c r="C138"/>
      <c r="D138"/>
      <c r="E138"/>
      <c r="F138"/>
    </row>
    <row r="139" spans="2:6" x14ac:dyDescent="0.3">
      <c r="B139"/>
      <c r="C139"/>
      <c r="D139"/>
      <c r="E139"/>
      <c r="F139"/>
    </row>
    <row r="140" spans="2:6" x14ac:dyDescent="0.3">
      <c r="B140"/>
      <c r="C140"/>
      <c r="D140"/>
      <c r="E140"/>
      <c r="F140"/>
    </row>
    <row r="141" spans="2:6" x14ac:dyDescent="0.3">
      <c r="B141"/>
      <c r="C141"/>
      <c r="D141"/>
      <c r="E141"/>
      <c r="F141"/>
    </row>
    <row r="142" spans="2:6" x14ac:dyDescent="0.3">
      <c r="B142"/>
      <c r="C142"/>
      <c r="D142"/>
      <c r="E142"/>
      <c r="F142"/>
    </row>
    <row r="143" spans="2:6" x14ac:dyDescent="0.3">
      <c r="B143"/>
      <c r="C143"/>
      <c r="D143"/>
      <c r="E143"/>
      <c r="F143"/>
    </row>
    <row r="144" spans="2:6" x14ac:dyDescent="0.3">
      <c r="B144"/>
      <c r="C144"/>
      <c r="D144"/>
      <c r="E144"/>
      <c r="F144"/>
    </row>
    <row r="145" spans="2:6" x14ac:dyDescent="0.3">
      <c r="B145"/>
      <c r="C145"/>
      <c r="D145"/>
      <c r="E145"/>
      <c r="F145"/>
    </row>
    <row r="146" spans="2:6" x14ac:dyDescent="0.3">
      <c r="B146"/>
      <c r="C146"/>
      <c r="D146"/>
      <c r="E146"/>
      <c r="F146"/>
    </row>
  </sheetData>
  <mergeCells count="8">
    <mergeCell ref="D20:E20"/>
    <mergeCell ref="F20:H20"/>
    <mergeCell ref="D14:E14"/>
    <mergeCell ref="F14:H14"/>
    <mergeCell ref="D15:E15"/>
    <mergeCell ref="F15:H15"/>
    <mergeCell ref="D19:E19"/>
    <mergeCell ref="F19:H19"/>
  </mergeCells>
  <conditionalFormatting pivot="1" sqref="F92 F93 F94 F95 F96 F97 F98 F99 F100 F101 F102">
    <cfRule type="cellIs" dxfId="5" priority="3" operator="greaterThan">
      <formula>200</formula>
    </cfRule>
  </conditionalFormatting>
  <conditionalFormatting pivot="1" sqref="F92 F93 F94 F95 F96 F97 F98 F99 F100 F101 F102">
    <cfRule type="cellIs" dxfId="4" priority="2" operator="lessThan">
      <formula>100</formula>
    </cfRule>
  </conditionalFormatting>
  <conditionalFormatting pivot="1" sqref="F92 F93 F94 F95 F96 F97 F98 F99 F100 F101 F102">
    <cfRule type="cellIs" dxfId="3" priority="1" operator="between">
      <formula>100</formula>
      <formula>200</formula>
    </cfRule>
  </conditionalFormatting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MostrarDatosPorID">
                <anchor moveWithCells="1" sizeWithCells="1">
                  <from>
                    <xdr:col>14</xdr:col>
                    <xdr:colOff>502920</xdr:colOff>
                    <xdr:row>91</xdr:row>
                    <xdr:rowOff>342900</xdr:rowOff>
                  </from>
                  <to>
                    <xdr:col>16</xdr:col>
                    <xdr:colOff>106680</xdr:colOff>
                    <xdr:row>93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AA21F8-6CD4-4D4B-8F03-3EFC82F3417E}">
          <x14:formula1>
            <xm:f>datos_limpios!$A$2:$A$1936</xm:f>
          </x14:formula1>
          <xm:sqref>F14:H14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xr2:uid="{B00D418A-C747-489E-88D4-1831DF0FA6F1}">
          <x14:colorSeries theme="6" tint="0.39997558519241921"/>
          <x14:colorNegative theme="0" tint="-0.499984740745262"/>
          <x14:colorAxis rgb="FF000000"/>
          <x14:colorMarkers theme="6" tint="0.79998168889431442"/>
          <x14:colorFirst theme="6" tint="-0.249977111117893"/>
          <x14:colorLast theme="6" tint="-0.249977111117893"/>
          <x14:colorHigh rgb="FFFF0000"/>
          <x14:colorLow rgb="FF002060"/>
          <x14:sparklines>
            <x14:sparkline>
              <xm:f>'Cuadro de mandos'!AA57:AA66</xm:f>
              <xm:sqref>AA68</xm:sqref>
            </x14:sparkline>
          </x14:sparklines>
        </x14:sparklineGroup>
        <x14:sparklineGroup displayEmptyCellsAs="gap" high="1" low="1" xr2:uid="{B915CC32-B86A-427F-92CE-4AF2157223B2}">
          <x14:colorSeries theme="6" tint="0.39997558519241921"/>
          <x14:colorNegative theme="0" tint="-0.499984740745262"/>
          <x14:colorAxis rgb="FF000000"/>
          <x14:colorMarkers theme="6" tint="0.79998168889431442"/>
          <x14:colorFirst theme="6" tint="-0.249977111117893"/>
          <x14:colorLast theme="6" tint="-0.249977111117893"/>
          <x14:colorHigh rgb="FFFF0000"/>
          <x14:colorLow rgb="FF002060"/>
          <x14:sparklines>
            <x14:sparkline>
              <xm:f>'Cuadro de mandos'!S57:S66</xm:f>
              <xm:sqref>S68</xm:sqref>
            </x14:sparkline>
          </x14:sparklines>
        </x14:sparklineGroup>
      </x14:sparklineGroups>
    </ex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BE34E-3544-4364-982D-A4434E32FF5D}">
  <sheetPr codeName="Hoja1"/>
  <dimension ref="A1:J1293"/>
  <sheetViews>
    <sheetView zoomScale="35" zoomScaleNormal="98" workbookViewId="0">
      <selection activeCell="F3" sqref="F3:J15"/>
    </sheetView>
  </sheetViews>
  <sheetFormatPr baseColWidth="10" defaultRowHeight="14.4" x14ac:dyDescent="0.3"/>
  <cols>
    <col min="2" max="2" width="16.33203125" bestFit="1" customWidth="1"/>
    <col min="6" max="6" width="24.21875" bestFit="1" customWidth="1"/>
    <col min="7" max="7" width="12.109375" bestFit="1" customWidth="1"/>
    <col min="8" max="8" width="28.44140625" bestFit="1" customWidth="1"/>
    <col min="9" max="9" width="41.77734375" bestFit="1" customWidth="1"/>
    <col min="10" max="10" width="26.77734375" bestFit="1" customWidth="1"/>
    <col min="11" max="11" width="10.21875" bestFit="1" customWidth="1"/>
    <col min="12" max="18" width="3" bestFit="1" customWidth="1"/>
    <col min="19" max="19" width="4" bestFit="1" customWidth="1"/>
    <col min="20" max="20" width="20.5546875" bestFit="1" customWidth="1"/>
    <col min="21" max="27" width="6" bestFit="1" customWidth="1"/>
    <col min="28" max="29" width="7" bestFit="1" customWidth="1"/>
    <col min="30" max="32" width="6" bestFit="1" customWidth="1"/>
    <col min="33" max="33" width="29" bestFit="1" customWidth="1"/>
    <col min="34" max="43" width="3" bestFit="1" customWidth="1"/>
    <col min="44" max="45" width="4" bestFit="1" customWidth="1"/>
    <col min="46" max="46" width="19.33203125" bestFit="1" customWidth="1"/>
    <col min="47" max="58" width="6.5546875" bestFit="1" customWidth="1"/>
    <col min="59" max="59" width="13.21875" bestFit="1" customWidth="1"/>
    <col min="60" max="60" width="25.109375" bestFit="1" customWidth="1"/>
    <col min="61" max="61" width="33.5546875" bestFit="1" customWidth="1"/>
    <col min="62" max="62" width="23.88671875" bestFit="1" customWidth="1"/>
    <col min="63" max="603" width="21.21875" bestFit="1" customWidth="1"/>
  </cols>
  <sheetData>
    <row r="1" spans="1:10" x14ac:dyDescent="0.3">
      <c r="B1" t="s">
        <v>1448</v>
      </c>
      <c r="C1" t="s">
        <v>1449</v>
      </c>
    </row>
    <row r="2" spans="1:10" x14ac:dyDescent="0.3">
      <c r="A2" t="str">
        <f>IF(datos_limpios!N3&lt;3,"Rango1","Rango2")</f>
        <v>Rango2</v>
      </c>
      <c r="B2" t="s">
        <v>1450</v>
      </c>
      <c r="C2">
        <v>20000</v>
      </c>
    </row>
    <row r="3" spans="1:10" x14ac:dyDescent="0.3">
      <c r="A3" t="str">
        <f>IF(datos_limpios!N4&lt;3,"Rango1","Rango2")</f>
        <v>Rango2</v>
      </c>
      <c r="B3" t="s">
        <v>1451</v>
      </c>
      <c r="C3">
        <v>30000</v>
      </c>
      <c r="F3" s="4" t="s">
        <v>1446</v>
      </c>
      <c r="G3" t="s">
        <v>1477</v>
      </c>
      <c r="H3" t="s">
        <v>1460</v>
      </c>
      <c r="I3" t="s">
        <v>1461</v>
      </c>
      <c r="J3" t="s">
        <v>1488</v>
      </c>
    </row>
    <row r="4" spans="1:10" x14ac:dyDescent="0.3">
      <c r="A4" t="str">
        <f>IF(datos_limpios!N5&lt;3,"Rango1","Rango2")</f>
        <v>Rango2</v>
      </c>
      <c r="B4" t="s">
        <v>1452</v>
      </c>
      <c r="C4">
        <v>40000</v>
      </c>
      <c r="F4" s="5" t="s">
        <v>1463</v>
      </c>
      <c r="G4" s="13">
        <v>1054</v>
      </c>
      <c r="H4" s="2">
        <v>59577.551233396582</v>
      </c>
      <c r="I4" s="2">
        <v>43.10721062618596</v>
      </c>
      <c r="J4" s="2">
        <v>88.212523719165091</v>
      </c>
    </row>
    <row r="5" spans="1:10" x14ac:dyDescent="0.3">
      <c r="A5" t="str">
        <f>IF(datos_limpios!N6&lt;3,"Rango1","Rango2")</f>
        <v>Rango2</v>
      </c>
      <c r="B5" t="s">
        <v>1453</v>
      </c>
      <c r="C5">
        <v>50000</v>
      </c>
      <c r="F5" s="5" t="s">
        <v>1464</v>
      </c>
      <c r="G5" s="13">
        <v>384</v>
      </c>
      <c r="H5" s="2">
        <v>56176.979166666664</v>
      </c>
      <c r="I5" s="2">
        <v>56.670572916666664</v>
      </c>
      <c r="J5" s="2">
        <v>138.8984375</v>
      </c>
    </row>
    <row r="6" spans="1:10" x14ac:dyDescent="0.3">
      <c r="A6" t="str">
        <f>IF(datos_limpios!N7&lt;3,"Rango1","Rango2")</f>
        <v>Rango2</v>
      </c>
      <c r="B6" t="s">
        <v>1454</v>
      </c>
      <c r="C6">
        <v>60000</v>
      </c>
      <c r="F6" s="5" t="s">
        <v>1465</v>
      </c>
      <c r="G6" s="13">
        <v>165</v>
      </c>
      <c r="H6" s="2">
        <v>50140.684848484845</v>
      </c>
      <c r="I6" s="2">
        <v>61.975757575757576</v>
      </c>
      <c r="J6" s="2">
        <v>172.23030303030302</v>
      </c>
    </row>
    <row r="7" spans="1:10" x14ac:dyDescent="0.3">
      <c r="A7" t="str">
        <f>IF(datos_limpios!N8&lt;5,"Rango1","Rango2")</f>
        <v>Rango2</v>
      </c>
      <c r="B7" t="s">
        <v>1455</v>
      </c>
      <c r="C7">
        <v>70000</v>
      </c>
      <c r="F7" s="5" t="s">
        <v>1466</v>
      </c>
      <c r="G7" s="13">
        <v>102</v>
      </c>
      <c r="H7" s="2">
        <v>45234.774509803923</v>
      </c>
      <c r="I7" s="2">
        <v>66.294117647058826</v>
      </c>
      <c r="J7" s="2">
        <v>185.1764705882353</v>
      </c>
    </row>
    <row r="8" spans="1:10" x14ac:dyDescent="0.3">
      <c r="A8" t="str">
        <f>IF(datos_limpios!N9&lt;5,"Rango1","Rango2")</f>
        <v>Rango2</v>
      </c>
      <c r="B8" t="s">
        <v>1456</v>
      </c>
      <c r="C8">
        <v>80000</v>
      </c>
      <c r="F8" s="5" t="s">
        <v>1467</v>
      </c>
      <c r="G8" s="13">
        <v>76</v>
      </c>
      <c r="H8" s="2">
        <v>36692.76315789474</v>
      </c>
      <c r="I8" s="2">
        <v>66.35526315789474</v>
      </c>
      <c r="J8" s="2">
        <v>193.19736842105263</v>
      </c>
    </row>
    <row r="9" spans="1:10" x14ac:dyDescent="0.3">
      <c r="A9" t="str">
        <f>IF(datos_limpios!N10&lt;5,"Rango1","Rango2")</f>
        <v>Rango2</v>
      </c>
      <c r="B9" t="s">
        <v>1457</v>
      </c>
      <c r="C9">
        <v>90000</v>
      </c>
      <c r="F9" s="5" t="s">
        <v>1468</v>
      </c>
      <c r="G9" s="13">
        <v>43</v>
      </c>
      <c r="H9" s="2">
        <v>35101.279069767443</v>
      </c>
      <c r="I9" s="2">
        <v>70.488372093023258</v>
      </c>
      <c r="J9" s="2">
        <v>214.46511627906978</v>
      </c>
    </row>
    <row r="10" spans="1:10" x14ac:dyDescent="0.3">
      <c r="A10" t="str">
        <f>IF(datos_limpios!N11&lt;5,"Rango1","Rango2")</f>
        <v>Rango2</v>
      </c>
      <c r="B10" t="s">
        <v>1458</v>
      </c>
      <c r="C10" t="s">
        <v>1459</v>
      </c>
      <c r="F10" s="5" t="s">
        <v>1469</v>
      </c>
      <c r="G10" s="13">
        <v>33</v>
      </c>
      <c r="H10" s="2">
        <v>31616.727272727272</v>
      </c>
      <c r="I10" s="2">
        <v>74.530303030303031</v>
      </c>
      <c r="J10" s="2">
        <v>230.45454545454547</v>
      </c>
    </row>
    <row r="11" spans="1:10" x14ac:dyDescent="0.3">
      <c r="A11" t="str">
        <f>IF(datos_limpios!N12&lt;5,"Rango1","Rango2")</f>
        <v>Rango2</v>
      </c>
      <c r="F11" s="5" t="s">
        <v>1470</v>
      </c>
      <c r="G11" s="13">
        <v>26</v>
      </c>
      <c r="H11" s="2">
        <v>21464.461538461539</v>
      </c>
      <c r="I11" s="2">
        <v>71.230769230769226</v>
      </c>
      <c r="J11" s="2">
        <v>219</v>
      </c>
    </row>
    <row r="12" spans="1:10" x14ac:dyDescent="0.3">
      <c r="A12" t="str">
        <f>IF(datos_limpios!N13&lt;5,"Rango1","Rango2")</f>
        <v>Rango2</v>
      </c>
      <c r="F12" s="5" t="s">
        <v>1471</v>
      </c>
      <c r="G12" s="13">
        <v>13</v>
      </c>
      <c r="H12" s="2">
        <v>15696.384615384615</v>
      </c>
      <c r="I12" s="2">
        <v>71.907692307692301</v>
      </c>
      <c r="J12" s="2">
        <v>260.76923076923077</v>
      </c>
    </row>
    <row r="13" spans="1:10" x14ac:dyDescent="0.3">
      <c r="A13" t="str">
        <f>IF(datos_limpios!N14&lt;5,"Rango1","Rango2")</f>
        <v>Rango2</v>
      </c>
      <c r="F13" s="5" t="s">
        <v>1472</v>
      </c>
      <c r="G13" s="13">
        <v>11</v>
      </c>
      <c r="H13" s="2">
        <v>24770.090909090908</v>
      </c>
      <c r="I13" s="2">
        <v>82</v>
      </c>
      <c r="J13" s="2">
        <v>264.90909090909093</v>
      </c>
    </row>
    <row r="14" spans="1:10" x14ac:dyDescent="0.3">
      <c r="A14" t="str">
        <f>IF(datos_limpios!N15&lt;5,"Rango1","Rango2")</f>
        <v>Rango2</v>
      </c>
      <c r="B14" t="s">
        <v>1462</v>
      </c>
      <c r="F14" s="5" t="s">
        <v>1459</v>
      </c>
      <c r="G14" s="13">
        <v>28</v>
      </c>
      <c r="H14" s="2">
        <v>18811.071428571428</v>
      </c>
      <c r="I14" s="2">
        <v>81.267857142857139</v>
      </c>
      <c r="J14" s="2">
        <v>347.92857142857144</v>
      </c>
    </row>
    <row r="15" spans="1:10" x14ac:dyDescent="0.3">
      <c r="A15" t="str">
        <f>IF(datos_limpios!N16&lt;5,"Rango1","Rango2")</f>
        <v>Rango2</v>
      </c>
      <c r="F15" s="5" t="s">
        <v>1447</v>
      </c>
      <c r="G15" s="13">
        <v>1935</v>
      </c>
      <c r="H15" s="2">
        <v>53827.662015503876</v>
      </c>
      <c r="I15" s="2">
        <v>52.032196382428936</v>
      </c>
      <c r="J15" s="2">
        <v>127.58087855297157</v>
      </c>
    </row>
    <row r="16" spans="1:10" x14ac:dyDescent="0.3">
      <c r="A16" t="str">
        <f>IF(datos_limpios!N17&lt;5,"Rango1","Rango2")</f>
        <v>Rango2</v>
      </c>
    </row>
    <row r="17" spans="1:1" x14ac:dyDescent="0.3">
      <c r="A17" t="str">
        <f>IF(datos_limpios!N18&lt;5,"Rango1","Rango2")</f>
        <v>Rango2</v>
      </c>
    </row>
    <row r="18" spans="1:1" x14ac:dyDescent="0.3">
      <c r="A18" t="str">
        <f>IF(datos_limpios!N19&lt;5,"Rango1","Rango2")</f>
        <v>Rango2</v>
      </c>
    </row>
    <row r="19" spans="1:1" x14ac:dyDescent="0.3">
      <c r="A19" t="str">
        <f>IF(datos_limpios!N20&lt;5,"Rango1","Rango2")</f>
        <v>Rango2</v>
      </c>
    </row>
    <row r="20" spans="1:1" x14ac:dyDescent="0.3">
      <c r="A20" t="str">
        <f>IF(datos_limpios!N21&lt;5,"Rango1","Rango2")</f>
        <v>Rango2</v>
      </c>
    </row>
    <row r="21" spans="1:1" x14ac:dyDescent="0.3">
      <c r="A21" t="str">
        <f>IF(datos_limpios!N22&lt;5,"Rango1","Rango2")</f>
        <v>Rango2</v>
      </c>
    </row>
    <row r="22" spans="1:1" x14ac:dyDescent="0.3">
      <c r="A22" t="str">
        <f>IF(datos_limpios!N23&lt;5,"Rango1","Rango2")</f>
        <v>Rango2</v>
      </c>
    </row>
    <row r="23" spans="1:1" x14ac:dyDescent="0.3">
      <c r="A23" t="str">
        <f>IF(datos_limpios!N24&lt;5,"Rango1","Rango2")</f>
        <v>Rango2</v>
      </c>
    </row>
    <row r="24" spans="1:1" x14ac:dyDescent="0.3">
      <c r="A24" t="str">
        <f>IF(datos_limpios!N25&lt;5,"Rango1","Rango2")</f>
        <v>Rango2</v>
      </c>
    </row>
    <row r="25" spans="1:1" x14ac:dyDescent="0.3">
      <c r="A25" t="str">
        <f>IF(datos_limpios!N26&lt;5,"Rango1","Rango2")</f>
        <v>Rango2</v>
      </c>
    </row>
    <row r="26" spans="1:1" x14ac:dyDescent="0.3">
      <c r="A26" t="str">
        <f>IF(datos_limpios!N27&lt;5,"Rango1","Rango2")</f>
        <v>Rango2</v>
      </c>
    </row>
    <row r="27" spans="1:1" x14ac:dyDescent="0.3">
      <c r="A27" t="str">
        <f>IF(datos_limpios!N28&lt;5,"Rango1","Rango2")</f>
        <v>Rango2</v>
      </c>
    </row>
    <row r="28" spans="1:1" x14ac:dyDescent="0.3">
      <c r="A28" t="str">
        <f>IF(datos_limpios!N29&lt;5,"Rango1","Rango2")</f>
        <v>Rango2</v>
      </c>
    </row>
    <row r="29" spans="1:1" x14ac:dyDescent="0.3">
      <c r="A29" t="str">
        <f>IF(datos_limpios!N30&lt;5,"Rango1","Rango2")</f>
        <v>Rango2</v>
      </c>
    </row>
    <row r="30" spans="1:1" x14ac:dyDescent="0.3">
      <c r="A30" t="str">
        <f>IF(datos_limpios!N31&lt;5,"Rango1","Rango2")</f>
        <v>Rango2</v>
      </c>
    </row>
    <row r="31" spans="1:1" x14ac:dyDescent="0.3">
      <c r="A31" t="str">
        <f>IF(datos_limpios!N32&lt;5,"Rango1","Rango2")</f>
        <v>Rango2</v>
      </c>
    </row>
    <row r="32" spans="1:1" x14ac:dyDescent="0.3">
      <c r="A32" t="str">
        <f>IF(datos_limpios!N33&lt;5,"Rango1","Rango2")</f>
        <v>Rango2</v>
      </c>
    </row>
    <row r="33" spans="1:1" x14ac:dyDescent="0.3">
      <c r="A33" t="str">
        <f>IF(datos_limpios!N34&lt;5,"Rango1","Rango2")</f>
        <v>Rango2</v>
      </c>
    </row>
    <row r="34" spans="1:1" x14ac:dyDescent="0.3">
      <c r="A34" t="str">
        <f>IF(datos_limpios!N35&lt;5,"Rango1","Rango2")</f>
        <v>Rango2</v>
      </c>
    </row>
    <row r="35" spans="1:1" x14ac:dyDescent="0.3">
      <c r="A35" t="str">
        <f>IF(datos_limpios!N36&lt;5,"Rango1","Rango2")</f>
        <v>Rango2</v>
      </c>
    </row>
    <row r="36" spans="1:1" x14ac:dyDescent="0.3">
      <c r="A36" t="str">
        <f>IF(datos_limpios!N37&lt;5,"Rango1","Rango2")</f>
        <v>Rango2</v>
      </c>
    </row>
    <row r="37" spans="1:1" x14ac:dyDescent="0.3">
      <c r="A37" t="str">
        <f>IF(datos_limpios!N38&lt;5,"Rango1","Rango2")</f>
        <v>Rango2</v>
      </c>
    </row>
    <row r="38" spans="1:1" x14ac:dyDescent="0.3">
      <c r="A38" t="str">
        <f>IF(datos_limpios!N39&lt;5,"Rango1","Rango2")</f>
        <v>Rango2</v>
      </c>
    </row>
    <row r="39" spans="1:1" x14ac:dyDescent="0.3">
      <c r="A39" t="str">
        <f>IF(datos_limpios!N40&lt;5,"Rango1","Rango2")</f>
        <v>Rango2</v>
      </c>
    </row>
    <row r="40" spans="1:1" x14ac:dyDescent="0.3">
      <c r="A40" t="str">
        <f>IF(datos_limpios!N41&lt;5,"Rango1","Rango2")</f>
        <v>Rango2</v>
      </c>
    </row>
    <row r="41" spans="1:1" x14ac:dyDescent="0.3">
      <c r="A41" t="str">
        <f>IF(datos_limpios!N42&lt;5,"Rango1","Rango2")</f>
        <v>Rango2</v>
      </c>
    </row>
    <row r="42" spans="1:1" x14ac:dyDescent="0.3">
      <c r="A42" t="str">
        <f>IF(datos_limpios!N43&lt;5,"Rango1","Rango2")</f>
        <v>Rango2</v>
      </c>
    </row>
    <row r="43" spans="1:1" x14ac:dyDescent="0.3">
      <c r="A43" t="str">
        <f>IF(datos_limpios!N44&lt;5,"Rango1","Rango2")</f>
        <v>Rango2</v>
      </c>
    </row>
    <row r="44" spans="1:1" x14ac:dyDescent="0.3">
      <c r="A44" t="str">
        <f>IF(datos_limpios!N45&lt;5,"Rango1","Rango2")</f>
        <v>Rango2</v>
      </c>
    </row>
    <row r="45" spans="1:1" x14ac:dyDescent="0.3">
      <c r="A45" t="str">
        <f>IF(datos_limpios!N46&lt;5,"Rango1","Rango2")</f>
        <v>Rango2</v>
      </c>
    </row>
    <row r="46" spans="1:1" x14ac:dyDescent="0.3">
      <c r="A46" t="str">
        <f>IF(datos_limpios!N47&lt;5,"Rango1","Rango2")</f>
        <v>Rango2</v>
      </c>
    </row>
    <row r="47" spans="1:1" x14ac:dyDescent="0.3">
      <c r="A47" t="str">
        <f>IF(datos_limpios!N48&lt;5,"Rango1","Rango2")</f>
        <v>Rango2</v>
      </c>
    </row>
    <row r="48" spans="1:1" x14ac:dyDescent="0.3">
      <c r="A48" t="str">
        <f>IF(datos_limpios!N49&lt;5,"Rango1","Rango2")</f>
        <v>Rango2</v>
      </c>
    </row>
    <row r="49" spans="1:1" x14ac:dyDescent="0.3">
      <c r="A49" t="str">
        <f>IF(datos_limpios!N50&lt;5,"Rango1","Rango2")</f>
        <v>Rango2</v>
      </c>
    </row>
    <row r="50" spans="1:1" x14ac:dyDescent="0.3">
      <c r="A50" t="str">
        <f>IF(datos_limpios!N51&lt;5,"Rango1","Rango2")</f>
        <v>Rango2</v>
      </c>
    </row>
    <row r="51" spans="1:1" x14ac:dyDescent="0.3">
      <c r="A51" t="e">
        <f>IF(datos_limpios!#REF!&lt;5,"Rango1","Rango2")</f>
        <v>#REF!</v>
      </c>
    </row>
    <row r="52" spans="1:1" x14ac:dyDescent="0.3">
      <c r="A52" t="str">
        <f>IF(datos_limpios!N52&lt;5,"Rango1","Rango2")</f>
        <v>Rango2</v>
      </c>
    </row>
    <row r="53" spans="1:1" x14ac:dyDescent="0.3">
      <c r="A53" t="str">
        <f>IF(datos_limpios!N53&lt;5,"Rango1","Rango2")</f>
        <v>Rango2</v>
      </c>
    </row>
    <row r="54" spans="1:1" x14ac:dyDescent="0.3">
      <c r="A54" t="str">
        <f>IF(datos_limpios!N54&lt;5,"Rango1","Rango2")</f>
        <v>Rango2</v>
      </c>
    </row>
    <row r="55" spans="1:1" x14ac:dyDescent="0.3">
      <c r="A55" t="str">
        <f>IF(datos_limpios!N55&lt;5,"Rango1","Rango2")</f>
        <v>Rango2</v>
      </c>
    </row>
    <row r="56" spans="1:1" x14ac:dyDescent="0.3">
      <c r="A56" t="str">
        <f>IF(datos_limpios!N56&lt;5,"Rango1","Rango2")</f>
        <v>Rango2</v>
      </c>
    </row>
    <row r="57" spans="1:1" x14ac:dyDescent="0.3">
      <c r="A57" t="str">
        <f>IF(datos_limpios!N57&lt;5,"Rango1","Rango2")</f>
        <v>Rango2</v>
      </c>
    </row>
    <row r="58" spans="1:1" x14ac:dyDescent="0.3">
      <c r="A58" t="str">
        <f>IF(datos_limpios!N58&lt;5,"Rango1","Rango2")</f>
        <v>Rango2</v>
      </c>
    </row>
    <row r="59" spans="1:1" x14ac:dyDescent="0.3">
      <c r="A59" t="str">
        <f>IF(datos_limpios!N59&lt;5,"Rango1","Rango2")</f>
        <v>Rango2</v>
      </c>
    </row>
    <row r="60" spans="1:1" x14ac:dyDescent="0.3">
      <c r="A60" t="str">
        <f>IF(datos_limpios!N60&lt;5,"Rango1","Rango2")</f>
        <v>Rango2</v>
      </c>
    </row>
    <row r="61" spans="1:1" x14ac:dyDescent="0.3">
      <c r="A61" t="str">
        <f>IF(datos_limpios!N61&lt;5,"Rango1","Rango2")</f>
        <v>Rango2</v>
      </c>
    </row>
    <row r="62" spans="1:1" x14ac:dyDescent="0.3">
      <c r="A62" t="str">
        <f>IF(datos_limpios!N62&lt;5,"Rango1","Rango2")</f>
        <v>Rango2</v>
      </c>
    </row>
    <row r="63" spans="1:1" x14ac:dyDescent="0.3">
      <c r="A63" t="str">
        <f>IF(datos_limpios!N63&lt;5,"Rango1","Rango2")</f>
        <v>Rango2</v>
      </c>
    </row>
    <row r="64" spans="1:1" x14ac:dyDescent="0.3">
      <c r="A64" t="str">
        <f>IF(datos_limpios!N64&lt;5,"Rango1","Rango2")</f>
        <v>Rango2</v>
      </c>
    </row>
    <row r="65" spans="1:1" x14ac:dyDescent="0.3">
      <c r="A65" t="str">
        <f>IF(datos_limpios!N65&lt;5,"Rango1","Rango2")</f>
        <v>Rango2</v>
      </c>
    </row>
    <row r="66" spans="1:1" x14ac:dyDescent="0.3">
      <c r="A66" t="str">
        <f>IF(datos_limpios!N66&lt;5,"Rango1","Rango2")</f>
        <v>Rango2</v>
      </c>
    </row>
    <row r="67" spans="1:1" x14ac:dyDescent="0.3">
      <c r="A67" t="str">
        <f>IF(datos_limpios!N67&lt;5,"Rango1","Rango2")</f>
        <v>Rango2</v>
      </c>
    </row>
    <row r="68" spans="1:1" x14ac:dyDescent="0.3">
      <c r="A68" t="str">
        <f>IF(datos_limpios!N68&lt;5,"Rango1","Rango2")</f>
        <v>Rango2</v>
      </c>
    </row>
    <row r="69" spans="1:1" x14ac:dyDescent="0.3">
      <c r="A69" t="str">
        <f>IF(datos_limpios!N69&lt;5,"Rango1","Rango2")</f>
        <v>Rango2</v>
      </c>
    </row>
    <row r="70" spans="1:1" x14ac:dyDescent="0.3">
      <c r="A70" t="str">
        <f>IF(datos_limpios!N70&lt;5,"Rango1","Rango2")</f>
        <v>Rango2</v>
      </c>
    </row>
    <row r="71" spans="1:1" x14ac:dyDescent="0.3">
      <c r="A71" t="str">
        <f>IF(datos_limpios!N71&lt;5,"Rango1","Rango2")</f>
        <v>Rango2</v>
      </c>
    </row>
    <row r="72" spans="1:1" x14ac:dyDescent="0.3">
      <c r="A72" t="str">
        <f>IF(datos_limpios!N72&lt;5,"Rango1","Rango2")</f>
        <v>Rango2</v>
      </c>
    </row>
    <row r="73" spans="1:1" x14ac:dyDescent="0.3">
      <c r="A73" t="str">
        <f>IF(datos_limpios!N73&lt;5,"Rango1","Rango2")</f>
        <v>Rango2</v>
      </c>
    </row>
    <row r="74" spans="1:1" x14ac:dyDescent="0.3">
      <c r="A74" t="str">
        <f>IF(datos_limpios!N74&lt;5,"Rango1","Rango2")</f>
        <v>Rango2</v>
      </c>
    </row>
    <row r="75" spans="1:1" x14ac:dyDescent="0.3">
      <c r="A75" t="str">
        <f>IF(datos_limpios!N75&lt;5,"Rango1","Rango2")</f>
        <v>Rango2</v>
      </c>
    </row>
    <row r="76" spans="1:1" x14ac:dyDescent="0.3">
      <c r="A76" t="str">
        <f>IF(datos_limpios!N76&lt;5,"Rango1","Rango2")</f>
        <v>Rango2</v>
      </c>
    </row>
    <row r="77" spans="1:1" x14ac:dyDescent="0.3">
      <c r="A77" t="str">
        <f>IF(datos_limpios!N77&lt;5,"Rango1","Rango2")</f>
        <v>Rango2</v>
      </c>
    </row>
    <row r="78" spans="1:1" x14ac:dyDescent="0.3">
      <c r="A78" t="str">
        <f>IF(datos_limpios!N78&lt;5,"Rango1","Rango2")</f>
        <v>Rango2</v>
      </c>
    </row>
    <row r="79" spans="1:1" x14ac:dyDescent="0.3">
      <c r="A79" t="str">
        <f>IF(datos_limpios!N79&lt;5,"Rango1","Rango2")</f>
        <v>Rango2</v>
      </c>
    </row>
    <row r="80" spans="1:1" x14ac:dyDescent="0.3">
      <c r="A80" t="str">
        <f>IF(datos_limpios!N80&lt;5,"Rango1","Rango2")</f>
        <v>Rango2</v>
      </c>
    </row>
    <row r="81" spans="1:1" x14ac:dyDescent="0.3">
      <c r="A81" t="str">
        <f>IF(datos_limpios!N81&lt;5,"Rango1","Rango2")</f>
        <v>Rango2</v>
      </c>
    </row>
    <row r="82" spans="1:1" x14ac:dyDescent="0.3">
      <c r="A82" t="str">
        <f>IF(datos_limpios!N82&lt;5,"Rango1","Rango2")</f>
        <v>Rango2</v>
      </c>
    </row>
    <row r="83" spans="1:1" x14ac:dyDescent="0.3">
      <c r="A83" t="str">
        <f>IF(datos_limpios!N83&lt;5,"Rango1","Rango2")</f>
        <v>Rango2</v>
      </c>
    </row>
    <row r="84" spans="1:1" x14ac:dyDescent="0.3">
      <c r="A84" t="str">
        <f>IF(datos_limpios!N84&lt;5,"Rango1","Rango2")</f>
        <v>Rango2</v>
      </c>
    </row>
    <row r="85" spans="1:1" x14ac:dyDescent="0.3">
      <c r="A85" t="str">
        <f>IF(datos_limpios!N85&lt;5,"Rango1","Rango2")</f>
        <v>Rango2</v>
      </c>
    </row>
    <row r="86" spans="1:1" x14ac:dyDescent="0.3">
      <c r="A86" t="str">
        <f>IF(datos_limpios!N86&lt;5,"Rango1","Rango2")</f>
        <v>Rango2</v>
      </c>
    </row>
    <row r="87" spans="1:1" x14ac:dyDescent="0.3">
      <c r="A87" t="str">
        <f>IF(datos_limpios!N87&lt;5,"Rango1","Rango2")</f>
        <v>Rango2</v>
      </c>
    </row>
    <row r="88" spans="1:1" x14ac:dyDescent="0.3">
      <c r="A88" t="str">
        <f>IF(datos_limpios!N88&lt;5,"Rango1","Rango2")</f>
        <v>Rango2</v>
      </c>
    </row>
    <row r="89" spans="1:1" x14ac:dyDescent="0.3">
      <c r="A89" t="str">
        <f>IF(datos_limpios!N89&lt;5,"Rango1","Rango2")</f>
        <v>Rango2</v>
      </c>
    </row>
    <row r="90" spans="1:1" x14ac:dyDescent="0.3">
      <c r="A90" t="str">
        <f>IF(datos_limpios!N90&lt;5,"Rango1","Rango2")</f>
        <v>Rango2</v>
      </c>
    </row>
    <row r="91" spans="1:1" x14ac:dyDescent="0.3">
      <c r="A91" t="str">
        <f>IF(datos_limpios!N91&lt;5,"Rango1","Rango2")</f>
        <v>Rango2</v>
      </c>
    </row>
    <row r="92" spans="1:1" x14ac:dyDescent="0.3">
      <c r="A92" t="str">
        <f>IF(datos_limpios!N92&lt;5,"Rango1","Rango2")</f>
        <v>Rango2</v>
      </c>
    </row>
    <row r="93" spans="1:1" x14ac:dyDescent="0.3">
      <c r="A93" t="str">
        <f>IF(datos_limpios!N93&lt;5,"Rango1","Rango2")</f>
        <v>Rango2</v>
      </c>
    </row>
    <row r="94" spans="1:1" x14ac:dyDescent="0.3">
      <c r="A94" t="str">
        <f>IF(datos_limpios!N94&lt;5,"Rango1","Rango2")</f>
        <v>Rango2</v>
      </c>
    </row>
    <row r="95" spans="1:1" x14ac:dyDescent="0.3">
      <c r="A95" t="str">
        <f>IF(datos_limpios!N95&lt;5,"Rango1","Rango2")</f>
        <v>Rango2</v>
      </c>
    </row>
    <row r="96" spans="1:1" x14ac:dyDescent="0.3">
      <c r="A96" t="str">
        <f>IF(datos_limpios!N96&lt;5,"Rango1","Rango2")</f>
        <v>Rango2</v>
      </c>
    </row>
    <row r="97" spans="1:1" x14ac:dyDescent="0.3">
      <c r="A97" t="str">
        <f>IF(datos_limpios!N97&lt;5,"Rango1","Rango2")</f>
        <v>Rango2</v>
      </c>
    </row>
    <row r="98" spans="1:1" x14ac:dyDescent="0.3">
      <c r="A98" t="str">
        <f>IF(datos_limpios!N98&lt;5,"Rango1","Rango2")</f>
        <v>Rango2</v>
      </c>
    </row>
    <row r="99" spans="1:1" x14ac:dyDescent="0.3">
      <c r="A99" t="str">
        <f>IF(datos_limpios!N99&lt;5,"Rango1","Rango2")</f>
        <v>Rango1</v>
      </c>
    </row>
    <row r="100" spans="1:1" x14ac:dyDescent="0.3">
      <c r="A100" t="str">
        <f>IF(datos_limpios!N100&lt;5,"Rango1","Rango2")</f>
        <v>Rango2</v>
      </c>
    </row>
    <row r="101" spans="1:1" x14ac:dyDescent="0.3">
      <c r="A101" t="str">
        <f>IF(datos_limpios!N101&lt;5,"Rango1","Rango2")</f>
        <v>Rango2</v>
      </c>
    </row>
    <row r="102" spans="1:1" x14ac:dyDescent="0.3">
      <c r="A102" t="str">
        <f>IF(datos_limpios!N102&lt;5,"Rango1","Rango2")</f>
        <v>Rango2</v>
      </c>
    </row>
    <row r="103" spans="1:1" x14ac:dyDescent="0.3">
      <c r="A103" t="str">
        <f>IF(datos_limpios!N103&lt;5,"Rango1","Rango2")</f>
        <v>Rango2</v>
      </c>
    </row>
    <row r="104" spans="1:1" x14ac:dyDescent="0.3">
      <c r="A104" t="str">
        <f>IF(datos_limpios!N104&lt;5,"Rango1","Rango2")</f>
        <v>Rango2</v>
      </c>
    </row>
    <row r="105" spans="1:1" x14ac:dyDescent="0.3">
      <c r="A105" t="str">
        <f>IF(datos_limpios!N105&lt;5,"Rango1","Rango2")</f>
        <v>Rango2</v>
      </c>
    </row>
    <row r="106" spans="1:1" x14ac:dyDescent="0.3">
      <c r="A106" t="str">
        <f>IF(datos_limpios!N106&lt;5,"Rango1","Rango2")</f>
        <v>Rango2</v>
      </c>
    </row>
    <row r="107" spans="1:1" x14ac:dyDescent="0.3">
      <c r="A107" t="str">
        <f>IF(datos_limpios!N107&lt;5,"Rango1","Rango2")</f>
        <v>Rango2</v>
      </c>
    </row>
    <row r="108" spans="1:1" x14ac:dyDescent="0.3">
      <c r="A108" t="str">
        <f>IF(datos_limpios!N108&lt;5,"Rango1","Rango2")</f>
        <v>Rango1</v>
      </c>
    </row>
    <row r="109" spans="1:1" x14ac:dyDescent="0.3">
      <c r="A109" t="str">
        <f>IF(datos_limpios!N109&lt;5,"Rango1","Rango2")</f>
        <v>Rango2</v>
      </c>
    </row>
    <row r="110" spans="1:1" x14ac:dyDescent="0.3">
      <c r="A110" t="str">
        <f>IF(datos_limpios!N110&lt;5,"Rango1","Rango2")</f>
        <v>Rango2</v>
      </c>
    </row>
    <row r="111" spans="1:1" x14ac:dyDescent="0.3">
      <c r="A111" t="str">
        <f>IF(datos_limpios!N111&lt;5,"Rango1","Rango2")</f>
        <v>Rango2</v>
      </c>
    </row>
    <row r="112" spans="1:1" x14ac:dyDescent="0.3">
      <c r="A112" t="str">
        <f>IF(datos_limpios!N112&lt;5,"Rango1","Rango2")</f>
        <v>Rango2</v>
      </c>
    </row>
    <row r="113" spans="1:1" x14ac:dyDescent="0.3">
      <c r="A113" t="str">
        <f>IF(datos_limpios!N113&lt;5,"Rango1","Rango2")</f>
        <v>Rango2</v>
      </c>
    </row>
    <row r="114" spans="1:1" x14ac:dyDescent="0.3">
      <c r="A114" t="str">
        <f>IF(datos_limpios!N114&lt;5,"Rango1","Rango2")</f>
        <v>Rango2</v>
      </c>
    </row>
    <row r="115" spans="1:1" x14ac:dyDescent="0.3">
      <c r="A115" t="str">
        <f>IF(datos_limpios!N115&lt;5,"Rango1","Rango2")</f>
        <v>Rango2</v>
      </c>
    </row>
    <row r="116" spans="1:1" x14ac:dyDescent="0.3">
      <c r="A116" t="str">
        <f>IF(datos_limpios!N116&lt;5,"Rango1","Rango2")</f>
        <v>Rango2</v>
      </c>
    </row>
    <row r="117" spans="1:1" x14ac:dyDescent="0.3">
      <c r="A117" t="str">
        <f>IF(datos_limpios!N117&lt;5,"Rango1","Rango2")</f>
        <v>Rango2</v>
      </c>
    </row>
    <row r="118" spans="1:1" x14ac:dyDescent="0.3">
      <c r="A118" t="str">
        <f>IF(datos_limpios!N118&lt;5,"Rango1","Rango2")</f>
        <v>Rango2</v>
      </c>
    </row>
    <row r="119" spans="1:1" x14ac:dyDescent="0.3">
      <c r="A119" t="str">
        <f>IF(datos_limpios!N119&lt;5,"Rango1","Rango2")</f>
        <v>Rango2</v>
      </c>
    </row>
    <row r="120" spans="1:1" x14ac:dyDescent="0.3">
      <c r="A120" t="str">
        <f>IF(datos_limpios!N120&lt;5,"Rango1","Rango2")</f>
        <v>Rango2</v>
      </c>
    </row>
    <row r="121" spans="1:1" x14ac:dyDescent="0.3">
      <c r="A121" t="str">
        <f>IF(datos_limpios!N121&lt;5,"Rango1","Rango2")</f>
        <v>Rango2</v>
      </c>
    </row>
    <row r="122" spans="1:1" x14ac:dyDescent="0.3">
      <c r="A122" t="str">
        <f>IF(datos_limpios!N122&lt;5,"Rango1","Rango2")</f>
        <v>Rango2</v>
      </c>
    </row>
    <row r="123" spans="1:1" x14ac:dyDescent="0.3">
      <c r="A123" t="str">
        <f>IF(datos_limpios!N123&lt;5,"Rango1","Rango2")</f>
        <v>Rango2</v>
      </c>
    </row>
    <row r="124" spans="1:1" x14ac:dyDescent="0.3">
      <c r="A124" t="str">
        <f>IF(datos_limpios!N124&lt;5,"Rango1","Rango2")</f>
        <v>Rango2</v>
      </c>
    </row>
    <row r="125" spans="1:1" x14ac:dyDescent="0.3">
      <c r="A125" t="str">
        <f>IF(datos_limpios!N125&lt;5,"Rango1","Rango2")</f>
        <v>Rango2</v>
      </c>
    </row>
    <row r="126" spans="1:1" x14ac:dyDescent="0.3">
      <c r="A126" t="str">
        <f>IF(datos_limpios!N126&lt;5,"Rango1","Rango2")</f>
        <v>Rango2</v>
      </c>
    </row>
    <row r="127" spans="1:1" x14ac:dyDescent="0.3">
      <c r="A127" t="str">
        <f>IF(datos_limpios!N127&lt;5,"Rango1","Rango2")</f>
        <v>Rango2</v>
      </c>
    </row>
    <row r="128" spans="1:1" x14ac:dyDescent="0.3">
      <c r="A128" t="str">
        <f>IF(datos_limpios!N128&lt;5,"Rango1","Rango2")</f>
        <v>Rango2</v>
      </c>
    </row>
    <row r="129" spans="1:1" x14ac:dyDescent="0.3">
      <c r="A129" t="str">
        <f>IF(datos_limpios!N129&lt;5,"Rango1","Rango2")</f>
        <v>Rango2</v>
      </c>
    </row>
    <row r="130" spans="1:1" x14ac:dyDescent="0.3">
      <c r="A130" t="str">
        <f>IF(datos_limpios!N130&lt;5,"Rango1","Rango2")</f>
        <v>Rango2</v>
      </c>
    </row>
    <row r="131" spans="1:1" x14ac:dyDescent="0.3">
      <c r="A131" t="str">
        <f>IF(datos_limpios!N131&lt;5,"Rango1","Rango2")</f>
        <v>Rango2</v>
      </c>
    </row>
    <row r="132" spans="1:1" x14ac:dyDescent="0.3">
      <c r="A132" t="str">
        <f>IF(datos_limpios!N132&lt;5,"Rango1","Rango2")</f>
        <v>Rango2</v>
      </c>
    </row>
    <row r="133" spans="1:1" x14ac:dyDescent="0.3">
      <c r="A133" t="str">
        <f>IF(datos_limpios!N133&lt;5,"Rango1","Rango2")</f>
        <v>Rango2</v>
      </c>
    </row>
    <row r="134" spans="1:1" x14ac:dyDescent="0.3">
      <c r="A134" t="str">
        <f>IF(datos_limpios!N134&lt;5,"Rango1","Rango2")</f>
        <v>Rango2</v>
      </c>
    </row>
    <row r="135" spans="1:1" x14ac:dyDescent="0.3">
      <c r="A135" t="str">
        <f>IF(datos_limpios!N135&lt;5,"Rango1","Rango2")</f>
        <v>Rango2</v>
      </c>
    </row>
    <row r="136" spans="1:1" x14ac:dyDescent="0.3">
      <c r="A136" t="str">
        <f>IF(datos_limpios!N136&lt;5,"Rango1","Rango2")</f>
        <v>Rango2</v>
      </c>
    </row>
    <row r="137" spans="1:1" x14ac:dyDescent="0.3">
      <c r="A137" t="str">
        <f>IF(datos_limpios!N137&lt;5,"Rango1","Rango2")</f>
        <v>Rango2</v>
      </c>
    </row>
    <row r="138" spans="1:1" x14ac:dyDescent="0.3">
      <c r="A138" t="str">
        <f>IF(datos_limpios!N138&lt;5,"Rango1","Rango2")</f>
        <v>Rango2</v>
      </c>
    </row>
    <row r="139" spans="1:1" x14ac:dyDescent="0.3">
      <c r="A139" t="str">
        <f>IF(datos_limpios!N139&lt;5,"Rango1","Rango2")</f>
        <v>Rango2</v>
      </c>
    </row>
    <row r="140" spans="1:1" x14ac:dyDescent="0.3">
      <c r="A140" t="str">
        <f>IF(datos_limpios!N140&lt;5,"Rango1","Rango2")</f>
        <v>Rango2</v>
      </c>
    </row>
    <row r="141" spans="1:1" x14ac:dyDescent="0.3">
      <c r="A141" t="str">
        <f>IF(datos_limpios!N141&lt;5,"Rango1","Rango2")</f>
        <v>Rango2</v>
      </c>
    </row>
    <row r="142" spans="1:1" x14ac:dyDescent="0.3">
      <c r="A142" t="str">
        <f>IF(datos_limpios!N142&lt;5,"Rango1","Rango2")</f>
        <v>Rango2</v>
      </c>
    </row>
    <row r="143" spans="1:1" x14ac:dyDescent="0.3">
      <c r="A143" t="str">
        <f>IF(datos_limpios!N143&lt;5,"Rango1","Rango2")</f>
        <v>Rango2</v>
      </c>
    </row>
    <row r="144" spans="1:1" x14ac:dyDescent="0.3">
      <c r="A144" t="str">
        <f>IF(datos_limpios!N144&lt;5,"Rango1","Rango2")</f>
        <v>Rango2</v>
      </c>
    </row>
    <row r="145" spans="1:1" x14ac:dyDescent="0.3">
      <c r="A145" t="str">
        <f>IF(datos_limpios!N145&lt;5,"Rango1","Rango2")</f>
        <v>Rango2</v>
      </c>
    </row>
    <row r="146" spans="1:1" x14ac:dyDescent="0.3">
      <c r="A146" t="str">
        <f>IF(datos_limpios!N146&lt;5,"Rango1","Rango2")</f>
        <v>Rango2</v>
      </c>
    </row>
    <row r="147" spans="1:1" x14ac:dyDescent="0.3">
      <c r="A147" t="str">
        <f>IF(datos_limpios!N147&lt;5,"Rango1","Rango2")</f>
        <v>Rango2</v>
      </c>
    </row>
    <row r="148" spans="1:1" x14ac:dyDescent="0.3">
      <c r="A148" t="str">
        <f>IF(datos_limpios!N148&lt;5,"Rango1","Rango2")</f>
        <v>Rango2</v>
      </c>
    </row>
    <row r="149" spans="1:1" x14ac:dyDescent="0.3">
      <c r="A149" t="str">
        <f>IF(datos_limpios!N149&lt;5,"Rango1","Rango2")</f>
        <v>Rango2</v>
      </c>
    </row>
    <row r="150" spans="1:1" x14ac:dyDescent="0.3">
      <c r="A150" t="str">
        <f>IF(datos_limpios!N150&lt;5,"Rango1","Rango2")</f>
        <v>Rango2</v>
      </c>
    </row>
    <row r="151" spans="1:1" x14ac:dyDescent="0.3">
      <c r="A151" t="str">
        <f>IF(datos_limpios!N151&lt;5,"Rango1","Rango2")</f>
        <v>Rango2</v>
      </c>
    </row>
    <row r="152" spans="1:1" x14ac:dyDescent="0.3">
      <c r="A152" t="str">
        <f>IF(datos_limpios!N152&lt;5,"Rango1","Rango2")</f>
        <v>Rango2</v>
      </c>
    </row>
    <row r="153" spans="1:1" x14ac:dyDescent="0.3">
      <c r="A153" t="str">
        <f>IF(datos_limpios!N153&lt;5,"Rango1","Rango2")</f>
        <v>Rango2</v>
      </c>
    </row>
    <row r="154" spans="1:1" x14ac:dyDescent="0.3">
      <c r="A154" t="str">
        <f>IF(datos_limpios!N154&lt;5,"Rango1","Rango2")</f>
        <v>Rango2</v>
      </c>
    </row>
    <row r="155" spans="1:1" x14ac:dyDescent="0.3">
      <c r="A155" t="str">
        <f>IF(datos_limpios!N155&lt;5,"Rango1","Rango2")</f>
        <v>Rango2</v>
      </c>
    </row>
    <row r="156" spans="1:1" x14ac:dyDescent="0.3">
      <c r="A156" t="str">
        <f>IF(datos_limpios!N156&lt;5,"Rango1","Rango2")</f>
        <v>Rango2</v>
      </c>
    </row>
    <row r="157" spans="1:1" x14ac:dyDescent="0.3">
      <c r="A157" t="str">
        <f>IF(datos_limpios!N157&lt;5,"Rango1","Rango2")</f>
        <v>Rango2</v>
      </c>
    </row>
    <row r="158" spans="1:1" x14ac:dyDescent="0.3">
      <c r="A158" t="str">
        <f>IF(datos_limpios!N158&lt;5,"Rango1","Rango2")</f>
        <v>Rango2</v>
      </c>
    </row>
    <row r="159" spans="1:1" x14ac:dyDescent="0.3">
      <c r="A159" t="str">
        <f>IF(datos_limpios!N159&lt;5,"Rango1","Rango2")</f>
        <v>Rango2</v>
      </c>
    </row>
    <row r="160" spans="1:1" x14ac:dyDescent="0.3">
      <c r="A160" t="str">
        <f>IF(datos_limpios!N160&lt;5,"Rango1","Rango2")</f>
        <v>Rango2</v>
      </c>
    </row>
    <row r="161" spans="1:1" x14ac:dyDescent="0.3">
      <c r="A161" t="str">
        <f>IF(datos_limpios!N161&lt;5,"Rango1","Rango2")</f>
        <v>Rango2</v>
      </c>
    </row>
    <row r="162" spans="1:1" x14ac:dyDescent="0.3">
      <c r="A162" t="str">
        <f>IF(datos_limpios!N162&lt;5,"Rango1","Rango2")</f>
        <v>Rango2</v>
      </c>
    </row>
    <row r="163" spans="1:1" x14ac:dyDescent="0.3">
      <c r="A163" t="str">
        <f>IF(datos_limpios!N163&lt;5,"Rango1","Rango2")</f>
        <v>Rango2</v>
      </c>
    </row>
    <row r="164" spans="1:1" x14ac:dyDescent="0.3">
      <c r="A164" t="str">
        <f>IF(datos_limpios!N164&lt;5,"Rango1","Rango2")</f>
        <v>Rango2</v>
      </c>
    </row>
    <row r="165" spans="1:1" x14ac:dyDescent="0.3">
      <c r="A165" t="str">
        <f>IF(datos_limpios!N165&lt;5,"Rango1","Rango2")</f>
        <v>Rango2</v>
      </c>
    </row>
    <row r="166" spans="1:1" x14ac:dyDescent="0.3">
      <c r="A166" t="str">
        <f>IF(datos_limpios!N166&lt;5,"Rango1","Rango2")</f>
        <v>Rango2</v>
      </c>
    </row>
    <row r="167" spans="1:1" x14ac:dyDescent="0.3">
      <c r="A167" t="str">
        <f>IF(datos_limpios!N167&lt;5,"Rango1","Rango2")</f>
        <v>Rango2</v>
      </c>
    </row>
    <row r="168" spans="1:1" x14ac:dyDescent="0.3">
      <c r="A168" t="str">
        <f>IF(datos_limpios!N168&lt;5,"Rango1","Rango2")</f>
        <v>Rango2</v>
      </c>
    </row>
    <row r="169" spans="1:1" x14ac:dyDescent="0.3">
      <c r="A169" t="str">
        <f>IF(datos_limpios!N169&lt;5,"Rango1","Rango2")</f>
        <v>Rango2</v>
      </c>
    </row>
    <row r="170" spans="1:1" x14ac:dyDescent="0.3">
      <c r="A170" t="str">
        <f>IF(datos_limpios!N170&lt;5,"Rango1","Rango2")</f>
        <v>Rango2</v>
      </c>
    </row>
    <row r="171" spans="1:1" x14ac:dyDescent="0.3">
      <c r="A171" t="str">
        <f>IF(datos_limpios!N171&lt;5,"Rango1","Rango2")</f>
        <v>Rango2</v>
      </c>
    </row>
    <row r="172" spans="1:1" x14ac:dyDescent="0.3">
      <c r="A172" t="str">
        <f>IF(datos_limpios!N172&lt;5,"Rango1","Rango2")</f>
        <v>Rango2</v>
      </c>
    </row>
    <row r="173" spans="1:1" x14ac:dyDescent="0.3">
      <c r="A173" t="str">
        <f>IF(datos_limpios!N173&lt;5,"Rango1","Rango2")</f>
        <v>Rango2</v>
      </c>
    </row>
    <row r="174" spans="1:1" x14ac:dyDescent="0.3">
      <c r="A174" t="str">
        <f>IF(datos_limpios!N174&lt;5,"Rango1","Rango2")</f>
        <v>Rango2</v>
      </c>
    </row>
    <row r="175" spans="1:1" x14ac:dyDescent="0.3">
      <c r="A175" t="str">
        <f>IF(datos_limpios!N175&lt;5,"Rango1","Rango2")</f>
        <v>Rango2</v>
      </c>
    </row>
    <row r="176" spans="1:1" x14ac:dyDescent="0.3">
      <c r="A176" t="str">
        <f>IF(datos_limpios!N176&lt;5,"Rango1","Rango2")</f>
        <v>Rango2</v>
      </c>
    </row>
    <row r="177" spans="1:1" x14ac:dyDescent="0.3">
      <c r="A177" t="str">
        <f>IF(datos_limpios!N177&lt;5,"Rango1","Rango2")</f>
        <v>Rango2</v>
      </c>
    </row>
    <row r="178" spans="1:1" x14ac:dyDescent="0.3">
      <c r="A178" t="str">
        <f>IF(datos_limpios!N178&lt;5,"Rango1","Rango2")</f>
        <v>Rango2</v>
      </c>
    </row>
    <row r="179" spans="1:1" x14ac:dyDescent="0.3">
      <c r="A179" t="str">
        <f>IF(datos_limpios!N179&lt;5,"Rango1","Rango2")</f>
        <v>Rango2</v>
      </c>
    </row>
    <row r="180" spans="1:1" x14ac:dyDescent="0.3">
      <c r="A180" t="str">
        <f>IF(datos_limpios!N180&lt;5,"Rango1","Rango2")</f>
        <v>Rango2</v>
      </c>
    </row>
    <row r="181" spans="1:1" x14ac:dyDescent="0.3">
      <c r="A181" t="str">
        <f>IF(datos_limpios!N181&lt;5,"Rango1","Rango2")</f>
        <v>Rango2</v>
      </c>
    </row>
    <row r="182" spans="1:1" x14ac:dyDescent="0.3">
      <c r="A182" t="str">
        <f>IF(datos_limpios!N182&lt;5,"Rango1","Rango2")</f>
        <v>Rango2</v>
      </c>
    </row>
    <row r="183" spans="1:1" x14ac:dyDescent="0.3">
      <c r="A183" t="str">
        <f>IF(datos_limpios!N183&lt;5,"Rango1","Rango2")</f>
        <v>Rango2</v>
      </c>
    </row>
    <row r="184" spans="1:1" x14ac:dyDescent="0.3">
      <c r="A184" t="str">
        <f>IF(datos_limpios!N184&lt;5,"Rango1","Rango2")</f>
        <v>Rango2</v>
      </c>
    </row>
    <row r="185" spans="1:1" x14ac:dyDescent="0.3">
      <c r="A185" t="str">
        <f>IF(datos_limpios!N185&lt;5,"Rango1","Rango2")</f>
        <v>Rango2</v>
      </c>
    </row>
    <row r="186" spans="1:1" x14ac:dyDescent="0.3">
      <c r="A186" t="str">
        <f>IF(datos_limpios!N186&lt;5,"Rango1","Rango2")</f>
        <v>Rango2</v>
      </c>
    </row>
    <row r="187" spans="1:1" x14ac:dyDescent="0.3">
      <c r="A187" t="str">
        <f>IF(datos_limpios!N187&lt;5,"Rango1","Rango2")</f>
        <v>Rango2</v>
      </c>
    </row>
    <row r="188" spans="1:1" x14ac:dyDescent="0.3">
      <c r="A188" t="str">
        <f>IF(datos_limpios!N188&lt;5,"Rango1","Rango2")</f>
        <v>Rango2</v>
      </c>
    </row>
    <row r="189" spans="1:1" x14ac:dyDescent="0.3">
      <c r="A189" t="str">
        <f>IF(datos_limpios!N189&lt;5,"Rango1","Rango2")</f>
        <v>Rango2</v>
      </c>
    </row>
    <row r="190" spans="1:1" x14ac:dyDescent="0.3">
      <c r="A190" t="str">
        <f>IF(datos_limpios!N190&lt;5,"Rango1","Rango2")</f>
        <v>Rango2</v>
      </c>
    </row>
    <row r="191" spans="1:1" x14ac:dyDescent="0.3">
      <c r="A191" t="str">
        <f>IF(datos_limpios!N191&lt;5,"Rango1","Rango2")</f>
        <v>Rango2</v>
      </c>
    </row>
    <row r="192" spans="1:1" x14ac:dyDescent="0.3">
      <c r="A192" t="str">
        <f>IF(datos_limpios!N192&lt;5,"Rango1","Rango2")</f>
        <v>Rango2</v>
      </c>
    </row>
    <row r="193" spans="1:1" x14ac:dyDescent="0.3">
      <c r="A193" t="str">
        <f>IF(datos_limpios!N193&lt;5,"Rango1","Rango2")</f>
        <v>Rango1</v>
      </c>
    </row>
    <row r="194" spans="1:1" x14ac:dyDescent="0.3">
      <c r="A194" t="str">
        <f>IF(datos_limpios!N194&lt;5,"Rango1","Rango2")</f>
        <v>Rango2</v>
      </c>
    </row>
    <row r="195" spans="1:1" x14ac:dyDescent="0.3">
      <c r="A195" t="str">
        <f>IF(datos_limpios!N195&lt;5,"Rango1","Rango2")</f>
        <v>Rango2</v>
      </c>
    </row>
    <row r="196" spans="1:1" x14ac:dyDescent="0.3">
      <c r="A196" t="str">
        <f>IF(datos_limpios!N196&lt;5,"Rango1","Rango2")</f>
        <v>Rango2</v>
      </c>
    </row>
    <row r="197" spans="1:1" x14ac:dyDescent="0.3">
      <c r="A197" t="str">
        <f>IF(datos_limpios!N197&lt;5,"Rango1","Rango2")</f>
        <v>Rango1</v>
      </c>
    </row>
    <row r="198" spans="1:1" x14ac:dyDescent="0.3">
      <c r="A198" t="str">
        <f>IF(datos_limpios!N198&lt;5,"Rango1","Rango2")</f>
        <v>Rango2</v>
      </c>
    </row>
    <row r="199" spans="1:1" x14ac:dyDescent="0.3">
      <c r="A199" t="str">
        <f>IF(datos_limpios!N199&lt;5,"Rango1","Rango2")</f>
        <v>Rango2</v>
      </c>
    </row>
    <row r="200" spans="1:1" x14ac:dyDescent="0.3">
      <c r="A200" t="str">
        <f>IF(datos_limpios!N200&lt;5,"Rango1","Rango2")</f>
        <v>Rango2</v>
      </c>
    </row>
    <row r="201" spans="1:1" x14ac:dyDescent="0.3">
      <c r="A201" t="str">
        <f>IF(datos_limpios!N201&lt;5,"Rango1","Rango2")</f>
        <v>Rango2</v>
      </c>
    </row>
    <row r="202" spans="1:1" x14ac:dyDescent="0.3">
      <c r="A202" t="str">
        <f>IF(datos_limpios!N202&lt;5,"Rango1","Rango2")</f>
        <v>Rango2</v>
      </c>
    </row>
    <row r="203" spans="1:1" x14ac:dyDescent="0.3">
      <c r="A203" t="str">
        <f>IF(datos_limpios!N203&lt;5,"Rango1","Rango2")</f>
        <v>Rango2</v>
      </c>
    </row>
    <row r="204" spans="1:1" x14ac:dyDescent="0.3">
      <c r="A204" t="str">
        <f>IF(datos_limpios!N204&lt;5,"Rango1","Rango2")</f>
        <v>Rango2</v>
      </c>
    </row>
    <row r="205" spans="1:1" x14ac:dyDescent="0.3">
      <c r="A205" t="str">
        <f>IF(datos_limpios!N205&lt;5,"Rango1","Rango2")</f>
        <v>Rango1</v>
      </c>
    </row>
    <row r="206" spans="1:1" x14ac:dyDescent="0.3">
      <c r="A206" t="str">
        <f>IF(datos_limpios!N206&lt;5,"Rango1","Rango2")</f>
        <v>Rango2</v>
      </c>
    </row>
    <row r="207" spans="1:1" x14ac:dyDescent="0.3">
      <c r="A207" t="str">
        <f>IF(datos_limpios!N207&lt;5,"Rango1","Rango2")</f>
        <v>Rango2</v>
      </c>
    </row>
    <row r="208" spans="1:1" x14ac:dyDescent="0.3">
      <c r="A208" t="str">
        <f>IF(datos_limpios!N208&lt;5,"Rango1","Rango2")</f>
        <v>Rango2</v>
      </c>
    </row>
    <row r="209" spans="1:1" x14ac:dyDescent="0.3">
      <c r="A209" t="str">
        <f>IF(datos_limpios!N209&lt;5,"Rango1","Rango2")</f>
        <v>Rango2</v>
      </c>
    </row>
    <row r="210" spans="1:1" x14ac:dyDescent="0.3">
      <c r="A210" t="str">
        <f>IF(datos_limpios!N210&lt;5,"Rango1","Rango2")</f>
        <v>Rango2</v>
      </c>
    </row>
    <row r="211" spans="1:1" x14ac:dyDescent="0.3">
      <c r="A211" t="str">
        <f>IF(datos_limpios!N211&lt;5,"Rango1","Rango2")</f>
        <v>Rango2</v>
      </c>
    </row>
    <row r="212" spans="1:1" x14ac:dyDescent="0.3">
      <c r="A212" t="str">
        <f>IF(datos_limpios!N212&lt;5,"Rango1","Rango2")</f>
        <v>Rango2</v>
      </c>
    </row>
    <row r="213" spans="1:1" x14ac:dyDescent="0.3">
      <c r="A213" t="str">
        <f>IF(datos_limpios!N213&lt;5,"Rango1","Rango2")</f>
        <v>Rango2</v>
      </c>
    </row>
    <row r="214" spans="1:1" x14ac:dyDescent="0.3">
      <c r="A214" t="str">
        <f>IF(datos_limpios!N214&lt;5,"Rango1","Rango2")</f>
        <v>Rango2</v>
      </c>
    </row>
    <row r="215" spans="1:1" x14ac:dyDescent="0.3">
      <c r="A215" t="str">
        <f>IF(datos_limpios!N215&lt;5,"Rango1","Rango2")</f>
        <v>Rango2</v>
      </c>
    </row>
    <row r="216" spans="1:1" x14ac:dyDescent="0.3">
      <c r="A216" t="str">
        <f>IF(datos_limpios!N216&lt;5,"Rango1","Rango2")</f>
        <v>Rango2</v>
      </c>
    </row>
    <row r="217" spans="1:1" x14ac:dyDescent="0.3">
      <c r="A217" t="str">
        <f>IF(datos_limpios!N217&lt;5,"Rango1","Rango2")</f>
        <v>Rango2</v>
      </c>
    </row>
    <row r="218" spans="1:1" x14ac:dyDescent="0.3">
      <c r="A218" t="str">
        <f>IF(datos_limpios!N218&lt;5,"Rango1","Rango2")</f>
        <v>Rango2</v>
      </c>
    </row>
    <row r="219" spans="1:1" x14ac:dyDescent="0.3">
      <c r="A219" t="str">
        <f>IF(datos_limpios!N219&lt;5,"Rango1","Rango2")</f>
        <v>Rango2</v>
      </c>
    </row>
    <row r="220" spans="1:1" x14ac:dyDescent="0.3">
      <c r="A220" t="str">
        <f>IF(datos_limpios!N220&lt;5,"Rango1","Rango2")</f>
        <v>Rango2</v>
      </c>
    </row>
    <row r="221" spans="1:1" x14ac:dyDescent="0.3">
      <c r="A221" t="str">
        <f>IF(datos_limpios!N221&lt;5,"Rango1","Rango2")</f>
        <v>Rango2</v>
      </c>
    </row>
    <row r="222" spans="1:1" x14ac:dyDescent="0.3">
      <c r="A222" t="str">
        <f>IF(datos_limpios!N222&lt;5,"Rango1","Rango2")</f>
        <v>Rango2</v>
      </c>
    </row>
    <row r="223" spans="1:1" x14ac:dyDescent="0.3">
      <c r="A223" t="str">
        <f>IF(datos_limpios!N223&lt;5,"Rango1","Rango2")</f>
        <v>Rango2</v>
      </c>
    </row>
    <row r="224" spans="1:1" x14ac:dyDescent="0.3">
      <c r="A224" t="str">
        <f>IF(datos_limpios!N224&lt;5,"Rango1","Rango2")</f>
        <v>Rango2</v>
      </c>
    </row>
    <row r="225" spans="1:1" x14ac:dyDescent="0.3">
      <c r="A225" t="str">
        <f>IF(datos_limpios!N225&lt;5,"Rango1","Rango2")</f>
        <v>Rango2</v>
      </c>
    </row>
    <row r="226" spans="1:1" x14ac:dyDescent="0.3">
      <c r="A226" t="str">
        <f>IF(datos_limpios!N226&lt;5,"Rango1","Rango2")</f>
        <v>Rango1</v>
      </c>
    </row>
    <row r="227" spans="1:1" x14ac:dyDescent="0.3">
      <c r="A227" t="str">
        <f>IF(datos_limpios!N227&lt;5,"Rango1","Rango2")</f>
        <v>Rango2</v>
      </c>
    </row>
    <row r="228" spans="1:1" x14ac:dyDescent="0.3">
      <c r="A228" t="str">
        <f>IF(datos_limpios!N228&lt;5,"Rango1","Rango2")</f>
        <v>Rango2</v>
      </c>
    </row>
    <row r="229" spans="1:1" x14ac:dyDescent="0.3">
      <c r="A229" t="str">
        <f>IF(datos_limpios!N229&lt;5,"Rango1","Rango2")</f>
        <v>Rango2</v>
      </c>
    </row>
    <row r="230" spans="1:1" x14ac:dyDescent="0.3">
      <c r="A230" t="str">
        <f>IF(datos_limpios!N230&lt;5,"Rango1","Rango2")</f>
        <v>Rango2</v>
      </c>
    </row>
    <row r="231" spans="1:1" x14ac:dyDescent="0.3">
      <c r="A231" t="str">
        <f>IF(datos_limpios!N231&lt;5,"Rango1","Rango2")</f>
        <v>Rango2</v>
      </c>
    </row>
    <row r="232" spans="1:1" x14ac:dyDescent="0.3">
      <c r="A232" t="str">
        <f>IF(datos_limpios!N232&lt;5,"Rango1","Rango2")</f>
        <v>Rango2</v>
      </c>
    </row>
    <row r="233" spans="1:1" x14ac:dyDescent="0.3">
      <c r="A233" t="str">
        <f>IF(datos_limpios!N233&lt;5,"Rango1","Rango2")</f>
        <v>Rango2</v>
      </c>
    </row>
    <row r="234" spans="1:1" x14ac:dyDescent="0.3">
      <c r="A234" t="str">
        <f>IF(datos_limpios!N234&lt;5,"Rango1","Rango2")</f>
        <v>Rango2</v>
      </c>
    </row>
    <row r="235" spans="1:1" x14ac:dyDescent="0.3">
      <c r="A235" t="str">
        <f>IF(datos_limpios!N235&lt;5,"Rango1","Rango2")</f>
        <v>Rango2</v>
      </c>
    </row>
    <row r="236" spans="1:1" x14ac:dyDescent="0.3">
      <c r="A236" t="str">
        <f>IF(datos_limpios!N236&lt;5,"Rango1","Rango2")</f>
        <v>Rango2</v>
      </c>
    </row>
    <row r="237" spans="1:1" x14ac:dyDescent="0.3">
      <c r="A237" t="str">
        <f>IF(datos_limpios!N237&lt;5,"Rango1","Rango2")</f>
        <v>Rango2</v>
      </c>
    </row>
    <row r="238" spans="1:1" x14ac:dyDescent="0.3">
      <c r="A238" t="str">
        <f>IF(datos_limpios!N238&lt;5,"Rango1","Rango2")</f>
        <v>Rango2</v>
      </c>
    </row>
    <row r="239" spans="1:1" x14ac:dyDescent="0.3">
      <c r="A239" t="str">
        <f>IF(datos_limpios!N239&lt;5,"Rango1","Rango2")</f>
        <v>Rango2</v>
      </c>
    </row>
    <row r="240" spans="1:1" x14ac:dyDescent="0.3">
      <c r="A240" t="str">
        <f>IF(datos_limpios!N240&lt;5,"Rango1","Rango2")</f>
        <v>Rango2</v>
      </c>
    </row>
    <row r="241" spans="1:1" x14ac:dyDescent="0.3">
      <c r="A241" t="str">
        <f>IF(datos_limpios!N241&lt;5,"Rango1","Rango2")</f>
        <v>Rango2</v>
      </c>
    </row>
    <row r="242" spans="1:1" x14ac:dyDescent="0.3">
      <c r="A242" t="str">
        <f>IF(datos_limpios!N242&lt;5,"Rango1","Rango2")</f>
        <v>Rango2</v>
      </c>
    </row>
    <row r="243" spans="1:1" x14ac:dyDescent="0.3">
      <c r="A243" t="str">
        <f>IF(datos_limpios!N243&lt;5,"Rango1","Rango2")</f>
        <v>Rango2</v>
      </c>
    </row>
    <row r="244" spans="1:1" x14ac:dyDescent="0.3">
      <c r="A244" t="str">
        <f>IF(datos_limpios!N244&lt;5,"Rango1","Rango2")</f>
        <v>Rango2</v>
      </c>
    </row>
    <row r="245" spans="1:1" x14ac:dyDescent="0.3">
      <c r="A245" t="str">
        <f>IF(datos_limpios!N245&lt;5,"Rango1","Rango2")</f>
        <v>Rango2</v>
      </c>
    </row>
    <row r="246" spans="1:1" x14ac:dyDescent="0.3">
      <c r="A246" t="str">
        <f>IF(datos_limpios!N246&lt;5,"Rango1","Rango2")</f>
        <v>Rango2</v>
      </c>
    </row>
    <row r="247" spans="1:1" x14ac:dyDescent="0.3">
      <c r="A247" t="str">
        <f>IF(datos_limpios!N247&lt;5,"Rango1","Rango2")</f>
        <v>Rango2</v>
      </c>
    </row>
    <row r="248" spans="1:1" x14ac:dyDescent="0.3">
      <c r="A248" t="str">
        <f>IF(datos_limpios!N248&lt;5,"Rango1","Rango2")</f>
        <v>Rango2</v>
      </c>
    </row>
    <row r="249" spans="1:1" x14ac:dyDescent="0.3">
      <c r="A249" t="str">
        <f>IF(datos_limpios!N249&lt;5,"Rango1","Rango2")</f>
        <v>Rango2</v>
      </c>
    </row>
    <row r="250" spans="1:1" x14ac:dyDescent="0.3">
      <c r="A250" t="str">
        <f>IF(datos_limpios!N250&lt;5,"Rango1","Rango2")</f>
        <v>Rango2</v>
      </c>
    </row>
    <row r="251" spans="1:1" x14ac:dyDescent="0.3">
      <c r="A251" t="str">
        <f>IF(datos_limpios!N251&lt;5,"Rango1","Rango2")</f>
        <v>Rango2</v>
      </c>
    </row>
    <row r="252" spans="1:1" x14ac:dyDescent="0.3">
      <c r="A252" t="str">
        <f>IF(datos_limpios!N252&lt;5,"Rango1","Rango2")</f>
        <v>Rango2</v>
      </c>
    </row>
    <row r="253" spans="1:1" x14ac:dyDescent="0.3">
      <c r="A253" t="str">
        <f>IF(datos_limpios!N253&lt;5,"Rango1","Rango2")</f>
        <v>Rango2</v>
      </c>
    </row>
    <row r="254" spans="1:1" x14ac:dyDescent="0.3">
      <c r="A254" t="str">
        <f>IF(datos_limpios!N254&lt;5,"Rango1","Rango2")</f>
        <v>Rango2</v>
      </c>
    </row>
    <row r="255" spans="1:1" x14ac:dyDescent="0.3">
      <c r="A255" t="str">
        <f>IF(datos_limpios!N255&lt;5,"Rango1","Rango2")</f>
        <v>Rango2</v>
      </c>
    </row>
    <row r="256" spans="1:1" x14ac:dyDescent="0.3">
      <c r="A256" t="str">
        <f>IF(datos_limpios!N256&lt;5,"Rango1","Rango2")</f>
        <v>Rango2</v>
      </c>
    </row>
    <row r="257" spans="1:1" x14ac:dyDescent="0.3">
      <c r="A257" t="str">
        <f>IF(datos_limpios!N257&lt;5,"Rango1","Rango2")</f>
        <v>Rango2</v>
      </c>
    </row>
    <row r="258" spans="1:1" x14ac:dyDescent="0.3">
      <c r="A258" t="str">
        <f>IF(datos_limpios!N258&lt;5,"Rango1","Rango2")</f>
        <v>Rango2</v>
      </c>
    </row>
    <row r="259" spans="1:1" x14ac:dyDescent="0.3">
      <c r="A259" t="str">
        <f>IF(datos_limpios!N259&lt;5,"Rango1","Rango2")</f>
        <v>Rango2</v>
      </c>
    </row>
    <row r="260" spans="1:1" x14ac:dyDescent="0.3">
      <c r="A260" t="str">
        <f>IF(datos_limpios!N260&lt;5,"Rango1","Rango2")</f>
        <v>Rango2</v>
      </c>
    </row>
    <row r="261" spans="1:1" x14ac:dyDescent="0.3">
      <c r="A261" t="str">
        <f>IF(datos_limpios!N261&lt;5,"Rango1","Rango2")</f>
        <v>Rango2</v>
      </c>
    </row>
    <row r="262" spans="1:1" x14ac:dyDescent="0.3">
      <c r="A262" t="str">
        <f>IF(datos_limpios!N262&lt;5,"Rango1","Rango2")</f>
        <v>Rango2</v>
      </c>
    </row>
    <row r="263" spans="1:1" x14ac:dyDescent="0.3">
      <c r="A263" t="str">
        <f>IF(datos_limpios!N263&lt;5,"Rango1","Rango2")</f>
        <v>Rango2</v>
      </c>
    </row>
    <row r="264" spans="1:1" x14ac:dyDescent="0.3">
      <c r="A264" t="str">
        <f>IF(datos_limpios!N264&lt;5,"Rango1","Rango2")</f>
        <v>Rango2</v>
      </c>
    </row>
    <row r="265" spans="1:1" x14ac:dyDescent="0.3">
      <c r="A265" t="str">
        <f>IF(datos_limpios!N265&lt;5,"Rango1","Rango2")</f>
        <v>Rango2</v>
      </c>
    </row>
    <row r="266" spans="1:1" x14ac:dyDescent="0.3">
      <c r="A266" t="str">
        <f>IF(datos_limpios!N266&lt;5,"Rango1","Rango2")</f>
        <v>Rango2</v>
      </c>
    </row>
    <row r="267" spans="1:1" x14ac:dyDescent="0.3">
      <c r="A267" t="str">
        <f>IF(datos_limpios!N267&lt;5,"Rango1","Rango2")</f>
        <v>Rango2</v>
      </c>
    </row>
    <row r="268" spans="1:1" x14ac:dyDescent="0.3">
      <c r="A268" t="str">
        <f>IF(datos_limpios!N268&lt;5,"Rango1","Rango2")</f>
        <v>Rango2</v>
      </c>
    </row>
    <row r="269" spans="1:1" x14ac:dyDescent="0.3">
      <c r="A269" t="str">
        <f>IF(datos_limpios!N269&lt;5,"Rango1","Rango2")</f>
        <v>Rango2</v>
      </c>
    </row>
    <row r="270" spans="1:1" x14ac:dyDescent="0.3">
      <c r="A270" t="str">
        <f>IF(datos_limpios!N270&lt;5,"Rango1","Rango2")</f>
        <v>Rango2</v>
      </c>
    </row>
    <row r="271" spans="1:1" x14ac:dyDescent="0.3">
      <c r="A271" t="str">
        <f>IF(datos_limpios!N271&lt;5,"Rango1","Rango2")</f>
        <v>Rango2</v>
      </c>
    </row>
    <row r="272" spans="1:1" x14ac:dyDescent="0.3">
      <c r="A272" t="str">
        <f>IF(datos_limpios!N272&lt;5,"Rango1","Rango2")</f>
        <v>Rango2</v>
      </c>
    </row>
    <row r="273" spans="1:1" x14ac:dyDescent="0.3">
      <c r="A273" t="str">
        <f>IF(datos_limpios!N273&lt;5,"Rango1","Rango2")</f>
        <v>Rango2</v>
      </c>
    </row>
    <row r="274" spans="1:1" x14ac:dyDescent="0.3">
      <c r="A274" t="str">
        <f>IF(datos_limpios!N274&lt;5,"Rango1","Rango2")</f>
        <v>Rango2</v>
      </c>
    </row>
    <row r="275" spans="1:1" x14ac:dyDescent="0.3">
      <c r="A275" t="str">
        <f>IF(datos_limpios!N275&lt;5,"Rango1","Rango2")</f>
        <v>Rango1</v>
      </c>
    </row>
    <row r="276" spans="1:1" x14ac:dyDescent="0.3">
      <c r="A276" t="str">
        <f>IF(datos_limpios!N276&lt;5,"Rango1","Rango2")</f>
        <v>Rango1</v>
      </c>
    </row>
    <row r="277" spans="1:1" x14ac:dyDescent="0.3">
      <c r="A277" t="str">
        <f>IF(datos_limpios!N277&lt;5,"Rango1","Rango2")</f>
        <v>Rango2</v>
      </c>
    </row>
    <row r="278" spans="1:1" x14ac:dyDescent="0.3">
      <c r="A278" t="str">
        <f>IF(datos_limpios!N278&lt;5,"Rango1","Rango2")</f>
        <v>Rango2</v>
      </c>
    </row>
    <row r="279" spans="1:1" x14ac:dyDescent="0.3">
      <c r="A279" t="str">
        <f>IF(datos_limpios!N279&lt;5,"Rango1","Rango2")</f>
        <v>Rango2</v>
      </c>
    </row>
    <row r="280" spans="1:1" x14ac:dyDescent="0.3">
      <c r="A280" t="str">
        <f>IF(datos_limpios!N280&lt;5,"Rango1","Rango2")</f>
        <v>Rango2</v>
      </c>
    </row>
    <row r="281" spans="1:1" x14ac:dyDescent="0.3">
      <c r="A281" t="str">
        <f>IF(datos_limpios!N281&lt;5,"Rango1","Rango2")</f>
        <v>Rango2</v>
      </c>
    </row>
    <row r="282" spans="1:1" x14ac:dyDescent="0.3">
      <c r="A282" t="str">
        <f>IF(datos_limpios!N282&lt;5,"Rango1","Rango2")</f>
        <v>Rango2</v>
      </c>
    </row>
    <row r="283" spans="1:1" x14ac:dyDescent="0.3">
      <c r="A283" t="str">
        <f>IF(datos_limpios!N283&lt;5,"Rango1","Rango2")</f>
        <v>Rango2</v>
      </c>
    </row>
    <row r="284" spans="1:1" x14ac:dyDescent="0.3">
      <c r="A284" t="str">
        <f>IF(datos_limpios!N284&lt;5,"Rango1","Rango2")</f>
        <v>Rango2</v>
      </c>
    </row>
    <row r="285" spans="1:1" x14ac:dyDescent="0.3">
      <c r="A285" t="str">
        <f>IF(datos_limpios!N285&lt;5,"Rango1","Rango2")</f>
        <v>Rango2</v>
      </c>
    </row>
    <row r="286" spans="1:1" x14ac:dyDescent="0.3">
      <c r="A286" t="str">
        <f>IF(datos_limpios!N286&lt;5,"Rango1","Rango2")</f>
        <v>Rango2</v>
      </c>
    </row>
    <row r="287" spans="1:1" x14ac:dyDescent="0.3">
      <c r="A287" t="str">
        <f>IF(datos_limpios!N287&lt;5,"Rango1","Rango2")</f>
        <v>Rango2</v>
      </c>
    </row>
    <row r="288" spans="1:1" x14ac:dyDescent="0.3">
      <c r="A288" t="str">
        <f>IF(datos_limpios!N288&lt;5,"Rango1","Rango2")</f>
        <v>Rango2</v>
      </c>
    </row>
    <row r="289" spans="1:1" x14ac:dyDescent="0.3">
      <c r="A289" t="str">
        <f>IF(datos_limpios!N289&lt;5,"Rango1","Rango2")</f>
        <v>Rango2</v>
      </c>
    </row>
    <row r="290" spans="1:1" x14ac:dyDescent="0.3">
      <c r="A290" t="str">
        <f>IF(datos_limpios!N290&lt;5,"Rango1","Rango2")</f>
        <v>Rango2</v>
      </c>
    </row>
    <row r="291" spans="1:1" x14ac:dyDescent="0.3">
      <c r="A291" t="str">
        <f>IF(datos_limpios!N291&lt;5,"Rango1","Rango2")</f>
        <v>Rango2</v>
      </c>
    </row>
    <row r="292" spans="1:1" x14ac:dyDescent="0.3">
      <c r="A292" t="str">
        <f>IF(datos_limpios!N292&lt;5,"Rango1","Rango2")</f>
        <v>Rango2</v>
      </c>
    </row>
    <row r="293" spans="1:1" x14ac:dyDescent="0.3">
      <c r="A293" t="str">
        <f>IF(datos_limpios!N293&lt;5,"Rango1","Rango2")</f>
        <v>Rango2</v>
      </c>
    </row>
    <row r="294" spans="1:1" x14ac:dyDescent="0.3">
      <c r="A294" t="str">
        <f>IF(datos_limpios!N294&lt;5,"Rango1","Rango2")</f>
        <v>Rango2</v>
      </c>
    </row>
    <row r="295" spans="1:1" x14ac:dyDescent="0.3">
      <c r="A295" t="str">
        <f>IF(datos_limpios!N295&lt;5,"Rango1","Rango2")</f>
        <v>Rango2</v>
      </c>
    </row>
    <row r="296" spans="1:1" x14ac:dyDescent="0.3">
      <c r="A296" t="str">
        <f>IF(datos_limpios!N296&lt;5,"Rango1","Rango2")</f>
        <v>Rango2</v>
      </c>
    </row>
    <row r="297" spans="1:1" x14ac:dyDescent="0.3">
      <c r="A297" t="str">
        <f>IF(datos_limpios!N297&lt;5,"Rango1","Rango2")</f>
        <v>Rango2</v>
      </c>
    </row>
    <row r="298" spans="1:1" x14ac:dyDescent="0.3">
      <c r="A298" t="str">
        <f>IF(datos_limpios!N298&lt;5,"Rango1","Rango2")</f>
        <v>Rango2</v>
      </c>
    </row>
    <row r="299" spans="1:1" x14ac:dyDescent="0.3">
      <c r="A299" t="str">
        <f>IF(datos_limpios!N299&lt;5,"Rango1","Rango2")</f>
        <v>Rango2</v>
      </c>
    </row>
    <row r="300" spans="1:1" x14ac:dyDescent="0.3">
      <c r="A300" t="str">
        <f>IF(datos_limpios!N300&lt;5,"Rango1","Rango2")</f>
        <v>Rango2</v>
      </c>
    </row>
    <row r="301" spans="1:1" x14ac:dyDescent="0.3">
      <c r="A301" t="str">
        <f>IF(datos_limpios!N301&lt;5,"Rango1","Rango2")</f>
        <v>Rango2</v>
      </c>
    </row>
    <row r="302" spans="1:1" x14ac:dyDescent="0.3">
      <c r="A302" t="str">
        <f>IF(datos_limpios!N302&lt;5,"Rango1","Rango2")</f>
        <v>Rango2</v>
      </c>
    </row>
    <row r="303" spans="1:1" x14ac:dyDescent="0.3">
      <c r="A303" t="str">
        <f>IF(datos_limpios!N303&lt;5,"Rango1","Rango2")</f>
        <v>Rango2</v>
      </c>
    </row>
    <row r="304" spans="1:1" x14ac:dyDescent="0.3">
      <c r="A304" t="str">
        <f>IF(datos_limpios!N304&lt;5,"Rango1","Rango2")</f>
        <v>Rango2</v>
      </c>
    </row>
    <row r="305" spans="1:1" x14ac:dyDescent="0.3">
      <c r="A305" t="str">
        <f>IF(datos_limpios!N305&lt;5,"Rango1","Rango2")</f>
        <v>Rango2</v>
      </c>
    </row>
    <row r="306" spans="1:1" x14ac:dyDescent="0.3">
      <c r="A306" t="str">
        <f>IF(datos_limpios!N306&lt;5,"Rango1","Rango2")</f>
        <v>Rango2</v>
      </c>
    </row>
    <row r="307" spans="1:1" x14ac:dyDescent="0.3">
      <c r="A307" t="str">
        <f>IF(datos_limpios!N307&lt;5,"Rango1","Rango2")</f>
        <v>Rango2</v>
      </c>
    </row>
    <row r="308" spans="1:1" x14ac:dyDescent="0.3">
      <c r="A308" t="str">
        <f>IF(datos_limpios!N308&lt;5,"Rango1","Rango2")</f>
        <v>Rango2</v>
      </c>
    </row>
    <row r="309" spans="1:1" x14ac:dyDescent="0.3">
      <c r="A309" t="str">
        <f>IF(datos_limpios!N309&lt;5,"Rango1","Rango2")</f>
        <v>Rango2</v>
      </c>
    </row>
    <row r="310" spans="1:1" x14ac:dyDescent="0.3">
      <c r="A310" t="str">
        <f>IF(datos_limpios!N310&lt;5,"Rango1","Rango2")</f>
        <v>Rango2</v>
      </c>
    </row>
    <row r="311" spans="1:1" x14ac:dyDescent="0.3">
      <c r="A311" t="str">
        <f>IF(datos_limpios!N311&lt;5,"Rango1","Rango2")</f>
        <v>Rango2</v>
      </c>
    </row>
    <row r="312" spans="1:1" x14ac:dyDescent="0.3">
      <c r="A312" t="str">
        <f>IF(datos_limpios!N312&lt;5,"Rango1","Rango2")</f>
        <v>Rango2</v>
      </c>
    </row>
    <row r="313" spans="1:1" x14ac:dyDescent="0.3">
      <c r="A313" t="str">
        <f>IF(datos_limpios!N313&lt;5,"Rango1","Rango2")</f>
        <v>Rango2</v>
      </c>
    </row>
    <row r="314" spans="1:1" x14ac:dyDescent="0.3">
      <c r="A314" t="str">
        <f>IF(datos_limpios!N314&lt;5,"Rango1","Rango2")</f>
        <v>Rango2</v>
      </c>
    </row>
    <row r="315" spans="1:1" x14ac:dyDescent="0.3">
      <c r="A315" t="str">
        <f>IF(datos_limpios!N315&lt;5,"Rango1","Rango2")</f>
        <v>Rango2</v>
      </c>
    </row>
    <row r="316" spans="1:1" x14ac:dyDescent="0.3">
      <c r="A316" t="str">
        <f>IF(datos_limpios!N316&lt;5,"Rango1","Rango2")</f>
        <v>Rango2</v>
      </c>
    </row>
    <row r="317" spans="1:1" x14ac:dyDescent="0.3">
      <c r="A317" t="str">
        <f>IF(datos_limpios!N317&lt;5,"Rango1","Rango2")</f>
        <v>Rango2</v>
      </c>
    </row>
    <row r="318" spans="1:1" x14ac:dyDescent="0.3">
      <c r="A318" t="str">
        <f>IF(datos_limpios!N318&lt;5,"Rango1","Rango2")</f>
        <v>Rango2</v>
      </c>
    </row>
    <row r="319" spans="1:1" x14ac:dyDescent="0.3">
      <c r="A319" t="str">
        <f>IF(datos_limpios!N319&lt;5,"Rango1","Rango2")</f>
        <v>Rango2</v>
      </c>
    </row>
    <row r="320" spans="1:1" x14ac:dyDescent="0.3">
      <c r="A320" t="str">
        <f>IF(datos_limpios!N320&lt;5,"Rango1","Rango2")</f>
        <v>Rango2</v>
      </c>
    </row>
    <row r="321" spans="1:1" x14ac:dyDescent="0.3">
      <c r="A321" t="str">
        <f>IF(datos_limpios!N321&lt;5,"Rango1","Rango2")</f>
        <v>Rango2</v>
      </c>
    </row>
    <row r="322" spans="1:1" x14ac:dyDescent="0.3">
      <c r="A322" t="str">
        <f>IF(datos_limpios!N322&lt;5,"Rango1","Rango2")</f>
        <v>Rango2</v>
      </c>
    </row>
    <row r="323" spans="1:1" x14ac:dyDescent="0.3">
      <c r="A323" t="str">
        <f>IF(datos_limpios!N323&lt;5,"Rango1","Rango2")</f>
        <v>Rango2</v>
      </c>
    </row>
    <row r="324" spans="1:1" x14ac:dyDescent="0.3">
      <c r="A324" t="str">
        <f>IF(datos_limpios!N324&lt;5,"Rango1","Rango2")</f>
        <v>Rango2</v>
      </c>
    </row>
    <row r="325" spans="1:1" x14ac:dyDescent="0.3">
      <c r="A325" t="str">
        <f>IF(datos_limpios!N325&lt;5,"Rango1","Rango2")</f>
        <v>Rango2</v>
      </c>
    </row>
    <row r="326" spans="1:1" x14ac:dyDescent="0.3">
      <c r="A326" t="str">
        <f>IF(datos_limpios!N326&lt;5,"Rango1","Rango2")</f>
        <v>Rango2</v>
      </c>
    </row>
    <row r="327" spans="1:1" x14ac:dyDescent="0.3">
      <c r="A327" t="str">
        <f>IF(datos_limpios!N327&lt;5,"Rango1","Rango2")</f>
        <v>Rango2</v>
      </c>
    </row>
    <row r="328" spans="1:1" x14ac:dyDescent="0.3">
      <c r="A328" t="str">
        <f>IF(datos_limpios!N328&lt;5,"Rango1","Rango2")</f>
        <v>Rango2</v>
      </c>
    </row>
    <row r="329" spans="1:1" x14ac:dyDescent="0.3">
      <c r="A329" t="str">
        <f>IF(datos_limpios!N329&lt;5,"Rango1","Rango2")</f>
        <v>Rango2</v>
      </c>
    </row>
    <row r="330" spans="1:1" x14ac:dyDescent="0.3">
      <c r="A330" t="str">
        <f>IF(datos_limpios!N330&lt;5,"Rango1","Rango2")</f>
        <v>Rango2</v>
      </c>
    </row>
    <row r="331" spans="1:1" x14ac:dyDescent="0.3">
      <c r="A331" t="str">
        <f>IF(datos_limpios!N331&lt;5,"Rango1","Rango2")</f>
        <v>Rango2</v>
      </c>
    </row>
    <row r="332" spans="1:1" x14ac:dyDescent="0.3">
      <c r="A332" t="str">
        <f>IF(datos_limpios!N332&lt;5,"Rango1","Rango2")</f>
        <v>Rango2</v>
      </c>
    </row>
    <row r="333" spans="1:1" x14ac:dyDescent="0.3">
      <c r="A333" t="str">
        <f>IF(datos_limpios!N333&lt;5,"Rango1","Rango2")</f>
        <v>Rango2</v>
      </c>
    </row>
    <row r="334" spans="1:1" x14ac:dyDescent="0.3">
      <c r="A334" t="str">
        <f>IF(datos_limpios!N334&lt;5,"Rango1","Rango2")</f>
        <v>Rango2</v>
      </c>
    </row>
    <row r="335" spans="1:1" x14ac:dyDescent="0.3">
      <c r="A335" t="str">
        <f>IF(datos_limpios!N335&lt;5,"Rango1","Rango2")</f>
        <v>Rango2</v>
      </c>
    </row>
    <row r="336" spans="1:1" x14ac:dyDescent="0.3">
      <c r="A336" t="str">
        <f>IF(datos_limpios!N336&lt;5,"Rango1","Rango2")</f>
        <v>Rango2</v>
      </c>
    </row>
    <row r="337" spans="1:1" x14ac:dyDescent="0.3">
      <c r="A337" t="str">
        <f>IF(datos_limpios!N337&lt;5,"Rango1","Rango2")</f>
        <v>Rango2</v>
      </c>
    </row>
    <row r="338" spans="1:1" x14ac:dyDescent="0.3">
      <c r="A338" t="str">
        <f>IF(datos_limpios!N338&lt;5,"Rango1","Rango2")</f>
        <v>Rango2</v>
      </c>
    </row>
    <row r="339" spans="1:1" x14ac:dyDescent="0.3">
      <c r="A339" t="str">
        <f>IF(datos_limpios!N339&lt;5,"Rango1","Rango2")</f>
        <v>Rango2</v>
      </c>
    </row>
    <row r="340" spans="1:1" x14ac:dyDescent="0.3">
      <c r="A340" t="str">
        <f>IF(datos_limpios!N340&lt;5,"Rango1","Rango2")</f>
        <v>Rango2</v>
      </c>
    </row>
    <row r="341" spans="1:1" x14ac:dyDescent="0.3">
      <c r="A341" t="str">
        <f>IF(datos_limpios!N341&lt;5,"Rango1","Rango2")</f>
        <v>Rango2</v>
      </c>
    </row>
    <row r="342" spans="1:1" x14ac:dyDescent="0.3">
      <c r="A342" t="str">
        <f>IF(datos_limpios!N342&lt;5,"Rango1","Rango2")</f>
        <v>Rango2</v>
      </c>
    </row>
    <row r="343" spans="1:1" x14ac:dyDescent="0.3">
      <c r="A343" t="str">
        <f>IF(datos_limpios!N343&lt;5,"Rango1","Rango2")</f>
        <v>Rango2</v>
      </c>
    </row>
    <row r="344" spans="1:1" x14ac:dyDescent="0.3">
      <c r="A344" t="str">
        <f>IF(datos_limpios!N344&lt;5,"Rango1","Rango2")</f>
        <v>Rango2</v>
      </c>
    </row>
    <row r="345" spans="1:1" x14ac:dyDescent="0.3">
      <c r="A345" t="str">
        <f>IF(datos_limpios!N345&lt;5,"Rango1","Rango2")</f>
        <v>Rango2</v>
      </c>
    </row>
    <row r="346" spans="1:1" x14ac:dyDescent="0.3">
      <c r="A346" t="str">
        <f>IF(datos_limpios!N346&lt;5,"Rango1","Rango2")</f>
        <v>Rango2</v>
      </c>
    </row>
    <row r="347" spans="1:1" x14ac:dyDescent="0.3">
      <c r="A347" t="str">
        <f>IF(datos_limpios!N347&lt;5,"Rango1","Rango2")</f>
        <v>Rango2</v>
      </c>
    </row>
    <row r="348" spans="1:1" x14ac:dyDescent="0.3">
      <c r="A348" t="str">
        <f>IF(datos_limpios!N348&lt;5,"Rango1","Rango2")</f>
        <v>Rango2</v>
      </c>
    </row>
    <row r="349" spans="1:1" x14ac:dyDescent="0.3">
      <c r="A349" t="str">
        <f>IF(datos_limpios!N349&lt;5,"Rango1","Rango2")</f>
        <v>Rango2</v>
      </c>
    </row>
    <row r="350" spans="1:1" x14ac:dyDescent="0.3">
      <c r="A350" t="str">
        <f>IF(datos_limpios!N350&lt;5,"Rango1","Rango2")</f>
        <v>Rango2</v>
      </c>
    </row>
    <row r="351" spans="1:1" x14ac:dyDescent="0.3">
      <c r="A351" t="str">
        <f>IF(datos_limpios!N351&lt;5,"Rango1","Rango2")</f>
        <v>Rango2</v>
      </c>
    </row>
    <row r="352" spans="1:1" x14ac:dyDescent="0.3">
      <c r="A352" t="str">
        <f>IF(datos_limpios!N352&lt;5,"Rango1","Rango2")</f>
        <v>Rango2</v>
      </c>
    </row>
    <row r="353" spans="1:1" x14ac:dyDescent="0.3">
      <c r="A353" t="str">
        <f>IF(datos_limpios!N353&lt;5,"Rango1","Rango2")</f>
        <v>Rango2</v>
      </c>
    </row>
    <row r="354" spans="1:1" x14ac:dyDescent="0.3">
      <c r="A354" t="str">
        <f>IF(datos_limpios!N354&lt;5,"Rango1","Rango2")</f>
        <v>Rango2</v>
      </c>
    </row>
    <row r="355" spans="1:1" x14ac:dyDescent="0.3">
      <c r="A355" t="str">
        <f>IF(datos_limpios!N355&lt;5,"Rango1","Rango2")</f>
        <v>Rango2</v>
      </c>
    </row>
    <row r="356" spans="1:1" x14ac:dyDescent="0.3">
      <c r="A356" t="str">
        <f>IF(datos_limpios!N356&lt;5,"Rango1","Rango2")</f>
        <v>Rango2</v>
      </c>
    </row>
    <row r="357" spans="1:1" x14ac:dyDescent="0.3">
      <c r="A357" t="str">
        <f>IF(datos_limpios!N357&lt;5,"Rango1","Rango2")</f>
        <v>Rango2</v>
      </c>
    </row>
    <row r="358" spans="1:1" x14ac:dyDescent="0.3">
      <c r="A358" t="str">
        <f>IF(datos_limpios!N358&lt;5,"Rango1","Rango2")</f>
        <v>Rango2</v>
      </c>
    </row>
    <row r="359" spans="1:1" x14ac:dyDescent="0.3">
      <c r="A359" t="str">
        <f>IF(datos_limpios!N359&lt;5,"Rango1","Rango2")</f>
        <v>Rango2</v>
      </c>
    </row>
    <row r="360" spans="1:1" x14ac:dyDescent="0.3">
      <c r="A360" t="str">
        <f>IF(datos_limpios!N360&lt;5,"Rango1","Rango2")</f>
        <v>Rango2</v>
      </c>
    </row>
    <row r="361" spans="1:1" x14ac:dyDescent="0.3">
      <c r="A361" t="str">
        <f>IF(datos_limpios!N361&lt;5,"Rango1","Rango2")</f>
        <v>Rango2</v>
      </c>
    </row>
    <row r="362" spans="1:1" x14ac:dyDescent="0.3">
      <c r="A362" t="str">
        <f>IF(datos_limpios!N362&lt;5,"Rango1","Rango2")</f>
        <v>Rango2</v>
      </c>
    </row>
    <row r="363" spans="1:1" x14ac:dyDescent="0.3">
      <c r="A363" t="str">
        <f>IF(datos_limpios!N363&lt;5,"Rango1","Rango2")</f>
        <v>Rango2</v>
      </c>
    </row>
    <row r="364" spans="1:1" x14ac:dyDescent="0.3">
      <c r="A364" t="str">
        <f>IF(datos_limpios!N364&lt;5,"Rango1","Rango2")</f>
        <v>Rango2</v>
      </c>
    </row>
    <row r="365" spans="1:1" x14ac:dyDescent="0.3">
      <c r="A365" t="str">
        <f>IF(datos_limpios!N365&lt;5,"Rango1","Rango2")</f>
        <v>Rango2</v>
      </c>
    </row>
    <row r="366" spans="1:1" x14ac:dyDescent="0.3">
      <c r="A366" t="str">
        <f>IF(datos_limpios!N366&lt;5,"Rango1","Rango2")</f>
        <v>Rango2</v>
      </c>
    </row>
    <row r="367" spans="1:1" x14ac:dyDescent="0.3">
      <c r="A367" t="str">
        <f>IF(datos_limpios!N367&lt;5,"Rango1","Rango2")</f>
        <v>Rango2</v>
      </c>
    </row>
    <row r="368" spans="1:1" x14ac:dyDescent="0.3">
      <c r="A368" t="str">
        <f>IF(datos_limpios!N368&lt;5,"Rango1","Rango2")</f>
        <v>Rango2</v>
      </c>
    </row>
    <row r="369" spans="1:1" x14ac:dyDescent="0.3">
      <c r="A369" t="str">
        <f>IF(datos_limpios!N369&lt;5,"Rango1","Rango2")</f>
        <v>Rango2</v>
      </c>
    </row>
    <row r="370" spans="1:1" x14ac:dyDescent="0.3">
      <c r="A370" t="str">
        <f>IF(datos_limpios!N370&lt;5,"Rango1","Rango2")</f>
        <v>Rango2</v>
      </c>
    </row>
    <row r="371" spans="1:1" x14ac:dyDescent="0.3">
      <c r="A371" t="str">
        <f>IF(datos_limpios!N371&lt;5,"Rango1","Rango2")</f>
        <v>Rango2</v>
      </c>
    </row>
    <row r="372" spans="1:1" x14ac:dyDescent="0.3">
      <c r="A372" t="str">
        <f>IF(datos_limpios!N372&lt;5,"Rango1","Rango2")</f>
        <v>Rango2</v>
      </c>
    </row>
    <row r="373" spans="1:1" x14ac:dyDescent="0.3">
      <c r="A373" t="str">
        <f>IF(datos_limpios!N373&lt;5,"Rango1","Rango2")</f>
        <v>Rango2</v>
      </c>
    </row>
    <row r="374" spans="1:1" x14ac:dyDescent="0.3">
      <c r="A374" t="str">
        <f>IF(datos_limpios!N374&lt;5,"Rango1","Rango2")</f>
        <v>Rango2</v>
      </c>
    </row>
    <row r="375" spans="1:1" x14ac:dyDescent="0.3">
      <c r="A375" t="str">
        <f>IF(datos_limpios!N375&lt;5,"Rango1","Rango2")</f>
        <v>Rango2</v>
      </c>
    </row>
    <row r="376" spans="1:1" x14ac:dyDescent="0.3">
      <c r="A376" t="str">
        <f>IF(datos_limpios!N376&lt;5,"Rango1","Rango2")</f>
        <v>Rango2</v>
      </c>
    </row>
    <row r="377" spans="1:1" x14ac:dyDescent="0.3">
      <c r="A377" t="str">
        <f>IF(datos_limpios!N377&lt;5,"Rango1","Rango2")</f>
        <v>Rango2</v>
      </c>
    </row>
    <row r="378" spans="1:1" x14ac:dyDescent="0.3">
      <c r="A378" t="str">
        <f>IF(datos_limpios!N378&lt;5,"Rango1","Rango2")</f>
        <v>Rango2</v>
      </c>
    </row>
    <row r="379" spans="1:1" x14ac:dyDescent="0.3">
      <c r="A379" t="str">
        <f>IF(datos_limpios!N379&lt;5,"Rango1","Rango2")</f>
        <v>Rango2</v>
      </c>
    </row>
    <row r="380" spans="1:1" x14ac:dyDescent="0.3">
      <c r="A380" t="str">
        <f>IF(datos_limpios!N380&lt;5,"Rango1","Rango2")</f>
        <v>Rango2</v>
      </c>
    </row>
    <row r="381" spans="1:1" x14ac:dyDescent="0.3">
      <c r="A381" t="str">
        <f>IF(datos_limpios!N381&lt;5,"Rango1","Rango2")</f>
        <v>Rango2</v>
      </c>
    </row>
    <row r="382" spans="1:1" x14ac:dyDescent="0.3">
      <c r="A382" t="str">
        <f>IF(datos_limpios!N382&lt;5,"Rango1","Rango2")</f>
        <v>Rango2</v>
      </c>
    </row>
    <row r="383" spans="1:1" x14ac:dyDescent="0.3">
      <c r="A383" t="str">
        <f>IF(datos_limpios!N383&lt;5,"Rango1","Rango2")</f>
        <v>Rango2</v>
      </c>
    </row>
    <row r="384" spans="1:1" x14ac:dyDescent="0.3">
      <c r="A384" t="str">
        <f>IF(datos_limpios!N384&lt;5,"Rango1","Rango2")</f>
        <v>Rango2</v>
      </c>
    </row>
    <row r="385" spans="1:1" x14ac:dyDescent="0.3">
      <c r="A385" t="str">
        <f>IF(datos_limpios!N385&lt;5,"Rango1","Rango2")</f>
        <v>Rango2</v>
      </c>
    </row>
    <row r="386" spans="1:1" x14ac:dyDescent="0.3">
      <c r="A386" t="str">
        <f>IF(datos_limpios!N386&lt;5,"Rango1","Rango2")</f>
        <v>Rango2</v>
      </c>
    </row>
    <row r="387" spans="1:1" x14ac:dyDescent="0.3">
      <c r="A387" t="str">
        <f>IF(datos_limpios!N387&lt;5,"Rango1","Rango2")</f>
        <v>Rango2</v>
      </c>
    </row>
    <row r="388" spans="1:1" x14ac:dyDescent="0.3">
      <c r="A388" t="str">
        <f>IF(datos_limpios!N388&lt;5,"Rango1","Rango2")</f>
        <v>Rango2</v>
      </c>
    </row>
    <row r="389" spans="1:1" x14ac:dyDescent="0.3">
      <c r="A389" t="str">
        <f>IF(datos_limpios!N389&lt;5,"Rango1","Rango2")</f>
        <v>Rango2</v>
      </c>
    </row>
    <row r="390" spans="1:1" x14ac:dyDescent="0.3">
      <c r="A390" t="str">
        <f>IF(datos_limpios!N390&lt;5,"Rango1","Rango2")</f>
        <v>Rango2</v>
      </c>
    </row>
    <row r="391" spans="1:1" x14ac:dyDescent="0.3">
      <c r="A391" t="str">
        <f>IF(datos_limpios!N391&lt;5,"Rango1","Rango2")</f>
        <v>Rango2</v>
      </c>
    </row>
    <row r="392" spans="1:1" x14ac:dyDescent="0.3">
      <c r="A392" t="str">
        <f>IF(datos_limpios!N392&lt;5,"Rango1","Rango2")</f>
        <v>Rango2</v>
      </c>
    </row>
    <row r="393" spans="1:1" x14ac:dyDescent="0.3">
      <c r="A393" t="str">
        <f>IF(datos_limpios!N393&lt;5,"Rango1","Rango2")</f>
        <v>Rango2</v>
      </c>
    </row>
    <row r="394" spans="1:1" x14ac:dyDescent="0.3">
      <c r="A394" t="str">
        <f>IF(datos_limpios!N394&lt;5,"Rango1","Rango2")</f>
        <v>Rango2</v>
      </c>
    </row>
    <row r="395" spans="1:1" x14ac:dyDescent="0.3">
      <c r="A395" t="str">
        <f>IF(datos_limpios!N395&lt;5,"Rango1","Rango2")</f>
        <v>Rango2</v>
      </c>
    </row>
    <row r="396" spans="1:1" x14ac:dyDescent="0.3">
      <c r="A396" t="str">
        <f>IF(datos_limpios!N396&lt;5,"Rango1","Rango2")</f>
        <v>Rango2</v>
      </c>
    </row>
    <row r="397" spans="1:1" x14ac:dyDescent="0.3">
      <c r="A397" t="str">
        <f>IF(datos_limpios!N397&lt;5,"Rango1","Rango2")</f>
        <v>Rango2</v>
      </c>
    </row>
    <row r="398" spans="1:1" x14ac:dyDescent="0.3">
      <c r="A398" t="str">
        <f>IF(datos_limpios!N398&lt;5,"Rango1","Rango2")</f>
        <v>Rango2</v>
      </c>
    </row>
    <row r="399" spans="1:1" x14ac:dyDescent="0.3">
      <c r="A399" t="str">
        <f>IF(datos_limpios!N399&lt;3,"Rango1","Rango2")</f>
        <v>Rango2</v>
      </c>
    </row>
    <row r="400" spans="1:1" x14ac:dyDescent="0.3">
      <c r="A400" t="str">
        <f>IF(datos_limpios!N400&lt;3,"Rango1","Rango2")</f>
        <v>Rango2</v>
      </c>
    </row>
    <row r="401" spans="1:1" x14ac:dyDescent="0.3">
      <c r="A401" t="str">
        <f>IF(datos_limpios!N401&lt;3,"Rango1","Rango2")</f>
        <v>Rango2</v>
      </c>
    </row>
    <row r="402" spans="1:1" x14ac:dyDescent="0.3">
      <c r="A402" t="str">
        <f>IF(datos_limpios!N402&lt;3,"Rango1","Rango2")</f>
        <v>Rango2</v>
      </c>
    </row>
    <row r="403" spans="1:1" x14ac:dyDescent="0.3">
      <c r="A403" t="str">
        <f>IF(datos_limpios!N403&lt;3,"Rango1","Rango2")</f>
        <v>Rango2</v>
      </c>
    </row>
    <row r="404" spans="1:1" x14ac:dyDescent="0.3">
      <c r="A404" t="str">
        <f>IF(datos_limpios!N404&lt;3,"Rango1","Rango2")</f>
        <v>Rango2</v>
      </c>
    </row>
    <row r="405" spans="1:1" x14ac:dyDescent="0.3">
      <c r="A405" t="str">
        <f>IF(datos_limpios!N405&lt;3,"Rango1","Rango2")</f>
        <v>Rango2</v>
      </c>
    </row>
    <row r="406" spans="1:1" x14ac:dyDescent="0.3">
      <c r="A406" t="str">
        <f>IF(datos_limpios!N406&lt;3,"Rango1","Rango2")</f>
        <v>Rango2</v>
      </c>
    </row>
    <row r="407" spans="1:1" x14ac:dyDescent="0.3">
      <c r="A407" t="str">
        <f>IF(datos_limpios!N407&lt;3,"Rango1","Rango2")</f>
        <v>Rango2</v>
      </c>
    </row>
    <row r="408" spans="1:1" x14ac:dyDescent="0.3">
      <c r="A408" t="str">
        <f>IF(datos_limpios!N408&lt;3,"Rango1","Rango2")</f>
        <v>Rango2</v>
      </c>
    </row>
    <row r="409" spans="1:1" x14ac:dyDescent="0.3">
      <c r="A409" t="str">
        <f>IF(datos_limpios!N409&lt;3,"Rango1","Rango2")</f>
        <v>Rango2</v>
      </c>
    </row>
    <row r="410" spans="1:1" x14ac:dyDescent="0.3">
      <c r="A410" t="str">
        <f>IF(datos_limpios!N410&lt;3,"Rango1","Rango2")</f>
        <v>Rango2</v>
      </c>
    </row>
    <row r="411" spans="1:1" x14ac:dyDescent="0.3">
      <c r="A411" t="str">
        <f>IF(datos_limpios!N411&lt;3,"Rango1","Rango2")</f>
        <v>Rango2</v>
      </c>
    </row>
    <row r="412" spans="1:1" x14ac:dyDescent="0.3">
      <c r="A412" t="str">
        <f>IF(datos_limpios!N412&lt;3,"Rango1","Rango2")</f>
        <v>Rango2</v>
      </c>
    </row>
    <row r="413" spans="1:1" x14ac:dyDescent="0.3">
      <c r="A413" t="str">
        <f>IF(datos_limpios!N413&lt;3,"Rango1","Rango2")</f>
        <v>Rango2</v>
      </c>
    </row>
    <row r="414" spans="1:1" x14ac:dyDescent="0.3">
      <c r="A414" t="str">
        <f>IF(datos_limpios!N414&lt;3,"Rango1","Rango2")</f>
        <v>Rango2</v>
      </c>
    </row>
    <row r="415" spans="1:1" x14ac:dyDescent="0.3">
      <c r="A415" t="str">
        <f>IF(datos_limpios!N415&lt;3,"Rango1","Rango2")</f>
        <v>Rango2</v>
      </c>
    </row>
    <row r="416" spans="1:1" x14ac:dyDescent="0.3">
      <c r="A416" t="str">
        <f>IF(datos_limpios!N416&lt;3,"Rango1","Rango2")</f>
        <v>Rango2</v>
      </c>
    </row>
    <row r="417" spans="1:1" x14ac:dyDescent="0.3">
      <c r="A417" t="str">
        <f>IF(datos_limpios!N417&lt;3,"Rango1","Rango2")</f>
        <v>Rango2</v>
      </c>
    </row>
    <row r="418" spans="1:1" x14ac:dyDescent="0.3">
      <c r="A418" t="str">
        <f>IF(datos_limpios!N418&lt;3,"Rango1","Rango2")</f>
        <v>Rango2</v>
      </c>
    </row>
    <row r="419" spans="1:1" x14ac:dyDescent="0.3">
      <c r="A419" t="str">
        <f>IF(datos_limpios!N419&lt;3,"Rango1","Rango2")</f>
        <v>Rango2</v>
      </c>
    </row>
    <row r="420" spans="1:1" x14ac:dyDescent="0.3">
      <c r="A420" t="str">
        <f>IF(datos_limpios!N420&lt;3,"Rango1","Rango2")</f>
        <v>Rango2</v>
      </c>
    </row>
    <row r="421" spans="1:1" x14ac:dyDescent="0.3">
      <c r="A421" t="str">
        <f>IF(datos_limpios!N421&lt;3,"Rango1","Rango2")</f>
        <v>Rango2</v>
      </c>
    </row>
    <row r="422" spans="1:1" x14ac:dyDescent="0.3">
      <c r="A422" t="str">
        <f>IF(datos_limpios!N422&lt;3,"Rango1","Rango2")</f>
        <v>Rango2</v>
      </c>
    </row>
    <row r="423" spans="1:1" x14ac:dyDescent="0.3">
      <c r="A423" t="str">
        <f>IF(datos_limpios!N423&lt;3,"Rango1","Rango2")</f>
        <v>Rango2</v>
      </c>
    </row>
    <row r="424" spans="1:1" x14ac:dyDescent="0.3">
      <c r="A424" t="str">
        <f>IF(datos_limpios!N424&lt;3,"Rango1","Rango2")</f>
        <v>Rango2</v>
      </c>
    </row>
    <row r="425" spans="1:1" x14ac:dyDescent="0.3">
      <c r="A425" t="str">
        <f>IF(datos_limpios!N425&lt;3,"Rango1","Rango2")</f>
        <v>Rango2</v>
      </c>
    </row>
    <row r="426" spans="1:1" x14ac:dyDescent="0.3">
      <c r="A426" t="str">
        <f>IF(datos_limpios!N426&lt;3,"Rango1","Rango2")</f>
        <v>Rango2</v>
      </c>
    </row>
    <row r="427" spans="1:1" x14ac:dyDescent="0.3">
      <c r="A427" t="str">
        <f>IF(datos_limpios!N427&lt;3,"Rango1","Rango2")</f>
        <v>Rango2</v>
      </c>
    </row>
    <row r="428" spans="1:1" x14ac:dyDescent="0.3">
      <c r="A428" t="str">
        <f>IF(datos_limpios!N428&lt;3,"Rango1","Rango2")</f>
        <v>Rango2</v>
      </c>
    </row>
    <row r="429" spans="1:1" x14ac:dyDescent="0.3">
      <c r="A429" t="str">
        <f>IF(datos_limpios!N429&lt;3,"Rango1","Rango2")</f>
        <v>Rango2</v>
      </c>
    </row>
    <row r="430" spans="1:1" x14ac:dyDescent="0.3">
      <c r="A430" t="str">
        <f>IF(datos_limpios!N430&lt;3,"Rango1","Rango2")</f>
        <v>Rango2</v>
      </c>
    </row>
    <row r="431" spans="1:1" x14ac:dyDescent="0.3">
      <c r="A431" t="str">
        <f>IF(datos_limpios!N431&lt;3,"Rango1","Rango2")</f>
        <v>Rango2</v>
      </c>
    </row>
    <row r="432" spans="1:1" x14ac:dyDescent="0.3">
      <c r="A432" t="str">
        <f>IF(datos_limpios!N432&lt;3,"Rango1","Rango2")</f>
        <v>Rango2</v>
      </c>
    </row>
    <row r="433" spans="1:1" x14ac:dyDescent="0.3">
      <c r="A433" t="str">
        <f>IF(datos_limpios!N433&lt;3,"Rango1","Rango2")</f>
        <v>Rango2</v>
      </c>
    </row>
    <row r="434" spans="1:1" x14ac:dyDescent="0.3">
      <c r="A434" t="str">
        <f>IF(datos_limpios!N434&lt;3,"Rango1","Rango2")</f>
        <v>Rango2</v>
      </c>
    </row>
    <row r="435" spans="1:1" x14ac:dyDescent="0.3">
      <c r="A435" t="str">
        <f>IF(datos_limpios!N435&lt;3,"Rango1","Rango2")</f>
        <v>Rango2</v>
      </c>
    </row>
    <row r="436" spans="1:1" x14ac:dyDescent="0.3">
      <c r="A436" t="str">
        <f>IF(datos_limpios!N436&lt;3,"Rango1","Rango2")</f>
        <v>Rango2</v>
      </c>
    </row>
    <row r="437" spans="1:1" x14ac:dyDescent="0.3">
      <c r="A437" t="str">
        <f>IF(datos_limpios!N437&lt;3,"Rango1","Rango2")</f>
        <v>Rango2</v>
      </c>
    </row>
    <row r="438" spans="1:1" x14ac:dyDescent="0.3">
      <c r="A438" t="str">
        <f>IF(datos_limpios!N438&lt;3,"Rango1","Rango2")</f>
        <v>Rango2</v>
      </c>
    </row>
    <row r="439" spans="1:1" x14ac:dyDescent="0.3">
      <c r="A439" t="str">
        <f>IF(datos_limpios!N439&lt;3,"Rango1","Rango2")</f>
        <v>Rango2</v>
      </c>
    </row>
    <row r="440" spans="1:1" x14ac:dyDescent="0.3">
      <c r="A440" t="str">
        <f>IF(datos_limpios!N440&lt;3,"Rango1","Rango2")</f>
        <v>Rango2</v>
      </c>
    </row>
    <row r="441" spans="1:1" x14ac:dyDescent="0.3">
      <c r="A441" t="str">
        <f>IF(datos_limpios!N441&lt;3,"Rango1","Rango2")</f>
        <v>Rango2</v>
      </c>
    </row>
    <row r="442" spans="1:1" x14ac:dyDescent="0.3">
      <c r="A442" t="str">
        <f>IF(datos_limpios!N442&lt;3,"Rango1","Rango2")</f>
        <v>Rango2</v>
      </c>
    </row>
    <row r="443" spans="1:1" x14ac:dyDescent="0.3">
      <c r="A443" t="str">
        <f>IF(datos_limpios!N443&lt;3,"Rango1","Rango2")</f>
        <v>Rango2</v>
      </c>
    </row>
    <row r="444" spans="1:1" x14ac:dyDescent="0.3">
      <c r="A444" t="str">
        <f>IF(datos_limpios!N444&lt;3,"Rango1","Rango2")</f>
        <v>Rango2</v>
      </c>
    </row>
    <row r="445" spans="1:1" x14ac:dyDescent="0.3">
      <c r="A445" t="str">
        <f>IF(datos_limpios!N445&lt;3,"Rango1","Rango2")</f>
        <v>Rango2</v>
      </c>
    </row>
    <row r="446" spans="1:1" x14ac:dyDescent="0.3">
      <c r="A446" t="str">
        <f>IF(datos_limpios!N446&lt;3,"Rango1","Rango2")</f>
        <v>Rango2</v>
      </c>
    </row>
    <row r="447" spans="1:1" x14ac:dyDescent="0.3">
      <c r="A447" t="str">
        <f>IF(datos_limpios!N447&lt;3,"Rango1","Rango2")</f>
        <v>Rango2</v>
      </c>
    </row>
    <row r="448" spans="1:1" x14ac:dyDescent="0.3">
      <c r="A448" t="str">
        <f>IF(datos_limpios!N448&lt;3,"Rango1","Rango2")</f>
        <v>Rango2</v>
      </c>
    </row>
    <row r="449" spans="1:1" x14ac:dyDescent="0.3">
      <c r="A449" t="str">
        <f>IF(datos_limpios!N449&lt;3,"Rango1","Rango2")</f>
        <v>Rango2</v>
      </c>
    </row>
    <row r="450" spans="1:1" x14ac:dyDescent="0.3">
      <c r="A450" t="str">
        <f>IF(datos_limpios!N450&lt;3,"Rango1","Rango2")</f>
        <v>Rango2</v>
      </c>
    </row>
    <row r="451" spans="1:1" x14ac:dyDescent="0.3">
      <c r="A451" t="str">
        <f>IF(datos_limpios!N451&lt;3,"Rango1","Rango2")</f>
        <v>Rango2</v>
      </c>
    </row>
    <row r="452" spans="1:1" x14ac:dyDescent="0.3">
      <c r="A452" t="str">
        <f>IF(datos_limpios!N452&lt;3,"Rango1","Rango2")</f>
        <v>Rango2</v>
      </c>
    </row>
    <row r="453" spans="1:1" x14ac:dyDescent="0.3">
      <c r="A453" t="str">
        <f>IF(datos_limpios!N453&lt;3,"Rango1","Rango2")</f>
        <v>Rango2</v>
      </c>
    </row>
    <row r="454" spans="1:1" x14ac:dyDescent="0.3">
      <c r="A454" t="str">
        <f>IF(datos_limpios!N454&lt;3,"Rango1","Rango2")</f>
        <v>Rango2</v>
      </c>
    </row>
    <row r="455" spans="1:1" x14ac:dyDescent="0.3">
      <c r="A455" t="str">
        <f>IF(datos_limpios!N455&lt;3,"Rango1","Rango2")</f>
        <v>Rango2</v>
      </c>
    </row>
    <row r="456" spans="1:1" x14ac:dyDescent="0.3">
      <c r="A456" t="str">
        <f>IF(datos_limpios!N456&lt;3,"Rango1","Rango2")</f>
        <v>Rango2</v>
      </c>
    </row>
    <row r="457" spans="1:1" x14ac:dyDescent="0.3">
      <c r="A457" t="str">
        <f>IF(datos_limpios!N457&lt;3,"Rango1","Rango2")</f>
        <v>Rango2</v>
      </c>
    </row>
    <row r="458" spans="1:1" x14ac:dyDescent="0.3">
      <c r="A458" t="str">
        <f>IF(datos_limpios!N458&lt;3,"Rango1","Rango2")</f>
        <v>Rango2</v>
      </c>
    </row>
    <row r="459" spans="1:1" x14ac:dyDescent="0.3">
      <c r="A459" t="str">
        <f>IF(datos_limpios!N459&lt;3,"Rango1","Rango2")</f>
        <v>Rango2</v>
      </c>
    </row>
    <row r="460" spans="1:1" x14ac:dyDescent="0.3">
      <c r="A460" t="str">
        <f>IF(datos_limpios!N460&lt;3,"Rango1","Rango2")</f>
        <v>Rango2</v>
      </c>
    </row>
    <row r="461" spans="1:1" x14ac:dyDescent="0.3">
      <c r="A461" t="str">
        <f>IF(datos_limpios!N461&lt;3,"Rango1","Rango2")</f>
        <v>Rango2</v>
      </c>
    </row>
    <row r="462" spans="1:1" x14ac:dyDescent="0.3">
      <c r="A462" t="str">
        <f>IF(datos_limpios!N462&lt;3,"Rango1","Rango2")</f>
        <v>Rango2</v>
      </c>
    </row>
    <row r="463" spans="1:1" x14ac:dyDescent="0.3">
      <c r="A463" t="str">
        <f>IF(datos_limpios!N463&lt;3,"Rango1","Rango2")</f>
        <v>Rango2</v>
      </c>
    </row>
    <row r="464" spans="1:1" x14ac:dyDescent="0.3">
      <c r="A464" t="str">
        <f>IF(datos_limpios!N464&lt;3,"Rango1","Rango2")</f>
        <v>Rango2</v>
      </c>
    </row>
    <row r="465" spans="1:1" x14ac:dyDescent="0.3">
      <c r="A465" t="str">
        <f>IF(datos_limpios!N465&lt;3,"Rango1","Rango2")</f>
        <v>Rango2</v>
      </c>
    </row>
    <row r="466" spans="1:1" x14ac:dyDescent="0.3">
      <c r="A466" t="str">
        <f>IF(datos_limpios!N466&lt;3,"Rango1","Rango2")</f>
        <v>Rango2</v>
      </c>
    </row>
    <row r="467" spans="1:1" x14ac:dyDescent="0.3">
      <c r="A467" t="str">
        <f>IF(datos_limpios!N467&lt;3,"Rango1","Rango2")</f>
        <v>Rango2</v>
      </c>
    </row>
    <row r="468" spans="1:1" x14ac:dyDescent="0.3">
      <c r="A468" t="str">
        <f>IF(datos_limpios!N468&lt;3,"Rango1","Rango2")</f>
        <v>Rango2</v>
      </c>
    </row>
    <row r="469" spans="1:1" x14ac:dyDescent="0.3">
      <c r="A469" t="str">
        <f>IF(datos_limpios!N469&lt;3,"Rango1","Rango2")</f>
        <v>Rango2</v>
      </c>
    </row>
    <row r="470" spans="1:1" x14ac:dyDescent="0.3">
      <c r="A470" t="str">
        <f>IF(datos_limpios!N470&lt;3,"Rango1","Rango2")</f>
        <v>Rango2</v>
      </c>
    </row>
    <row r="471" spans="1:1" x14ac:dyDescent="0.3">
      <c r="A471" t="str">
        <f>IF(datos_limpios!N471&lt;3,"Rango1","Rango2")</f>
        <v>Rango2</v>
      </c>
    </row>
    <row r="472" spans="1:1" x14ac:dyDescent="0.3">
      <c r="A472" t="str">
        <f>IF(datos_limpios!N472&lt;3,"Rango1","Rango2")</f>
        <v>Rango2</v>
      </c>
    </row>
    <row r="473" spans="1:1" x14ac:dyDescent="0.3">
      <c r="A473" t="str">
        <f>IF(datos_limpios!N473&lt;3,"Rango1","Rango2")</f>
        <v>Rango2</v>
      </c>
    </row>
    <row r="474" spans="1:1" x14ac:dyDescent="0.3">
      <c r="A474" t="str">
        <f>IF(datos_limpios!N474&lt;3,"Rango1","Rango2")</f>
        <v>Rango2</v>
      </c>
    </row>
    <row r="475" spans="1:1" x14ac:dyDescent="0.3">
      <c r="A475" t="str">
        <f>IF(datos_limpios!N475&lt;3,"Rango1","Rango2")</f>
        <v>Rango2</v>
      </c>
    </row>
    <row r="476" spans="1:1" x14ac:dyDescent="0.3">
      <c r="A476" t="str">
        <f>IF(datos_limpios!N476&lt;3,"Rango1","Rango2")</f>
        <v>Rango2</v>
      </c>
    </row>
    <row r="477" spans="1:1" x14ac:dyDescent="0.3">
      <c r="A477" t="str">
        <f>IF(datos_limpios!N477&lt;3,"Rango1","Rango2")</f>
        <v>Rango2</v>
      </c>
    </row>
    <row r="478" spans="1:1" x14ac:dyDescent="0.3">
      <c r="A478" t="str">
        <f>IF(datos_limpios!N478&lt;3,"Rango1","Rango2")</f>
        <v>Rango2</v>
      </c>
    </row>
    <row r="479" spans="1:1" x14ac:dyDescent="0.3">
      <c r="A479" t="str">
        <f>IF(datos_limpios!N479&lt;3,"Rango1","Rango2")</f>
        <v>Rango2</v>
      </c>
    </row>
    <row r="480" spans="1:1" x14ac:dyDescent="0.3">
      <c r="A480" t="str">
        <f>IF(datos_limpios!N480&lt;3,"Rango1","Rango2")</f>
        <v>Rango2</v>
      </c>
    </row>
    <row r="481" spans="1:1" x14ac:dyDescent="0.3">
      <c r="A481" t="str">
        <f>IF(datos_limpios!N481&lt;3,"Rango1","Rango2")</f>
        <v>Rango2</v>
      </c>
    </row>
    <row r="482" spans="1:1" x14ac:dyDescent="0.3">
      <c r="A482" t="str">
        <f>IF(datos_limpios!N482&lt;3,"Rango1","Rango2")</f>
        <v>Rango2</v>
      </c>
    </row>
    <row r="483" spans="1:1" x14ac:dyDescent="0.3">
      <c r="A483" t="str">
        <f>IF(datos_limpios!N483&lt;3,"Rango1","Rango2")</f>
        <v>Rango2</v>
      </c>
    </row>
    <row r="484" spans="1:1" x14ac:dyDescent="0.3">
      <c r="A484" t="str">
        <f>IF(datos_limpios!N484&lt;3,"Rango1","Rango2")</f>
        <v>Rango2</v>
      </c>
    </row>
    <row r="485" spans="1:1" x14ac:dyDescent="0.3">
      <c r="A485" t="str">
        <f>IF(datos_limpios!N485&lt;3,"Rango1","Rango2")</f>
        <v>Rango2</v>
      </c>
    </row>
    <row r="486" spans="1:1" x14ac:dyDescent="0.3">
      <c r="A486" t="str">
        <f>IF(datos_limpios!N486&lt;3,"Rango1","Rango2")</f>
        <v>Rango2</v>
      </c>
    </row>
    <row r="487" spans="1:1" x14ac:dyDescent="0.3">
      <c r="A487" t="str">
        <f>IF(datos_limpios!N487&lt;3,"Rango1","Rango2")</f>
        <v>Rango2</v>
      </c>
    </row>
    <row r="488" spans="1:1" x14ac:dyDescent="0.3">
      <c r="A488" t="str">
        <f>IF(datos_limpios!N488&lt;3,"Rango1","Rango2")</f>
        <v>Rango2</v>
      </c>
    </row>
    <row r="489" spans="1:1" x14ac:dyDescent="0.3">
      <c r="A489" t="str">
        <f>IF(datos_limpios!N489&lt;3,"Rango1","Rango2")</f>
        <v>Rango2</v>
      </c>
    </row>
    <row r="490" spans="1:1" x14ac:dyDescent="0.3">
      <c r="A490" t="str">
        <f>IF(datos_limpios!N490&lt;3,"Rango1","Rango2")</f>
        <v>Rango2</v>
      </c>
    </row>
    <row r="491" spans="1:1" x14ac:dyDescent="0.3">
      <c r="A491" t="str">
        <f>IF(datos_limpios!N491&lt;3,"Rango1","Rango2")</f>
        <v>Rango2</v>
      </c>
    </row>
    <row r="492" spans="1:1" x14ac:dyDescent="0.3">
      <c r="A492" t="str">
        <f>IF(datos_limpios!N492&lt;3,"Rango1","Rango2")</f>
        <v>Rango2</v>
      </c>
    </row>
    <row r="493" spans="1:1" x14ac:dyDescent="0.3">
      <c r="A493" t="str">
        <f>IF(datos_limpios!N493&lt;3,"Rango1","Rango2")</f>
        <v>Rango2</v>
      </c>
    </row>
    <row r="494" spans="1:1" x14ac:dyDescent="0.3">
      <c r="A494" t="str">
        <f>IF(datos_limpios!N494&lt;3,"Rango1","Rango2")</f>
        <v>Rango2</v>
      </c>
    </row>
    <row r="495" spans="1:1" x14ac:dyDescent="0.3">
      <c r="A495" t="str">
        <f>IF(datos_limpios!N495&lt;3,"Rango1","Rango2")</f>
        <v>Rango2</v>
      </c>
    </row>
    <row r="496" spans="1:1" x14ac:dyDescent="0.3">
      <c r="A496" t="str">
        <f>IF(datos_limpios!N496&lt;3,"Rango1","Rango2")</f>
        <v>Rango2</v>
      </c>
    </row>
    <row r="497" spans="1:1" x14ac:dyDescent="0.3">
      <c r="A497" t="str">
        <f>IF(datos_limpios!N497&lt;3,"Rango1","Rango2")</f>
        <v>Rango2</v>
      </c>
    </row>
    <row r="498" spans="1:1" x14ac:dyDescent="0.3">
      <c r="A498" t="str">
        <f>IF(datos_limpios!N498&lt;3,"Rango1","Rango2")</f>
        <v>Rango2</v>
      </c>
    </row>
    <row r="499" spans="1:1" x14ac:dyDescent="0.3">
      <c r="A499" t="str">
        <f>IF(datos_limpios!N499&lt;3,"Rango1","Rango2")</f>
        <v>Rango2</v>
      </c>
    </row>
    <row r="500" spans="1:1" x14ac:dyDescent="0.3">
      <c r="A500" t="str">
        <f>IF(datos_limpios!N500&lt;3,"Rango1","Rango2")</f>
        <v>Rango2</v>
      </c>
    </row>
    <row r="501" spans="1:1" x14ac:dyDescent="0.3">
      <c r="A501" t="str">
        <f>IF(datos_limpios!N501&lt;3,"Rango1","Rango2")</f>
        <v>Rango2</v>
      </c>
    </row>
    <row r="502" spans="1:1" x14ac:dyDescent="0.3">
      <c r="A502" t="str">
        <f>IF(datos_limpios!N502&lt;3,"Rango1","Rango2")</f>
        <v>Rango2</v>
      </c>
    </row>
    <row r="503" spans="1:1" x14ac:dyDescent="0.3">
      <c r="A503" t="str">
        <f>IF(datos_limpios!N503&lt;3,"Rango1","Rango2")</f>
        <v>Rango2</v>
      </c>
    </row>
    <row r="504" spans="1:1" x14ac:dyDescent="0.3">
      <c r="A504" t="str">
        <f>IF(datos_limpios!N504&lt;3,"Rango1","Rango2")</f>
        <v>Rango2</v>
      </c>
    </row>
    <row r="505" spans="1:1" x14ac:dyDescent="0.3">
      <c r="A505" t="str">
        <f>IF(datos_limpios!N505&lt;3,"Rango1","Rango2")</f>
        <v>Rango2</v>
      </c>
    </row>
    <row r="506" spans="1:1" x14ac:dyDescent="0.3">
      <c r="A506" t="str">
        <f>IF(datos_limpios!N506&lt;3,"Rango1","Rango2")</f>
        <v>Rango2</v>
      </c>
    </row>
    <row r="507" spans="1:1" x14ac:dyDescent="0.3">
      <c r="A507" t="str">
        <f>IF(datos_limpios!N507&lt;3,"Rango1","Rango2")</f>
        <v>Rango2</v>
      </c>
    </row>
    <row r="508" spans="1:1" x14ac:dyDescent="0.3">
      <c r="A508" t="str">
        <f>IF(datos_limpios!N508&lt;3,"Rango1","Rango2")</f>
        <v>Rango2</v>
      </c>
    </row>
    <row r="509" spans="1:1" x14ac:dyDescent="0.3">
      <c r="A509" t="str">
        <f>IF(datos_limpios!N509&lt;3,"Rango1","Rango2")</f>
        <v>Rango2</v>
      </c>
    </row>
    <row r="510" spans="1:1" x14ac:dyDescent="0.3">
      <c r="A510" t="str">
        <f>IF(datos_limpios!N510&lt;3,"Rango1","Rango2")</f>
        <v>Rango2</v>
      </c>
    </row>
    <row r="511" spans="1:1" x14ac:dyDescent="0.3">
      <c r="A511" t="str">
        <f>IF(datos_limpios!N511&lt;3,"Rango1","Rango2")</f>
        <v>Rango2</v>
      </c>
    </row>
    <row r="512" spans="1:1" x14ac:dyDescent="0.3">
      <c r="A512" t="str">
        <f>IF(datos_limpios!N512&lt;3,"Rango1","Rango2")</f>
        <v>Rango2</v>
      </c>
    </row>
    <row r="513" spans="1:1" x14ac:dyDescent="0.3">
      <c r="A513" t="str">
        <f>IF(datos_limpios!N513&lt;3,"Rango1","Rango2")</f>
        <v>Rango2</v>
      </c>
    </row>
    <row r="514" spans="1:1" x14ac:dyDescent="0.3">
      <c r="A514" t="str">
        <f>IF(datos_limpios!N514&lt;3,"Rango1","Rango2")</f>
        <v>Rango2</v>
      </c>
    </row>
    <row r="515" spans="1:1" x14ac:dyDescent="0.3">
      <c r="A515" t="str">
        <f>IF(datos_limpios!N515&lt;3,"Rango1","Rango2")</f>
        <v>Rango2</v>
      </c>
    </row>
    <row r="516" spans="1:1" x14ac:dyDescent="0.3">
      <c r="A516" t="str">
        <f>IF(datos_limpios!N516&lt;3,"Rango1","Rango2")</f>
        <v>Rango2</v>
      </c>
    </row>
    <row r="517" spans="1:1" x14ac:dyDescent="0.3">
      <c r="A517" t="str">
        <f>IF(datos_limpios!N517&lt;3,"Rango1","Rango2")</f>
        <v>Rango2</v>
      </c>
    </row>
    <row r="518" spans="1:1" x14ac:dyDescent="0.3">
      <c r="A518" t="str">
        <f>IF(datos_limpios!N518&lt;3,"Rango1","Rango2")</f>
        <v>Rango2</v>
      </c>
    </row>
    <row r="519" spans="1:1" x14ac:dyDescent="0.3">
      <c r="A519" t="str">
        <f>IF(datos_limpios!N519&lt;3,"Rango1","Rango2")</f>
        <v>Rango2</v>
      </c>
    </row>
    <row r="520" spans="1:1" x14ac:dyDescent="0.3">
      <c r="A520" t="str">
        <f>IF(datos_limpios!N520&lt;3,"Rango1","Rango2")</f>
        <v>Rango2</v>
      </c>
    </row>
    <row r="521" spans="1:1" x14ac:dyDescent="0.3">
      <c r="A521" t="str">
        <f>IF(datos_limpios!N521&lt;3,"Rango1","Rango2")</f>
        <v>Rango2</v>
      </c>
    </row>
    <row r="522" spans="1:1" x14ac:dyDescent="0.3">
      <c r="A522" t="str">
        <f>IF(datos_limpios!N522&lt;3,"Rango1","Rango2")</f>
        <v>Rango2</v>
      </c>
    </row>
    <row r="523" spans="1:1" x14ac:dyDescent="0.3">
      <c r="A523" t="str">
        <f>IF(datos_limpios!N523&lt;3,"Rango1","Rango2")</f>
        <v>Rango2</v>
      </c>
    </row>
    <row r="524" spans="1:1" x14ac:dyDescent="0.3">
      <c r="A524" t="str">
        <f>IF(datos_limpios!N524&lt;3,"Rango1","Rango2")</f>
        <v>Rango2</v>
      </c>
    </row>
    <row r="525" spans="1:1" x14ac:dyDescent="0.3">
      <c r="A525" t="str">
        <f>IF(datos_limpios!N525&lt;3,"Rango1","Rango2")</f>
        <v>Rango2</v>
      </c>
    </row>
    <row r="526" spans="1:1" x14ac:dyDescent="0.3">
      <c r="A526" t="str">
        <f>IF(datos_limpios!N526&lt;3,"Rango1","Rango2")</f>
        <v>Rango2</v>
      </c>
    </row>
    <row r="527" spans="1:1" x14ac:dyDescent="0.3">
      <c r="A527" t="str">
        <f>IF(datos_limpios!N527&lt;3,"Rango1","Rango2")</f>
        <v>Rango2</v>
      </c>
    </row>
    <row r="528" spans="1:1" x14ac:dyDescent="0.3">
      <c r="A528" t="str">
        <f>IF(datos_limpios!N528&lt;3,"Rango1","Rango2")</f>
        <v>Rango2</v>
      </c>
    </row>
    <row r="529" spans="1:1" x14ac:dyDescent="0.3">
      <c r="A529" t="str">
        <f>IF(datos_limpios!N529&lt;3,"Rango1","Rango2")</f>
        <v>Rango2</v>
      </c>
    </row>
    <row r="530" spans="1:1" x14ac:dyDescent="0.3">
      <c r="A530" t="str">
        <f>IF(datos_limpios!N530&lt;3,"Rango1","Rango2")</f>
        <v>Rango2</v>
      </c>
    </row>
    <row r="531" spans="1:1" x14ac:dyDescent="0.3">
      <c r="A531" t="str">
        <f>IF(datos_limpios!N531&lt;3,"Rango1","Rango2")</f>
        <v>Rango2</v>
      </c>
    </row>
    <row r="532" spans="1:1" x14ac:dyDescent="0.3">
      <c r="A532" t="str">
        <f>IF(datos_limpios!N532&lt;3,"Rango1","Rango2")</f>
        <v>Rango2</v>
      </c>
    </row>
    <row r="533" spans="1:1" x14ac:dyDescent="0.3">
      <c r="A533" t="str">
        <f>IF(datos_limpios!N533&lt;3,"Rango1","Rango2")</f>
        <v>Rango2</v>
      </c>
    </row>
    <row r="534" spans="1:1" x14ac:dyDescent="0.3">
      <c r="A534" t="str">
        <f>IF(datos_limpios!N534&lt;3,"Rango1","Rango2")</f>
        <v>Rango2</v>
      </c>
    </row>
    <row r="535" spans="1:1" x14ac:dyDescent="0.3">
      <c r="A535" t="str">
        <f>IF(datos_limpios!N535&lt;3,"Rango1","Rango2")</f>
        <v>Rango2</v>
      </c>
    </row>
    <row r="536" spans="1:1" x14ac:dyDescent="0.3">
      <c r="A536" t="str">
        <f>IF(datos_limpios!N536&lt;3,"Rango1","Rango2")</f>
        <v>Rango2</v>
      </c>
    </row>
    <row r="537" spans="1:1" x14ac:dyDescent="0.3">
      <c r="A537" t="str">
        <f>IF(datos_limpios!N537&lt;3,"Rango1","Rango2")</f>
        <v>Rango2</v>
      </c>
    </row>
    <row r="538" spans="1:1" x14ac:dyDescent="0.3">
      <c r="A538" t="str">
        <f>IF(datos_limpios!N538&lt;3,"Rango1","Rango2")</f>
        <v>Rango2</v>
      </c>
    </row>
    <row r="539" spans="1:1" x14ac:dyDescent="0.3">
      <c r="A539" t="str">
        <f>IF(datos_limpios!N539&lt;3,"Rango1","Rango2")</f>
        <v>Rango2</v>
      </c>
    </row>
    <row r="540" spans="1:1" x14ac:dyDescent="0.3">
      <c r="A540" t="str">
        <f>IF(datos_limpios!N540&lt;3,"Rango1","Rango2")</f>
        <v>Rango2</v>
      </c>
    </row>
    <row r="541" spans="1:1" x14ac:dyDescent="0.3">
      <c r="A541" t="str">
        <f>IF(datos_limpios!N541&lt;3,"Rango1","Rango2")</f>
        <v>Rango2</v>
      </c>
    </row>
    <row r="542" spans="1:1" x14ac:dyDescent="0.3">
      <c r="A542" t="str">
        <f>IF(datos_limpios!N542&lt;3,"Rango1","Rango2")</f>
        <v>Rango2</v>
      </c>
    </row>
    <row r="543" spans="1:1" x14ac:dyDescent="0.3">
      <c r="A543" t="str">
        <f>IF(datos_limpios!N543&lt;3,"Rango1","Rango2")</f>
        <v>Rango2</v>
      </c>
    </row>
    <row r="544" spans="1:1" x14ac:dyDescent="0.3">
      <c r="A544" t="str">
        <f>IF(datos_limpios!N544&lt;3,"Rango1","Rango2")</f>
        <v>Rango2</v>
      </c>
    </row>
    <row r="545" spans="1:1" x14ac:dyDescent="0.3">
      <c r="A545" t="str">
        <f>IF(datos_limpios!N545&lt;3,"Rango1","Rango2")</f>
        <v>Rango2</v>
      </c>
    </row>
    <row r="546" spans="1:1" x14ac:dyDescent="0.3">
      <c r="A546" t="str">
        <f>IF(datos_limpios!N546&lt;3,"Rango1","Rango2")</f>
        <v>Rango2</v>
      </c>
    </row>
    <row r="547" spans="1:1" x14ac:dyDescent="0.3">
      <c r="A547" t="str">
        <f>IF(datos_limpios!N547&lt;3,"Rango1","Rango2")</f>
        <v>Rango2</v>
      </c>
    </row>
    <row r="548" spans="1:1" x14ac:dyDescent="0.3">
      <c r="A548" t="str">
        <f>IF(datos_limpios!N548&lt;3,"Rango1","Rango2")</f>
        <v>Rango2</v>
      </c>
    </row>
    <row r="549" spans="1:1" x14ac:dyDescent="0.3">
      <c r="A549" t="str">
        <f>IF(datos_limpios!N549&lt;3,"Rango1","Rango2")</f>
        <v>Rango2</v>
      </c>
    </row>
    <row r="550" spans="1:1" x14ac:dyDescent="0.3">
      <c r="A550" t="str">
        <f>IF(datos_limpios!N550&lt;3,"Rango1","Rango2")</f>
        <v>Rango2</v>
      </c>
    </row>
    <row r="551" spans="1:1" x14ac:dyDescent="0.3">
      <c r="A551" t="str">
        <f>IF(datos_limpios!N551&lt;3,"Rango1","Rango2")</f>
        <v>Rango2</v>
      </c>
    </row>
    <row r="552" spans="1:1" x14ac:dyDescent="0.3">
      <c r="A552" t="str">
        <f>IF(datos_limpios!N552&lt;3,"Rango1","Rango2")</f>
        <v>Rango2</v>
      </c>
    </row>
    <row r="553" spans="1:1" x14ac:dyDescent="0.3">
      <c r="A553" t="str">
        <f>IF(datos_limpios!N553&lt;3,"Rango1","Rango2")</f>
        <v>Rango2</v>
      </c>
    </row>
    <row r="554" spans="1:1" x14ac:dyDescent="0.3">
      <c r="A554" t="str">
        <f>IF(datos_limpios!N554&lt;3,"Rango1","Rango2")</f>
        <v>Rango2</v>
      </c>
    </row>
    <row r="555" spans="1:1" x14ac:dyDescent="0.3">
      <c r="A555" t="str">
        <f>IF(datos_limpios!N555&lt;3,"Rango1","Rango2")</f>
        <v>Rango2</v>
      </c>
    </row>
    <row r="556" spans="1:1" x14ac:dyDescent="0.3">
      <c r="A556" t="str">
        <f>IF(datos_limpios!N556&lt;3,"Rango1","Rango2")</f>
        <v>Rango2</v>
      </c>
    </row>
    <row r="557" spans="1:1" x14ac:dyDescent="0.3">
      <c r="A557" t="str">
        <f>IF(datos_limpios!N557&lt;3,"Rango1","Rango2")</f>
        <v>Rango2</v>
      </c>
    </row>
    <row r="558" spans="1:1" x14ac:dyDescent="0.3">
      <c r="A558" t="str">
        <f>IF(datos_limpios!N558&lt;3,"Rango1","Rango2")</f>
        <v>Rango2</v>
      </c>
    </row>
    <row r="559" spans="1:1" x14ac:dyDescent="0.3">
      <c r="A559" t="str">
        <f>IF(datos_limpios!N559&lt;3,"Rango1","Rango2")</f>
        <v>Rango2</v>
      </c>
    </row>
    <row r="560" spans="1:1" x14ac:dyDescent="0.3">
      <c r="A560" t="str">
        <f>IF(datos_limpios!N560&lt;3,"Rango1","Rango2")</f>
        <v>Rango2</v>
      </c>
    </row>
    <row r="561" spans="1:1" x14ac:dyDescent="0.3">
      <c r="A561" t="str">
        <f>IF(datos_limpios!N561&lt;3,"Rango1","Rango2")</f>
        <v>Rango2</v>
      </c>
    </row>
    <row r="562" spans="1:1" x14ac:dyDescent="0.3">
      <c r="A562" t="str">
        <f>IF(datos_limpios!N562&lt;3,"Rango1","Rango2")</f>
        <v>Rango2</v>
      </c>
    </row>
    <row r="563" spans="1:1" x14ac:dyDescent="0.3">
      <c r="A563" t="str">
        <f>IF(datos_limpios!N563&lt;3,"Rango1","Rango2")</f>
        <v>Rango2</v>
      </c>
    </row>
    <row r="564" spans="1:1" x14ac:dyDescent="0.3">
      <c r="A564" t="str">
        <f>IF(datos_limpios!N564&lt;3,"Rango1","Rango2")</f>
        <v>Rango2</v>
      </c>
    </row>
    <row r="565" spans="1:1" x14ac:dyDescent="0.3">
      <c r="A565" t="str">
        <f>IF(datos_limpios!N565&lt;3,"Rango1","Rango2")</f>
        <v>Rango2</v>
      </c>
    </row>
    <row r="566" spans="1:1" x14ac:dyDescent="0.3">
      <c r="A566" t="str">
        <f>IF(datos_limpios!N566&lt;3,"Rango1","Rango2")</f>
        <v>Rango2</v>
      </c>
    </row>
    <row r="567" spans="1:1" x14ac:dyDescent="0.3">
      <c r="A567" t="str">
        <f>IF(datos_limpios!N567&lt;3,"Rango1","Rango2")</f>
        <v>Rango2</v>
      </c>
    </row>
    <row r="568" spans="1:1" x14ac:dyDescent="0.3">
      <c r="A568" t="str">
        <f>IF(datos_limpios!N568&lt;3,"Rango1","Rango2")</f>
        <v>Rango2</v>
      </c>
    </row>
    <row r="569" spans="1:1" x14ac:dyDescent="0.3">
      <c r="A569" t="str">
        <f>IF(datos_limpios!N569&lt;3,"Rango1","Rango2")</f>
        <v>Rango2</v>
      </c>
    </row>
    <row r="570" spans="1:1" x14ac:dyDescent="0.3">
      <c r="A570" t="str">
        <f>IF(datos_limpios!N570&lt;3,"Rango1","Rango2")</f>
        <v>Rango2</v>
      </c>
    </row>
    <row r="571" spans="1:1" x14ac:dyDescent="0.3">
      <c r="A571" t="str">
        <f>IF(datos_limpios!N571&lt;3,"Rango1","Rango2")</f>
        <v>Rango2</v>
      </c>
    </row>
    <row r="572" spans="1:1" x14ac:dyDescent="0.3">
      <c r="A572" t="str">
        <f>IF(datos_limpios!N572&lt;3,"Rango1","Rango2")</f>
        <v>Rango2</v>
      </c>
    </row>
    <row r="573" spans="1:1" x14ac:dyDescent="0.3">
      <c r="A573" t="str">
        <f>IF(datos_limpios!N573&lt;3,"Rango1","Rango2")</f>
        <v>Rango2</v>
      </c>
    </row>
    <row r="574" spans="1:1" x14ac:dyDescent="0.3">
      <c r="A574" t="str">
        <f>IF(datos_limpios!N574&lt;3,"Rango1","Rango2")</f>
        <v>Rango2</v>
      </c>
    </row>
    <row r="575" spans="1:1" x14ac:dyDescent="0.3">
      <c r="A575" t="str">
        <f>IF(datos_limpios!N575&lt;3,"Rango1","Rango2")</f>
        <v>Rango2</v>
      </c>
    </row>
    <row r="576" spans="1:1" x14ac:dyDescent="0.3">
      <c r="A576" t="str">
        <f>IF(datos_limpios!N576&lt;3,"Rango1","Rango2")</f>
        <v>Rango2</v>
      </c>
    </row>
    <row r="577" spans="1:1" x14ac:dyDescent="0.3">
      <c r="A577" t="str">
        <f>IF(datos_limpios!N577&lt;3,"Rango1","Rango2")</f>
        <v>Rango2</v>
      </c>
    </row>
    <row r="578" spans="1:1" x14ac:dyDescent="0.3">
      <c r="A578" t="str">
        <f>IF(datos_limpios!N578&lt;3,"Rango1","Rango2")</f>
        <v>Rango2</v>
      </c>
    </row>
    <row r="579" spans="1:1" x14ac:dyDescent="0.3">
      <c r="A579" t="str">
        <f>IF(datos_limpios!N579&lt;3,"Rango1","Rango2")</f>
        <v>Rango2</v>
      </c>
    </row>
    <row r="580" spans="1:1" x14ac:dyDescent="0.3">
      <c r="A580" t="str">
        <f>IF(datos_limpios!N580&lt;3,"Rango1","Rango2")</f>
        <v>Rango2</v>
      </c>
    </row>
    <row r="581" spans="1:1" x14ac:dyDescent="0.3">
      <c r="A581" t="str">
        <f>IF(datos_limpios!N581&lt;3,"Rango1","Rango2")</f>
        <v>Rango2</v>
      </c>
    </row>
    <row r="582" spans="1:1" x14ac:dyDescent="0.3">
      <c r="A582" t="str">
        <f>IF(datos_limpios!N582&lt;3,"Rango1","Rango2")</f>
        <v>Rango2</v>
      </c>
    </row>
    <row r="583" spans="1:1" x14ac:dyDescent="0.3">
      <c r="A583" t="str">
        <f>IF(datos_limpios!N583&lt;3,"Rango1","Rango2")</f>
        <v>Rango2</v>
      </c>
    </row>
    <row r="584" spans="1:1" x14ac:dyDescent="0.3">
      <c r="A584" t="str">
        <f>IF(datos_limpios!N584&lt;3,"Rango1","Rango2")</f>
        <v>Rango2</v>
      </c>
    </row>
    <row r="585" spans="1:1" x14ac:dyDescent="0.3">
      <c r="A585" t="str">
        <f>IF(datos_limpios!N585&lt;3,"Rango1","Rango2")</f>
        <v>Rango2</v>
      </c>
    </row>
    <row r="586" spans="1:1" x14ac:dyDescent="0.3">
      <c r="A586" t="str">
        <f>IF(datos_limpios!N586&lt;3,"Rango1","Rango2")</f>
        <v>Rango2</v>
      </c>
    </row>
    <row r="587" spans="1:1" x14ac:dyDescent="0.3">
      <c r="A587" t="str">
        <f>IF(datos_limpios!N587&lt;3,"Rango1","Rango2")</f>
        <v>Rango2</v>
      </c>
    </row>
    <row r="588" spans="1:1" x14ac:dyDescent="0.3">
      <c r="A588" t="str">
        <f>IF(datos_limpios!N588&lt;3,"Rango1","Rango2")</f>
        <v>Rango2</v>
      </c>
    </row>
    <row r="589" spans="1:1" x14ac:dyDescent="0.3">
      <c r="A589" t="str">
        <f>IF(datos_limpios!N589&lt;3,"Rango1","Rango2")</f>
        <v>Rango2</v>
      </c>
    </row>
    <row r="590" spans="1:1" x14ac:dyDescent="0.3">
      <c r="A590" t="str">
        <f>IF(datos_limpios!N590&lt;3,"Rango1","Rango2")</f>
        <v>Rango2</v>
      </c>
    </row>
    <row r="591" spans="1:1" x14ac:dyDescent="0.3">
      <c r="A591" t="str">
        <f>IF(datos_limpios!N591&lt;3,"Rango1","Rango2")</f>
        <v>Rango2</v>
      </c>
    </row>
    <row r="592" spans="1:1" x14ac:dyDescent="0.3">
      <c r="A592" t="str">
        <f>IF(datos_limpios!N592&lt;3,"Rango1","Rango2")</f>
        <v>Rango2</v>
      </c>
    </row>
    <row r="593" spans="1:1" x14ac:dyDescent="0.3">
      <c r="A593" t="str">
        <f>IF(datos_limpios!N593&lt;3,"Rango1","Rango2")</f>
        <v>Rango2</v>
      </c>
    </row>
    <row r="594" spans="1:1" x14ac:dyDescent="0.3">
      <c r="A594" t="str">
        <f>IF(datos_limpios!N594&lt;3,"Rango1","Rango2")</f>
        <v>Rango2</v>
      </c>
    </row>
    <row r="595" spans="1:1" x14ac:dyDescent="0.3">
      <c r="A595" t="str">
        <f>IF(datos_limpios!N595&lt;3,"Rango1","Rango2")</f>
        <v>Rango2</v>
      </c>
    </row>
    <row r="596" spans="1:1" x14ac:dyDescent="0.3">
      <c r="A596" t="str">
        <f>IF(datos_limpios!N596&lt;3,"Rango1","Rango2")</f>
        <v>Rango2</v>
      </c>
    </row>
    <row r="597" spans="1:1" x14ac:dyDescent="0.3">
      <c r="A597" t="str">
        <f>IF(datos_limpios!N597&lt;3,"Rango1","Rango2")</f>
        <v>Rango2</v>
      </c>
    </row>
    <row r="598" spans="1:1" x14ac:dyDescent="0.3">
      <c r="A598" t="str">
        <f>IF(datos_limpios!N598&lt;3,"Rango1","Rango2")</f>
        <v>Rango2</v>
      </c>
    </row>
    <row r="599" spans="1:1" x14ac:dyDescent="0.3">
      <c r="A599" t="str">
        <f>IF(datos_limpios!N599&lt;3,"Rango1","Rango2")</f>
        <v>Rango2</v>
      </c>
    </row>
    <row r="600" spans="1:1" x14ac:dyDescent="0.3">
      <c r="A600" t="str">
        <f>IF(datos_limpios!N600&lt;3,"Rango1","Rango2")</f>
        <v>Rango2</v>
      </c>
    </row>
    <row r="601" spans="1:1" x14ac:dyDescent="0.3">
      <c r="A601" t="str">
        <f>IF(datos_limpios!N601&lt;3,"Rango1","Rango2")</f>
        <v>Rango2</v>
      </c>
    </row>
    <row r="602" spans="1:1" x14ac:dyDescent="0.3">
      <c r="A602" t="str">
        <f>IF(datos_limpios!N602&lt;3,"Rango1","Rango2")</f>
        <v>Rango2</v>
      </c>
    </row>
    <row r="603" spans="1:1" x14ac:dyDescent="0.3">
      <c r="A603" t="str">
        <f>IF(datos_limpios!N603&lt;3,"Rango1","Rango2")</f>
        <v>Rango2</v>
      </c>
    </row>
    <row r="604" spans="1:1" x14ac:dyDescent="0.3">
      <c r="A604" t="str">
        <f>IF(datos_limpios!N604&lt;3,"Rango1","Rango2")</f>
        <v>Rango2</v>
      </c>
    </row>
    <row r="605" spans="1:1" x14ac:dyDescent="0.3">
      <c r="A605" t="str">
        <f>IF(datos_limpios!N605&lt;3,"Rango1","Rango2")</f>
        <v>Rango2</v>
      </c>
    </row>
    <row r="606" spans="1:1" x14ac:dyDescent="0.3">
      <c r="A606" t="str">
        <f>IF(datos_limpios!N606&lt;3,"Rango1","Rango2")</f>
        <v>Rango2</v>
      </c>
    </row>
    <row r="607" spans="1:1" x14ac:dyDescent="0.3">
      <c r="A607" t="str">
        <f>IF(datos_limpios!N607&lt;3,"Rango1","Rango2")</f>
        <v>Rango2</v>
      </c>
    </row>
    <row r="608" spans="1:1" x14ac:dyDescent="0.3">
      <c r="A608" t="str">
        <f>IF(datos_limpios!N608&lt;3,"Rango1","Rango2")</f>
        <v>Rango2</v>
      </c>
    </row>
    <row r="609" spans="1:1" x14ac:dyDescent="0.3">
      <c r="A609" t="str">
        <f>IF(datos_limpios!N609&lt;3,"Rango1","Rango2")</f>
        <v>Rango2</v>
      </c>
    </row>
    <row r="610" spans="1:1" x14ac:dyDescent="0.3">
      <c r="A610" t="str">
        <f>IF(datos_limpios!N610&lt;3,"Rango1","Rango2")</f>
        <v>Rango2</v>
      </c>
    </row>
    <row r="611" spans="1:1" x14ac:dyDescent="0.3">
      <c r="A611" t="str">
        <f>IF(datos_limpios!N611&lt;3,"Rango1","Rango2")</f>
        <v>Rango2</v>
      </c>
    </row>
    <row r="612" spans="1:1" x14ac:dyDescent="0.3">
      <c r="A612" t="str">
        <f>IF(datos_limpios!N612&lt;3,"Rango1","Rango2")</f>
        <v>Rango2</v>
      </c>
    </row>
    <row r="613" spans="1:1" x14ac:dyDescent="0.3">
      <c r="A613" t="str">
        <f>IF(datos_limpios!N613&lt;3,"Rango1","Rango2")</f>
        <v>Rango2</v>
      </c>
    </row>
    <row r="614" spans="1:1" x14ac:dyDescent="0.3">
      <c r="A614" t="str">
        <f>IF(datos_limpios!N614&lt;3,"Rango1","Rango2")</f>
        <v>Rango2</v>
      </c>
    </row>
    <row r="615" spans="1:1" x14ac:dyDescent="0.3">
      <c r="A615" t="str">
        <f>IF(datos_limpios!N615&lt;3,"Rango1","Rango2")</f>
        <v>Rango2</v>
      </c>
    </row>
    <row r="616" spans="1:1" x14ac:dyDescent="0.3">
      <c r="A616" t="str">
        <f>IF(datos_limpios!N616&lt;3,"Rango1","Rango2")</f>
        <v>Rango2</v>
      </c>
    </row>
    <row r="617" spans="1:1" x14ac:dyDescent="0.3">
      <c r="A617" t="str">
        <f>IF(datos_limpios!N617&lt;3,"Rango1","Rango2")</f>
        <v>Rango2</v>
      </c>
    </row>
    <row r="618" spans="1:1" x14ac:dyDescent="0.3">
      <c r="A618" t="str">
        <f>IF(datos_limpios!N618&lt;3,"Rango1","Rango2")</f>
        <v>Rango2</v>
      </c>
    </row>
    <row r="619" spans="1:1" x14ac:dyDescent="0.3">
      <c r="A619" t="str">
        <f>IF(datos_limpios!N619&lt;3,"Rango1","Rango2")</f>
        <v>Rango2</v>
      </c>
    </row>
    <row r="620" spans="1:1" x14ac:dyDescent="0.3">
      <c r="A620" t="str">
        <f>IF(datos_limpios!N620&lt;3,"Rango1","Rango2")</f>
        <v>Rango2</v>
      </c>
    </row>
    <row r="621" spans="1:1" x14ac:dyDescent="0.3">
      <c r="A621" t="str">
        <f>IF(datos_limpios!N621&lt;3,"Rango1","Rango2")</f>
        <v>Rango2</v>
      </c>
    </row>
    <row r="622" spans="1:1" x14ac:dyDescent="0.3">
      <c r="A622" t="str">
        <f>IF(datos_limpios!N622&lt;3,"Rango1","Rango2")</f>
        <v>Rango2</v>
      </c>
    </row>
    <row r="623" spans="1:1" x14ac:dyDescent="0.3">
      <c r="A623" t="str">
        <f>IF(datos_limpios!N623&lt;3,"Rango1","Rango2")</f>
        <v>Rango2</v>
      </c>
    </row>
    <row r="624" spans="1:1" x14ac:dyDescent="0.3">
      <c r="A624" t="str">
        <f>IF(datos_limpios!N624&lt;3,"Rango1","Rango2")</f>
        <v>Rango2</v>
      </c>
    </row>
    <row r="625" spans="1:1" x14ac:dyDescent="0.3">
      <c r="A625" t="str">
        <f>IF(datos_limpios!N625&lt;3,"Rango1","Rango2")</f>
        <v>Rango2</v>
      </c>
    </row>
    <row r="626" spans="1:1" x14ac:dyDescent="0.3">
      <c r="A626" t="str">
        <f>IF(datos_limpios!N626&lt;3,"Rango1","Rango2")</f>
        <v>Rango2</v>
      </c>
    </row>
    <row r="627" spans="1:1" x14ac:dyDescent="0.3">
      <c r="A627" t="str">
        <f>IF(datos_limpios!N627&lt;3,"Rango1","Rango2")</f>
        <v>Rango2</v>
      </c>
    </row>
    <row r="628" spans="1:1" x14ac:dyDescent="0.3">
      <c r="A628" t="str">
        <f>IF(datos_limpios!N628&lt;3,"Rango1","Rango2")</f>
        <v>Rango2</v>
      </c>
    </row>
    <row r="629" spans="1:1" x14ac:dyDescent="0.3">
      <c r="A629" t="str">
        <f>IF(datos_limpios!N629&lt;3,"Rango1","Rango2")</f>
        <v>Rango2</v>
      </c>
    </row>
    <row r="630" spans="1:1" x14ac:dyDescent="0.3">
      <c r="A630" t="str">
        <f>IF(datos_limpios!N630&lt;3,"Rango1","Rango2")</f>
        <v>Rango2</v>
      </c>
    </row>
    <row r="631" spans="1:1" x14ac:dyDescent="0.3">
      <c r="A631" t="str">
        <f>IF(datos_limpios!N631&lt;3,"Rango1","Rango2")</f>
        <v>Rango2</v>
      </c>
    </row>
    <row r="632" spans="1:1" x14ac:dyDescent="0.3">
      <c r="A632" t="str">
        <f>IF(datos_limpios!N632&lt;3,"Rango1","Rango2")</f>
        <v>Rango2</v>
      </c>
    </row>
    <row r="633" spans="1:1" x14ac:dyDescent="0.3">
      <c r="A633" t="str">
        <f>IF(datos_limpios!N633&lt;3,"Rango1","Rango2")</f>
        <v>Rango2</v>
      </c>
    </row>
    <row r="634" spans="1:1" x14ac:dyDescent="0.3">
      <c r="A634" t="str">
        <f>IF(datos_limpios!N634&lt;3,"Rango1","Rango2")</f>
        <v>Rango2</v>
      </c>
    </row>
    <row r="635" spans="1:1" x14ac:dyDescent="0.3">
      <c r="A635" t="str">
        <f>IF(datos_limpios!N635&lt;3,"Rango1","Rango2")</f>
        <v>Rango2</v>
      </c>
    </row>
    <row r="636" spans="1:1" x14ac:dyDescent="0.3">
      <c r="A636" t="str">
        <f>IF(datos_limpios!N636&lt;3,"Rango1","Rango2")</f>
        <v>Rango2</v>
      </c>
    </row>
    <row r="637" spans="1:1" x14ac:dyDescent="0.3">
      <c r="A637" t="str">
        <f>IF(datos_limpios!N637&lt;3,"Rango1","Rango2")</f>
        <v>Rango2</v>
      </c>
    </row>
    <row r="638" spans="1:1" x14ac:dyDescent="0.3">
      <c r="A638" t="str">
        <f>IF(datos_limpios!N638&lt;3,"Rango1","Rango2")</f>
        <v>Rango2</v>
      </c>
    </row>
    <row r="639" spans="1:1" x14ac:dyDescent="0.3">
      <c r="A639" t="str">
        <f>IF(datos_limpios!N639&lt;3,"Rango1","Rango2")</f>
        <v>Rango2</v>
      </c>
    </row>
    <row r="640" spans="1:1" x14ac:dyDescent="0.3">
      <c r="A640" t="str">
        <f>IF(datos_limpios!N640&lt;3,"Rango1","Rango2")</f>
        <v>Rango2</v>
      </c>
    </row>
    <row r="641" spans="1:1" x14ac:dyDescent="0.3">
      <c r="A641" t="str">
        <f>IF(datos_limpios!N641&lt;3,"Rango1","Rango2")</f>
        <v>Rango2</v>
      </c>
    </row>
    <row r="642" spans="1:1" x14ac:dyDescent="0.3">
      <c r="A642" t="str">
        <f>IF(datos_limpios!N642&lt;3,"Rango1","Rango2")</f>
        <v>Rango2</v>
      </c>
    </row>
    <row r="643" spans="1:1" x14ac:dyDescent="0.3">
      <c r="A643" t="str">
        <f>IF(datos_limpios!N643&lt;3,"Rango1","Rango2")</f>
        <v>Rango2</v>
      </c>
    </row>
    <row r="644" spans="1:1" x14ac:dyDescent="0.3">
      <c r="A644" t="str">
        <f>IF(datos_limpios!N644&lt;3,"Rango1","Rango2")</f>
        <v>Rango2</v>
      </c>
    </row>
    <row r="645" spans="1:1" x14ac:dyDescent="0.3">
      <c r="A645" t="str">
        <f>IF(datos_limpios!N645&lt;3,"Rango1","Rango2")</f>
        <v>Rango2</v>
      </c>
    </row>
    <row r="646" spans="1:1" x14ac:dyDescent="0.3">
      <c r="A646" t="str">
        <f>IF(datos_limpios!N646&lt;3,"Rango1","Rango2")</f>
        <v>Rango2</v>
      </c>
    </row>
    <row r="647" spans="1:1" x14ac:dyDescent="0.3">
      <c r="A647" t="str">
        <f>IF(datos_limpios!N647&lt;3,"Rango1","Rango2")</f>
        <v>Rango2</v>
      </c>
    </row>
    <row r="648" spans="1:1" x14ac:dyDescent="0.3">
      <c r="A648" t="str">
        <f>IF(datos_limpios!N648&lt;3,"Rango1","Rango2")</f>
        <v>Rango2</v>
      </c>
    </row>
    <row r="649" spans="1:1" x14ac:dyDescent="0.3">
      <c r="A649" t="str">
        <f>IF(datos_limpios!N649&lt;3,"Rango1","Rango2")</f>
        <v>Rango2</v>
      </c>
    </row>
    <row r="650" spans="1:1" x14ac:dyDescent="0.3">
      <c r="A650" t="str">
        <f>IF(datos_limpios!N650&lt;3,"Rango1","Rango2")</f>
        <v>Rango2</v>
      </c>
    </row>
    <row r="651" spans="1:1" x14ac:dyDescent="0.3">
      <c r="A651" t="str">
        <f>IF(datos_limpios!N651&lt;3,"Rango1","Rango2")</f>
        <v>Rango2</v>
      </c>
    </row>
    <row r="652" spans="1:1" x14ac:dyDescent="0.3">
      <c r="A652" t="str">
        <f>IF(datos_limpios!N652&lt;3,"Rango1","Rango2")</f>
        <v>Rango2</v>
      </c>
    </row>
    <row r="653" spans="1:1" x14ac:dyDescent="0.3">
      <c r="A653" t="str">
        <f>IF(datos_limpios!N653&lt;3,"Rango1","Rango2")</f>
        <v>Rango2</v>
      </c>
    </row>
    <row r="654" spans="1:1" x14ac:dyDescent="0.3">
      <c r="A654" t="str">
        <f>IF(datos_limpios!N654&lt;3,"Rango1","Rango2")</f>
        <v>Rango2</v>
      </c>
    </row>
    <row r="655" spans="1:1" x14ac:dyDescent="0.3">
      <c r="A655" t="str">
        <f>IF(datos_limpios!N655&lt;3,"Rango1","Rango2")</f>
        <v>Rango2</v>
      </c>
    </row>
    <row r="656" spans="1:1" x14ac:dyDescent="0.3">
      <c r="A656" t="str">
        <f>IF(datos_limpios!N656&lt;3,"Rango1","Rango2")</f>
        <v>Rango2</v>
      </c>
    </row>
    <row r="657" spans="1:1" x14ac:dyDescent="0.3">
      <c r="A657" t="str">
        <f>IF(datos_limpios!N657&lt;3,"Rango1","Rango2")</f>
        <v>Rango2</v>
      </c>
    </row>
    <row r="658" spans="1:1" x14ac:dyDescent="0.3">
      <c r="A658" t="str">
        <f>IF(datos_limpios!N658&lt;3,"Rango1","Rango2")</f>
        <v>Rango2</v>
      </c>
    </row>
    <row r="659" spans="1:1" x14ac:dyDescent="0.3">
      <c r="A659" t="str">
        <f>IF(datos_limpios!N659&lt;3,"Rango1","Rango2")</f>
        <v>Rango2</v>
      </c>
    </row>
    <row r="660" spans="1:1" x14ac:dyDescent="0.3">
      <c r="A660" t="str">
        <f>IF(datos_limpios!N660&lt;3,"Rango1","Rango2")</f>
        <v>Rango2</v>
      </c>
    </row>
    <row r="661" spans="1:1" x14ac:dyDescent="0.3">
      <c r="A661" t="str">
        <f>IF(datos_limpios!N661&lt;3,"Rango1","Rango2")</f>
        <v>Rango2</v>
      </c>
    </row>
    <row r="662" spans="1:1" x14ac:dyDescent="0.3">
      <c r="A662" t="str">
        <f>IF(datos_limpios!N662&lt;3,"Rango1","Rango2")</f>
        <v>Rango2</v>
      </c>
    </row>
    <row r="663" spans="1:1" x14ac:dyDescent="0.3">
      <c r="A663" t="str">
        <f>IF(datos_limpios!N663&lt;3,"Rango1","Rango2")</f>
        <v>Rango2</v>
      </c>
    </row>
    <row r="664" spans="1:1" x14ac:dyDescent="0.3">
      <c r="A664" t="str">
        <f>IF(datos_limpios!N664&lt;3,"Rango1","Rango2")</f>
        <v>Rango2</v>
      </c>
    </row>
    <row r="665" spans="1:1" x14ac:dyDescent="0.3">
      <c r="A665" t="str">
        <f>IF(datos_limpios!N665&lt;3,"Rango1","Rango2")</f>
        <v>Rango2</v>
      </c>
    </row>
    <row r="666" spans="1:1" x14ac:dyDescent="0.3">
      <c r="A666" t="str">
        <f>IF(datos_limpios!N666&lt;3,"Rango1","Rango2")</f>
        <v>Rango2</v>
      </c>
    </row>
    <row r="667" spans="1:1" x14ac:dyDescent="0.3">
      <c r="A667" t="str">
        <f>IF(datos_limpios!N667&lt;3,"Rango1","Rango2")</f>
        <v>Rango2</v>
      </c>
    </row>
    <row r="668" spans="1:1" x14ac:dyDescent="0.3">
      <c r="A668" t="str">
        <f>IF(datos_limpios!N668&lt;3,"Rango1","Rango2")</f>
        <v>Rango2</v>
      </c>
    </row>
    <row r="669" spans="1:1" x14ac:dyDescent="0.3">
      <c r="A669" t="str">
        <f>IF(datos_limpios!N669&lt;3,"Rango1","Rango2")</f>
        <v>Rango2</v>
      </c>
    </row>
    <row r="670" spans="1:1" x14ac:dyDescent="0.3">
      <c r="A670" t="str">
        <f>IF(datos_limpios!N670&lt;3,"Rango1","Rango2")</f>
        <v>Rango2</v>
      </c>
    </row>
    <row r="671" spans="1:1" x14ac:dyDescent="0.3">
      <c r="A671" t="str">
        <f>IF(datos_limpios!N671&lt;3,"Rango1","Rango2")</f>
        <v>Rango2</v>
      </c>
    </row>
    <row r="672" spans="1:1" x14ac:dyDescent="0.3">
      <c r="A672" t="str">
        <f>IF(datos_limpios!N672&lt;3,"Rango1","Rango2")</f>
        <v>Rango2</v>
      </c>
    </row>
    <row r="673" spans="1:1" x14ac:dyDescent="0.3">
      <c r="A673" t="str">
        <f>IF(datos_limpios!N673&lt;3,"Rango1","Rango2")</f>
        <v>Rango2</v>
      </c>
    </row>
    <row r="674" spans="1:1" x14ac:dyDescent="0.3">
      <c r="A674" t="str">
        <f>IF(datos_limpios!N674&lt;3,"Rango1","Rango2")</f>
        <v>Rango2</v>
      </c>
    </row>
    <row r="675" spans="1:1" x14ac:dyDescent="0.3">
      <c r="A675" t="str">
        <f>IF(datos_limpios!N675&lt;3,"Rango1","Rango2")</f>
        <v>Rango2</v>
      </c>
    </row>
    <row r="676" spans="1:1" x14ac:dyDescent="0.3">
      <c r="A676" t="str">
        <f>IF(datos_limpios!N676&lt;3,"Rango1","Rango2")</f>
        <v>Rango2</v>
      </c>
    </row>
    <row r="677" spans="1:1" x14ac:dyDescent="0.3">
      <c r="A677" t="str">
        <f>IF(datos_limpios!N677&lt;3,"Rango1","Rango2")</f>
        <v>Rango2</v>
      </c>
    </row>
    <row r="678" spans="1:1" x14ac:dyDescent="0.3">
      <c r="A678" t="str">
        <f>IF(datos_limpios!N678&lt;3,"Rango1","Rango2")</f>
        <v>Rango2</v>
      </c>
    </row>
    <row r="679" spans="1:1" x14ac:dyDescent="0.3">
      <c r="A679" t="str">
        <f>IF(datos_limpios!N679&lt;3,"Rango1","Rango2")</f>
        <v>Rango2</v>
      </c>
    </row>
    <row r="680" spans="1:1" x14ac:dyDescent="0.3">
      <c r="A680" t="str">
        <f>IF(datos_limpios!N680&lt;3,"Rango1","Rango2")</f>
        <v>Rango2</v>
      </c>
    </row>
    <row r="681" spans="1:1" x14ac:dyDescent="0.3">
      <c r="A681" t="str">
        <f>IF(datos_limpios!N681&lt;3,"Rango1","Rango2")</f>
        <v>Rango2</v>
      </c>
    </row>
    <row r="682" spans="1:1" x14ac:dyDescent="0.3">
      <c r="A682" t="str">
        <f>IF(datos_limpios!N682&lt;3,"Rango1","Rango2")</f>
        <v>Rango2</v>
      </c>
    </row>
    <row r="683" spans="1:1" x14ac:dyDescent="0.3">
      <c r="A683" t="str">
        <f>IF(datos_limpios!N683&lt;3,"Rango1","Rango2")</f>
        <v>Rango2</v>
      </c>
    </row>
    <row r="684" spans="1:1" x14ac:dyDescent="0.3">
      <c r="A684" t="str">
        <f>IF(datos_limpios!N684&lt;3,"Rango1","Rango2")</f>
        <v>Rango2</v>
      </c>
    </row>
    <row r="685" spans="1:1" x14ac:dyDescent="0.3">
      <c r="A685" t="str">
        <f>IF(datos_limpios!N685&lt;3,"Rango1","Rango2")</f>
        <v>Rango2</v>
      </c>
    </row>
    <row r="686" spans="1:1" x14ac:dyDescent="0.3">
      <c r="A686" t="str">
        <f>IF(datos_limpios!N686&lt;3,"Rango1","Rango2")</f>
        <v>Rango2</v>
      </c>
    </row>
    <row r="687" spans="1:1" x14ac:dyDescent="0.3">
      <c r="A687" t="str">
        <f>IF(datos_limpios!N687&lt;3,"Rango1","Rango2")</f>
        <v>Rango2</v>
      </c>
    </row>
    <row r="688" spans="1:1" x14ac:dyDescent="0.3">
      <c r="A688" t="str">
        <f>IF(datos_limpios!N688&lt;3,"Rango1","Rango2")</f>
        <v>Rango2</v>
      </c>
    </row>
    <row r="689" spans="1:1" x14ac:dyDescent="0.3">
      <c r="A689" t="str">
        <f>IF(datos_limpios!N689&lt;3,"Rango1","Rango2")</f>
        <v>Rango2</v>
      </c>
    </row>
    <row r="690" spans="1:1" x14ac:dyDescent="0.3">
      <c r="A690" t="str">
        <f>IF(datos_limpios!N690&lt;3,"Rango1","Rango2")</f>
        <v>Rango2</v>
      </c>
    </row>
    <row r="691" spans="1:1" x14ac:dyDescent="0.3">
      <c r="A691" t="str">
        <f>IF(datos_limpios!N691&lt;3,"Rango1","Rango2")</f>
        <v>Rango2</v>
      </c>
    </row>
    <row r="692" spans="1:1" x14ac:dyDescent="0.3">
      <c r="A692" t="str">
        <f>IF(datos_limpios!N692&lt;3,"Rango1","Rango2")</f>
        <v>Rango2</v>
      </c>
    </row>
    <row r="693" spans="1:1" x14ac:dyDescent="0.3">
      <c r="A693" t="str">
        <f>IF(datos_limpios!N693&lt;3,"Rango1","Rango2")</f>
        <v>Rango2</v>
      </c>
    </row>
    <row r="694" spans="1:1" x14ac:dyDescent="0.3">
      <c r="A694" t="str">
        <f>IF(datos_limpios!N694&lt;3,"Rango1","Rango2")</f>
        <v>Rango2</v>
      </c>
    </row>
    <row r="695" spans="1:1" x14ac:dyDescent="0.3">
      <c r="A695" t="str">
        <f>IF(datos_limpios!N695&lt;3,"Rango1","Rango2")</f>
        <v>Rango2</v>
      </c>
    </row>
    <row r="696" spans="1:1" x14ac:dyDescent="0.3">
      <c r="A696" t="str">
        <f>IF(datos_limpios!N696&lt;3,"Rango1","Rango2")</f>
        <v>Rango2</v>
      </c>
    </row>
    <row r="697" spans="1:1" x14ac:dyDescent="0.3">
      <c r="A697" t="str">
        <f>IF(datos_limpios!N697&lt;3,"Rango1","Rango2")</f>
        <v>Rango2</v>
      </c>
    </row>
    <row r="698" spans="1:1" x14ac:dyDescent="0.3">
      <c r="A698" t="str">
        <f>IF(datos_limpios!N698&lt;3,"Rango1","Rango2")</f>
        <v>Rango2</v>
      </c>
    </row>
    <row r="699" spans="1:1" x14ac:dyDescent="0.3">
      <c r="A699" t="str">
        <f>IF(datos_limpios!N699&lt;3,"Rango1","Rango2")</f>
        <v>Rango2</v>
      </c>
    </row>
    <row r="700" spans="1:1" x14ac:dyDescent="0.3">
      <c r="A700" t="str">
        <f>IF(datos_limpios!N700&lt;3,"Rango1","Rango2")</f>
        <v>Rango2</v>
      </c>
    </row>
    <row r="701" spans="1:1" x14ac:dyDescent="0.3">
      <c r="A701" t="str">
        <f>IF(datos_limpios!N701&lt;3,"Rango1","Rango2")</f>
        <v>Rango2</v>
      </c>
    </row>
    <row r="702" spans="1:1" x14ac:dyDescent="0.3">
      <c r="A702" t="str">
        <f>IF(datos_limpios!N702&lt;3,"Rango1","Rango2")</f>
        <v>Rango2</v>
      </c>
    </row>
    <row r="703" spans="1:1" x14ac:dyDescent="0.3">
      <c r="A703" t="str">
        <f>IF(datos_limpios!N703&lt;3,"Rango1","Rango2")</f>
        <v>Rango2</v>
      </c>
    </row>
    <row r="704" spans="1:1" x14ac:dyDescent="0.3">
      <c r="A704" t="str">
        <f>IF(datos_limpios!N704&lt;3,"Rango1","Rango2")</f>
        <v>Rango2</v>
      </c>
    </row>
    <row r="705" spans="1:1" x14ac:dyDescent="0.3">
      <c r="A705" t="str">
        <f>IF(datos_limpios!N705&lt;3,"Rango1","Rango2")</f>
        <v>Rango2</v>
      </c>
    </row>
    <row r="706" spans="1:1" x14ac:dyDescent="0.3">
      <c r="A706" t="str">
        <f>IF(datos_limpios!N706&lt;3,"Rango1","Rango2")</f>
        <v>Rango2</v>
      </c>
    </row>
    <row r="707" spans="1:1" x14ac:dyDescent="0.3">
      <c r="A707" t="str">
        <f>IF(datos_limpios!N707&lt;3,"Rango1","Rango2")</f>
        <v>Rango2</v>
      </c>
    </row>
    <row r="708" spans="1:1" x14ac:dyDescent="0.3">
      <c r="A708" t="str">
        <f>IF(datos_limpios!N708&lt;3,"Rango1","Rango2")</f>
        <v>Rango2</v>
      </c>
    </row>
    <row r="709" spans="1:1" x14ac:dyDescent="0.3">
      <c r="A709" t="str">
        <f>IF(datos_limpios!N709&lt;3,"Rango1","Rango2")</f>
        <v>Rango2</v>
      </c>
    </row>
    <row r="710" spans="1:1" x14ac:dyDescent="0.3">
      <c r="A710" t="str">
        <f>IF(datos_limpios!N710&lt;3,"Rango1","Rango2")</f>
        <v>Rango2</v>
      </c>
    </row>
    <row r="711" spans="1:1" x14ac:dyDescent="0.3">
      <c r="A711" t="str">
        <f>IF(datos_limpios!N711&lt;3,"Rango1","Rango2")</f>
        <v>Rango2</v>
      </c>
    </row>
    <row r="712" spans="1:1" x14ac:dyDescent="0.3">
      <c r="A712" t="str">
        <f>IF(datos_limpios!N712&lt;3,"Rango1","Rango2")</f>
        <v>Rango2</v>
      </c>
    </row>
    <row r="713" spans="1:1" x14ac:dyDescent="0.3">
      <c r="A713" t="str">
        <f>IF(datos_limpios!N713&lt;3,"Rango1","Rango2")</f>
        <v>Rango2</v>
      </c>
    </row>
    <row r="714" spans="1:1" x14ac:dyDescent="0.3">
      <c r="A714" t="str">
        <f>IF(datos_limpios!N714&lt;3,"Rango1","Rango2")</f>
        <v>Rango2</v>
      </c>
    </row>
    <row r="715" spans="1:1" x14ac:dyDescent="0.3">
      <c r="A715" t="str">
        <f>IF(datos_limpios!N715&lt;3,"Rango1","Rango2")</f>
        <v>Rango2</v>
      </c>
    </row>
    <row r="716" spans="1:1" x14ac:dyDescent="0.3">
      <c r="A716" t="str">
        <f>IF(datos_limpios!N716&lt;3,"Rango1","Rango2")</f>
        <v>Rango2</v>
      </c>
    </row>
    <row r="717" spans="1:1" x14ac:dyDescent="0.3">
      <c r="A717" t="str">
        <f>IF(datos_limpios!N717&lt;3,"Rango1","Rango2")</f>
        <v>Rango2</v>
      </c>
    </row>
    <row r="718" spans="1:1" x14ac:dyDescent="0.3">
      <c r="A718" t="str">
        <f>IF(datos_limpios!N718&lt;3,"Rango1","Rango2")</f>
        <v>Rango2</v>
      </c>
    </row>
    <row r="719" spans="1:1" x14ac:dyDescent="0.3">
      <c r="A719" t="str">
        <f>IF(datos_limpios!N719&lt;3,"Rango1","Rango2")</f>
        <v>Rango2</v>
      </c>
    </row>
    <row r="720" spans="1:1" x14ac:dyDescent="0.3">
      <c r="A720" t="str">
        <f>IF(datos_limpios!N720&lt;3,"Rango1","Rango2")</f>
        <v>Rango2</v>
      </c>
    </row>
    <row r="721" spans="1:1" x14ac:dyDescent="0.3">
      <c r="A721" t="str">
        <f>IF(datos_limpios!N721&lt;3,"Rango1","Rango2")</f>
        <v>Rango2</v>
      </c>
    </row>
    <row r="722" spans="1:1" x14ac:dyDescent="0.3">
      <c r="A722" t="str">
        <f>IF(datos_limpios!N722&lt;3,"Rango1","Rango2")</f>
        <v>Rango2</v>
      </c>
    </row>
    <row r="723" spans="1:1" x14ac:dyDescent="0.3">
      <c r="A723" t="str">
        <f>IF(datos_limpios!N723&lt;3,"Rango1","Rango2")</f>
        <v>Rango2</v>
      </c>
    </row>
    <row r="724" spans="1:1" x14ac:dyDescent="0.3">
      <c r="A724" t="str">
        <f>IF(datos_limpios!N724&lt;3,"Rango1","Rango2")</f>
        <v>Rango2</v>
      </c>
    </row>
    <row r="725" spans="1:1" x14ac:dyDescent="0.3">
      <c r="A725" t="str">
        <f>IF(datos_limpios!N725&lt;3,"Rango1","Rango2")</f>
        <v>Rango2</v>
      </c>
    </row>
    <row r="726" spans="1:1" x14ac:dyDescent="0.3">
      <c r="A726" t="str">
        <f>IF(datos_limpios!N726&lt;3,"Rango1","Rango2")</f>
        <v>Rango2</v>
      </c>
    </row>
    <row r="727" spans="1:1" x14ac:dyDescent="0.3">
      <c r="A727" t="str">
        <f>IF(datos_limpios!N727&lt;3,"Rango1","Rango2")</f>
        <v>Rango2</v>
      </c>
    </row>
    <row r="728" spans="1:1" x14ac:dyDescent="0.3">
      <c r="A728" t="str">
        <f>IF(datos_limpios!N728&lt;3,"Rango1","Rango2")</f>
        <v>Rango2</v>
      </c>
    </row>
    <row r="729" spans="1:1" x14ac:dyDescent="0.3">
      <c r="A729" t="str">
        <f>IF(datos_limpios!N729&lt;3,"Rango1","Rango2")</f>
        <v>Rango2</v>
      </c>
    </row>
    <row r="730" spans="1:1" x14ac:dyDescent="0.3">
      <c r="A730" t="str">
        <f>IF(datos_limpios!N730&lt;3,"Rango1","Rango2")</f>
        <v>Rango2</v>
      </c>
    </row>
    <row r="731" spans="1:1" x14ac:dyDescent="0.3">
      <c r="A731" t="str">
        <f>IF(datos_limpios!N731&lt;3,"Rango1","Rango2")</f>
        <v>Rango2</v>
      </c>
    </row>
    <row r="732" spans="1:1" x14ac:dyDescent="0.3">
      <c r="A732" t="str">
        <f>IF(datos_limpios!N732&lt;3,"Rango1","Rango2")</f>
        <v>Rango2</v>
      </c>
    </row>
    <row r="733" spans="1:1" x14ac:dyDescent="0.3">
      <c r="A733" t="str">
        <f>IF(datos_limpios!N733&lt;3,"Rango1","Rango2")</f>
        <v>Rango2</v>
      </c>
    </row>
    <row r="734" spans="1:1" x14ac:dyDescent="0.3">
      <c r="A734" t="str">
        <f>IF(datos_limpios!N734&lt;3,"Rango1","Rango2")</f>
        <v>Rango2</v>
      </c>
    </row>
    <row r="735" spans="1:1" x14ac:dyDescent="0.3">
      <c r="A735" t="str">
        <f>IF(datos_limpios!N735&lt;3,"Rango1","Rango2")</f>
        <v>Rango2</v>
      </c>
    </row>
    <row r="736" spans="1:1" x14ac:dyDescent="0.3">
      <c r="A736" t="str">
        <f>IF(datos_limpios!N736&lt;3,"Rango1","Rango2")</f>
        <v>Rango2</v>
      </c>
    </row>
    <row r="737" spans="1:1" x14ac:dyDescent="0.3">
      <c r="A737" t="str">
        <f>IF(datos_limpios!N737&lt;3,"Rango1","Rango2")</f>
        <v>Rango2</v>
      </c>
    </row>
    <row r="738" spans="1:1" x14ac:dyDescent="0.3">
      <c r="A738" t="str">
        <f>IF(datos_limpios!N738&lt;3,"Rango1","Rango2")</f>
        <v>Rango2</v>
      </c>
    </row>
    <row r="739" spans="1:1" x14ac:dyDescent="0.3">
      <c r="A739" t="str">
        <f>IF(datos_limpios!N739&lt;3,"Rango1","Rango2")</f>
        <v>Rango2</v>
      </c>
    </row>
    <row r="740" spans="1:1" x14ac:dyDescent="0.3">
      <c r="A740" t="str">
        <f>IF(datos_limpios!N740&lt;3,"Rango1","Rango2")</f>
        <v>Rango2</v>
      </c>
    </row>
    <row r="741" spans="1:1" x14ac:dyDescent="0.3">
      <c r="A741" t="str">
        <f>IF(datos_limpios!N741&lt;3,"Rango1","Rango2")</f>
        <v>Rango2</v>
      </c>
    </row>
    <row r="742" spans="1:1" x14ac:dyDescent="0.3">
      <c r="A742" t="str">
        <f>IF(datos_limpios!N742&lt;3,"Rango1","Rango2")</f>
        <v>Rango2</v>
      </c>
    </row>
    <row r="743" spans="1:1" x14ac:dyDescent="0.3">
      <c r="A743" t="str">
        <f>IF(datos_limpios!N743&lt;3,"Rango1","Rango2")</f>
        <v>Rango2</v>
      </c>
    </row>
    <row r="744" spans="1:1" x14ac:dyDescent="0.3">
      <c r="A744" t="str">
        <f>IF(datos_limpios!N744&lt;3,"Rango1","Rango2")</f>
        <v>Rango2</v>
      </c>
    </row>
    <row r="745" spans="1:1" x14ac:dyDescent="0.3">
      <c r="A745" t="str">
        <f>IF(datos_limpios!N745&lt;3,"Rango1","Rango2")</f>
        <v>Rango2</v>
      </c>
    </row>
    <row r="746" spans="1:1" x14ac:dyDescent="0.3">
      <c r="A746" t="str">
        <f>IF(datos_limpios!N746&lt;3,"Rango1","Rango2")</f>
        <v>Rango2</v>
      </c>
    </row>
    <row r="747" spans="1:1" x14ac:dyDescent="0.3">
      <c r="A747" t="str">
        <f>IF(datos_limpios!N747&lt;3,"Rango1","Rango2")</f>
        <v>Rango2</v>
      </c>
    </row>
    <row r="748" spans="1:1" x14ac:dyDescent="0.3">
      <c r="A748" t="str">
        <f>IF(datos_limpios!N748&lt;3,"Rango1","Rango2")</f>
        <v>Rango2</v>
      </c>
    </row>
    <row r="749" spans="1:1" x14ac:dyDescent="0.3">
      <c r="A749" t="str">
        <f>IF(datos_limpios!N749&lt;3,"Rango1","Rango2")</f>
        <v>Rango2</v>
      </c>
    </row>
    <row r="750" spans="1:1" x14ac:dyDescent="0.3">
      <c r="A750" t="str">
        <f>IF(datos_limpios!N750&lt;3,"Rango1","Rango2")</f>
        <v>Rango2</v>
      </c>
    </row>
    <row r="751" spans="1:1" x14ac:dyDescent="0.3">
      <c r="A751" t="str">
        <f>IF(datos_limpios!N751&lt;3,"Rango1","Rango2")</f>
        <v>Rango2</v>
      </c>
    </row>
    <row r="752" spans="1:1" x14ac:dyDescent="0.3">
      <c r="A752" t="str">
        <f>IF(datos_limpios!N752&lt;3,"Rango1","Rango2")</f>
        <v>Rango2</v>
      </c>
    </row>
    <row r="753" spans="1:1" x14ac:dyDescent="0.3">
      <c r="A753" t="str">
        <f>IF(datos_limpios!N753&lt;3,"Rango1","Rango2")</f>
        <v>Rango2</v>
      </c>
    </row>
    <row r="754" spans="1:1" x14ac:dyDescent="0.3">
      <c r="A754" t="str">
        <f>IF(datos_limpios!N754&lt;3,"Rango1","Rango2")</f>
        <v>Rango2</v>
      </c>
    </row>
    <row r="755" spans="1:1" x14ac:dyDescent="0.3">
      <c r="A755" t="str">
        <f>IF(datos_limpios!N755&lt;3,"Rango1","Rango2")</f>
        <v>Rango2</v>
      </c>
    </row>
    <row r="756" spans="1:1" x14ac:dyDescent="0.3">
      <c r="A756" t="str">
        <f>IF(datos_limpios!N756&lt;3,"Rango1","Rango2")</f>
        <v>Rango2</v>
      </c>
    </row>
    <row r="757" spans="1:1" x14ac:dyDescent="0.3">
      <c r="A757" t="str">
        <f>IF(datos_limpios!N757&lt;3,"Rango1","Rango2")</f>
        <v>Rango2</v>
      </c>
    </row>
    <row r="758" spans="1:1" x14ac:dyDescent="0.3">
      <c r="A758" t="str">
        <f>IF(datos_limpios!N758&lt;3,"Rango1","Rango2")</f>
        <v>Rango2</v>
      </c>
    </row>
    <row r="759" spans="1:1" x14ac:dyDescent="0.3">
      <c r="A759" t="str">
        <f>IF(datos_limpios!N759&lt;3,"Rango1","Rango2")</f>
        <v>Rango2</v>
      </c>
    </row>
    <row r="760" spans="1:1" x14ac:dyDescent="0.3">
      <c r="A760" t="str">
        <f>IF(datos_limpios!N760&lt;3,"Rango1","Rango2")</f>
        <v>Rango2</v>
      </c>
    </row>
    <row r="761" spans="1:1" x14ac:dyDescent="0.3">
      <c r="A761" t="str">
        <f>IF(datos_limpios!N761&lt;3,"Rango1","Rango2")</f>
        <v>Rango2</v>
      </c>
    </row>
    <row r="762" spans="1:1" x14ac:dyDescent="0.3">
      <c r="A762" t="str">
        <f>IF(datos_limpios!N762&lt;3,"Rango1","Rango2")</f>
        <v>Rango2</v>
      </c>
    </row>
    <row r="763" spans="1:1" x14ac:dyDescent="0.3">
      <c r="A763" t="str">
        <f>IF(datos_limpios!N763&lt;3,"Rango1","Rango2")</f>
        <v>Rango2</v>
      </c>
    </row>
    <row r="764" spans="1:1" x14ac:dyDescent="0.3">
      <c r="A764" t="str">
        <f>IF(datos_limpios!N764&lt;3,"Rango1","Rango2")</f>
        <v>Rango2</v>
      </c>
    </row>
    <row r="765" spans="1:1" x14ac:dyDescent="0.3">
      <c r="A765" t="str">
        <f>IF(datos_limpios!N765&lt;3,"Rango1","Rango2")</f>
        <v>Rango2</v>
      </c>
    </row>
    <row r="766" spans="1:1" x14ac:dyDescent="0.3">
      <c r="A766" t="str">
        <f>IF(datos_limpios!N766&lt;3,"Rango1","Rango2")</f>
        <v>Rango2</v>
      </c>
    </row>
    <row r="767" spans="1:1" x14ac:dyDescent="0.3">
      <c r="A767" t="str">
        <f>IF(datos_limpios!N767&lt;3,"Rango1","Rango2")</f>
        <v>Rango2</v>
      </c>
    </row>
    <row r="768" spans="1:1" x14ac:dyDescent="0.3">
      <c r="A768" t="str">
        <f>IF(datos_limpios!N768&lt;3,"Rango1","Rango2")</f>
        <v>Rango2</v>
      </c>
    </row>
    <row r="769" spans="1:1" x14ac:dyDescent="0.3">
      <c r="A769" t="str">
        <f>IF(datos_limpios!N769&lt;3,"Rango1","Rango2")</f>
        <v>Rango2</v>
      </c>
    </row>
    <row r="770" spans="1:1" x14ac:dyDescent="0.3">
      <c r="A770" t="str">
        <f>IF(datos_limpios!N770&lt;3,"Rango1","Rango2")</f>
        <v>Rango2</v>
      </c>
    </row>
    <row r="771" spans="1:1" x14ac:dyDescent="0.3">
      <c r="A771" t="str">
        <f>IF(datos_limpios!N771&lt;3,"Rango1","Rango2")</f>
        <v>Rango2</v>
      </c>
    </row>
    <row r="772" spans="1:1" x14ac:dyDescent="0.3">
      <c r="A772" t="str">
        <f>IF(datos_limpios!N772&lt;3,"Rango1","Rango2")</f>
        <v>Rango2</v>
      </c>
    </row>
    <row r="773" spans="1:1" x14ac:dyDescent="0.3">
      <c r="A773" t="str">
        <f>IF(datos_limpios!N773&lt;3,"Rango1","Rango2")</f>
        <v>Rango2</v>
      </c>
    </row>
    <row r="774" spans="1:1" x14ac:dyDescent="0.3">
      <c r="A774" t="str">
        <f>IF(datos_limpios!N774&lt;3,"Rango1","Rango2")</f>
        <v>Rango2</v>
      </c>
    </row>
    <row r="775" spans="1:1" x14ac:dyDescent="0.3">
      <c r="A775" t="str">
        <f>IF(datos_limpios!N775&lt;3,"Rango1","Rango2")</f>
        <v>Rango2</v>
      </c>
    </row>
    <row r="776" spans="1:1" x14ac:dyDescent="0.3">
      <c r="A776" t="str">
        <f>IF(datos_limpios!N776&lt;3,"Rango1","Rango2")</f>
        <v>Rango2</v>
      </c>
    </row>
    <row r="777" spans="1:1" x14ac:dyDescent="0.3">
      <c r="A777" t="str">
        <f>IF(datos_limpios!N777&lt;3,"Rango1","Rango2")</f>
        <v>Rango2</v>
      </c>
    </row>
    <row r="778" spans="1:1" x14ac:dyDescent="0.3">
      <c r="A778" t="str">
        <f>IF(datos_limpios!N778&lt;3,"Rango1","Rango2")</f>
        <v>Rango2</v>
      </c>
    </row>
    <row r="779" spans="1:1" x14ac:dyDescent="0.3">
      <c r="A779" t="str">
        <f>IF(datos_limpios!N779&lt;3,"Rango1","Rango2")</f>
        <v>Rango2</v>
      </c>
    </row>
    <row r="780" spans="1:1" x14ac:dyDescent="0.3">
      <c r="A780" t="str">
        <f>IF(datos_limpios!N780&lt;3,"Rango1","Rango2")</f>
        <v>Rango2</v>
      </c>
    </row>
    <row r="781" spans="1:1" x14ac:dyDescent="0.3">
      <c r="A781" t="str">
        <f>IF(datos_limpios!N781&lt;3,"Rango1","Rango2")</f>
        <v>Rango2</v>
      </c>
    </row>
    <row r="782" spans="1:1" x14ac:dyDescent="0.3">
      <c r="A782" t="str">
        <f>IF(datos_limpios!N782&lt;3,"Rango1","Rango2")</f>
        <v>Rango2</v>
      </c>
    </row>
    <row r="783" spans="1:1" x14ac:dyDescent="0.3">
      <c r="A783" t="str">
        <f>IF(datos_limpios!N783&lt;3,"Rango1","Rango2")</f>
        <v>Rango2</v>
      </c>
    </row>
    <row r="784" spans="1:1" x14ac:dyDescent="0.3">
      <c r="A784" t="str">
        <f>IF(datos_limpios!N784&lt;3,"Rango1","Rango2")</f>
        <v>Rango2</v>
      </c>
    </row>
    <row r="785" spans="1:1" x14ac:dyDescent="0.3">
      <c r="A785" t="str">
        <f>IF(datos_limpios!N785&lt;3,"Rango1","Rango2")</f>
        <v>Rango2</v>
      </c>
    </row>
    <row r="786" spans="1:1" x14ac:dyDescent="0.3">
      <c r="A786" t="str">
        <f>IF(datos_limpios!N786&lt;3,"Rango1","Rango2")</f>
        <v>Rango2</v>
      </c>
    </row>
    <row r="787" spans="1:1" x14ac:dyDescent="0.3">
      <c r="A787" t="str">
        <f>IF(datos_limpios!N787&lt;3,"Rango1","Rango2")</f>
        <v>Rango2</v>
      </c>
    </row>
    <row r="788" spans="1:1" x14ac:dyDescent="0.3">
      <c r="A788" t="str">
        <f>IF(datos_limpios!N788&lt;3,"Rango1","Rango2")</f>
        <v>Rango2</v>
      </c>
    </row>
    <row r="789" spans="1:1" x14ac:dyDescent="0.3">
      <c r="A789" t="str">
        <f>IF(datos_limpios!N789&lt;3,"Rango1","Rango2")</f>
        <v>Rango2</v>
      </c>
    </row>
    <row r="790" spans="1:1" x14ac:dyDescent="0.3">
      <c r="A790" t="str">
        <f>IF(datos_limpios!N790&lt;3,"Rango1","Rango2")</f>
        <v>Rango2</v>
      </c>
    </row>
    <row r="791" spans="1:1" x14ac:dyDescent="0.3">
      <c r="A791" t="str">
        <f>IF(datos_limpios!N791&lt;3,"Rango1","Rango2")</f>
        <v>Rango2</v>
      </c>
    </row>
    <row r="792" spans="1:1" x14ac:dyDescent="0.3">
      <c r="A792" t="str">
        <f>IF(datos_limpios!N792&lt;3,"Rango1","Rango2")</f>
        <v>Rango2</v>
      </c>
    </row>
    <row r="793" spans="1:1" x14ac:dyDescent="0.3">
      <c r="A793" t="str">
        <f>IF(datos_limpios!N793&lt;3,"Rango1","Rango2")</f>
        <v>Rango2</v>
      </c>
    </row>
    <row r="794" spans="1:1" x14ac:dyDescent="0.3">
      <c r="A794" t="str">
        <f>IF(datos_limpios!N794&lt;3,"Rango1","Rango2")</f>
        <v>Rango2</v>
      </c>
    </row>
    <row r="795" spans="1:1" x14ac:dyDescent="0.3">
      <c r="A795" t="str">
        <f>IF(datos_limpios!N795&lt;3,"Rango1","Rango2")</f>
        <v>Rango2</v>
      </c>
    </row>
    <row r="796" spans="1:1" x14ac:dyDescent="0.3">
      <c r="A796" t="str">
        <f>IF(datos_limpios!N796&lt;3,"Rango1","Rango2")</f>
        <v>Rango2</v>
      </c>
    </row>
    <row r="797" spans="1:1" x14ac:dyDescent="0.3">
      <c r="A797" t="str">
        <f>IF(datos_limpios!N797&lt;3,"Rango1","Rango2")</f>
        <v>Rango2</v>
      </c>
    </row>
    <row r="798" spans="1:1" x14ac:dyDescent="0.3">
      <c r="A798" t="str">
        <f>IF(datos_limpios!N798&lt;3,"Rango1","Rango2")</f>
        <v>Rango2</v>
      </c>
    </row>
    <row r="799" spans="1:1" x14ac:dyDescent="0.3">
      <c r="A799" t="str">
        <f>IF(datos_limpios!N799&lt;3,"Rango1","Rango2")</f>
        <v>Rango2</v>
      </c>
    </row>
    <row r="800" spans="1:1" x14ac:dyDescent="0.3">
      <c r="A800" t="str">
        <f>IF(datos_limpios!N800&lt;3,"Rango1","Rango2")</f>
        <v>Rango2</v>
      </c>
    </row>
    <row r="801" spans="1:1" x14ac:dyDescent="0.3">
      <c r="A801" t="str">
        <f>IF(datos_limpios!N801&lt;3,"Rango1","Rango2")</f>
        <v>Rango2</v>
      </c>
    </row>
    <row r="802" spans="1:1" x14ac:dyDescent="0.3">
      <c r="A802" t="str">
        <f>IF(datos_limpios!N802&lt;3,"Rango1","Rango2")</f>
        <v>Rango2</v>
      </c>
    </row>
    <row r="803" spans="1:1" x14ac:dyDescent="0.3">
      <c r="A803" t="str">
        <f>IF(datos_limpios!N803&lt;3,"Rango1","Rango2")</f>
        <v>Rango2</v>
      </c>
    </row>
    <row r="804" spans="1:1" x14ac:dyDescent="0.3">
      <c r="A804" t="str">
        <f>IF(datos_limpios!N804&lt;3,"Rango1","Rango2")</f>
        <v>Rango2</v>
      </c>
    </row>
    <row r="805" spans="1:1" x14ac:dyDescent="0.3">
      <c r="A805" t="str">
        <f>IF(datos_limpios!N805&lt;3,"Rango1","Rango2")</f>
        <v>Rango2</v>
      </c>
    </row>
    <row r="806" spans="1:1" x14ac:dyDescent="0.3">
      <c r="A806" t="str">
        <f>IF(datos_limpios!N806&lt;3,"Rango1","Rango2")</f>
        <v>Rango2</v>
      </c>
    </row>
    <row r="807" spans="1:1" x14ac:dyDescent="0.3">
      <c r="A807" t="str">
        <f>IF(datos_limpios!N807&lt;3,"Rango1","Rango2")</f>
        <v>Rango2</v>
      </c>
    </row>
    <row r="808" spans="1:1" x14ac:dyDescent="0.3">
      <c r="A808" t="str">
        <f>IF(datos_limpios!N808&lt;3,"Rango1","Rango2")</f>
        <v>Rango2</v>
      </c>
    </row>
    <row r="809" spans="1:1" x14ac:dyDescent="0.3">
      <c r="A809" t="str">
        <f>IF(datos_limpios!N809&lt;3,"Rango1","Rango2")</f>
        <v>Rango2</v>
      </c>
    </row>
    <row r="810" spans="1:1" x14ac:dyDescent="0.3">
      <c r="A810" t="str">
        <f>IF(datos_limpios!N810&lt;3,"Rango1","Rango2")</f>
        <v>Rango2</v>
      </c>
    </row>
    <row r="811" spans="1:1" x14ac:dyDescent="0.3">
      <c r="A811" t="str">
        <f>IF(datos_limpios!N811&lt;3,"Rango1","Rango2")</f>
        <v>Rango2</v>
      </c>
    </row>
    <row r="812" spans="1:1" x14ac:dyDescent="0.3">
      <c r="A812" t="str">
        <f>IF(datos_limpios!N812&lt;3,"Rango1","Rango2")</f>
        <v>Rango2</v>
      </c>
    </row>
    <row r="813" spans="1:1" x14ac:dyDescent="0.3">
      <c r="A813" t="str">
        <f>IF(datos_limpios!N813&lt;3,"Rango1","Rango2")</f>
        <v>Rango2</v>
      </c>
    </row>
    <row r="814" spans="1:1" x14ac:dyDescent="0.3">
      <c r="A814" t="str">
        <f>IF(datos_limpios!N814&lt;3,"Rango1","Rango2")</f>
        <v>Rango2</v>
      </c>
    </row>
    <row r="815" spans="1:1" x14ac:dyDescent="0.3">
      <c r="A815" t="str">
        <f>IF(datos_limpios!N815&lt;3,"Rango1","Rango2")</f>
        <v>Rango2</v>
      </c>
    </row>
    <row r="816" spans="1:1" x14ac:dyDescent="0.3">
      <c r="A816" t="str">
        <f>IF(datos_limpios!N816&lt;3,"Rango1","Rango2")</f>
        <v>Rango2</v>
      </c>
    </row>
    <row r="817" spans="1:1" x14ac:dyDescent="0.3">
      <c r="A817" t="str">
        <f>IF(datos_limpios!N817&lt;3,"Rango1","Rango2")</f>
        <v>Rango2</v>
      </c>
    </row>
    <row r="818" spans="1:1" x14ac:dyDescent="0.3">
      <c r="A818" t="str">
        <f>IF(datos_limpios!N818&lt;3,"Rango1","Rango2")</f>
        <v>Rango2</v>
      </c>
    </row>
    <row r="819" spans="1:1" x14ac:dyDescent="0.3">
      <c r="A819" t="str">
        <f>IF(datos_limpios!N819&lt;3,"Rango1","Rango2")</f>
        <v>Rango2</v>
      </c>
    </row>
    <row r="820" spans="1:1" x14ac:dyDescent="0.3">
      <c r="A820" t="str">
        <f>IF(datos_limpios!N820&lt;3,"Rango1","Rango2")</f>
        <v>Rango2</v>
      </c>
    </row>
    <row r="821" spans="1:1" x14ac:dyDescent="0.3">
      <c r="A821" t="str">
        <f>IF(datos_limpios!N821&lt;3,"Rango1","Rango2")</f>
        <v>Rango2</v>
      </c>
    </row>
    <row r="822" spans="1:1" x14ac:dyDescent="0.3">
      <c r="A822" t="str">
        <f>IF(datos_limpios!N822&lt;3,"Rango1","Rango2")</f>
        <v>Rango2</v>
      </c>
    </row>
    <row r="823" spans="1:1" x14ac:dyDescent="0.3">
      <c r="A823" t="str">
        <f>IF(datos_limpios!N823&lt;3,"Rango1","Rango2")</f>
        <v>Rango2</v>
      </c>
    </row>
    <row r="824" spans="1:1" x14ac:dyDescent="0.3">
      <c r="A824" t="str">
        <f>IF(datos_limpios!N824&lt;3,"Rango1","Rango2")</f>
        <v>Rango2</v>
      </c>
    </row>
    <row r="825" spans="1:1" x14ac:dyDescent="0.3">
      <c r="A825" t="str">
        <f>IF(datos_limpios!N825&lt;3,"Rango1","Rango2")</f>
        <v>Rango2</v>
      </c>
    </row>
    <row r="826" spans="1:1" x14ac:dyDescent="0.3">
      <c r="A826" t="str">
        <f>IF(datos_limpios!N826&lt;3,"Rango1","Rango2")</f>
        <v>Rango2</v>
      </c>
    </row>
    <row r="827" spans="1:1" x14ac:dyDescent="0.3">
      <c r="A827" t="str">
        <f>IF(datos_limpios!N827&lt;3,"Rango1","Rango2")</f>
        <v>Rango2</v>
      </c>
    </row>
    <row r="828" spans="1:1" x14ac:dyDescent="0.3">
      <c r="A828" t="str">
        <f>IF(datos_limpios!N828&lt;3,"Rango1","Rango2")</f>
        <v>Rango2</v>
      </c>
    </row>
    <row r="829" spans="1:1" x14ac:dyDescent="0.3">
      <c r="A829" t="str">
        <f>IF(datos_limpios!N829&lt;3,"Rango1","Rango2")</f>
        <v>Rango2</v>
      </c>
    </row>
    <row r="830" spans="1:1" x14ac:dyDescent="0.3">
      <c r="A830" t="str">
        <f>IF(datos_limpios!N830&lt;3,"Rango1","Rango2")</f>
        <v>Rango2</v>
      </c>
    </row>
    <row r="831" spans="1:1" x14ac:dyDescent="0.3">
      <c r="A831" t="str">
        <f>IF(datos_limpios!N831&lt;3,"Rango1","Rango2")</f>
        <v>Rango2</v>
      </c>
    </row>
    <row r="832" spans="1:1" x14ac:dyDescent="0.3">
      <c r="A832" t="str">
        <f>IF(datos_limpios!N832&lt;3,"Rango1","Rango2")</f>
        <v>Rango2</v>
      </c>
    </row>
    <row r="833" spans="1:1" x14ac:dyDescent="0.3">
      <c r="A833" t="str">
        <f>IF(datos_limpios!N833&lt;3,"Rango1","Rango2")</f>
        <v>Rango2</v>
      </c>
    </row>
    <row r="834" spans="1:1" x14ac:dyDescent="0.3">
      <c r="A834" t="str">
        <f>IF(datos_limpios!N834&lt;3,"Rango1","Rango2")</f>
        <v>Rango2</v>
      </c>
    </row>
    <row r="835" spans="1:1" x14ac:dyDescent="0.3">
      <c r="A835" t="str">
        <f>IF(datos_limpios!N835&lt;3,"Rango1","Rango2")</f>
        <v>Rango2</v>
      </c>
    </row>
    <row r="836" spans="1:1" x14ac:dyDescent="0.3">
      <c r="A836" t="str">
        <f>IF(datos_limpios!N836&lt;3,"Rango1","Rango2")</f>
        <v>Rango2</v>
      </c>
    </row>
    <row r="837" spans="1:1" x14ac:dyDescent="0.3">
      <c r="A837" t="str">
        <f>IF(datos_limpios!N837&lt;3,"Rango1","Rango2")</f>
        <v>Rango2</v>
      </c>
    </row>
    <row r="838" spans="1:1" x14ac:dyDescent="0.3">
      <c r="A838" t="str">
        <f>IF(datos_limpios!N838&lt;3,"Rango1","Rango2")</f>
        <v>Rango2</v>
      </c>
    </row>
    <row r="839" spans="1:1" x14ac:dyDescent="0.3">
      <c r="A839" t="str">
        <f>IF(datos_limpios!N839&lt;3,"Rango1","Rango2")</f>
        <v>Rango2</v>
      </c>
    </row>
    <row r="840" spans="1:1" x14ac:dyDescent="0.3">
      <c r="A840" t="str">
        <f>IF(datos_limpios!N840&lt;3,"Rango1","Rango2")</f>
        <v>Rango2</v>
      </c>
    </row>
    <row r="841" spans="1:1" x14ac:dyDescent="0.3">
      <c r="A841" t="str">
        <f>IF(datos_limpios!N841&lt;3,"Rango1","Rango2")</f>
        <v>Rango2</v>
      </c>
    </row>
    <row r="842" spans="1:1" x14ac:dyDescent="0.3">
      <c r="A842" t="str">
        <f>IF(datos_limpios!N842&lt;3,"Rango1","Rango2")</f>
        <v>Rango2</v>
      </c>
    </row>
    <row r="843" spans="1:1" x14ac:dyDescent="0.3">
      <c r="A843" t="str">
        <f>IF(datos_limpios!N843&lt;3,"Rango1","Rango2")</f>
        <v>Rango2</v>
      </c>
    </row>
    <row r="844" spans="1:1" x14ac:dyDescent="0.3">
      <c r="A844" t="str">
        <f>IF(datos_limpios!N844&lt;3,"Rango1","Rango2")</f>
        <v>Rango2</v>
      </c>
    </row>
    <row r="845" spans="1:1" x14ac:dyDescent="0.3">
      <c r="A845" t="str">
        <f>IF(datos_limpios!N845&lt;3,"Rango1","Rango2")</f>
        <v>Rango2</v>
      </c>
    </row>
    <row r="846" spans="1:1" x14ac:dyDescent="0.3">
      <c r="A846" t="str">
        <f>IF(datos_limpios!N846&lt;3,"Rango1","Rango2")</f>
        <v>Rango2</v>
      </c>
    </row>
    <row r="847" spans="1:1" x14ac:dyDescent="0.3">
      <c r="A847" t="str">
        <f>IF(datos_limpios!N847&lt;3,"Rango1","Rango2")</f>
        <v>Rango2</v>
      </c>
    </row>
    <row r="848" spans="1:1" x14ac:dyDescent="0.3">
      <c r="A848" t="str">
        <f>IF(datos_limpios!N848&lt;3,"Rango1","Rango2")</f>
        <v>Rango2</v>
      </c>
    </row>
    <row r="849" spans="1:1" x14ac:dyDescent="0.3">
      <c r="A849" t="str">
        <f>IF(datos_limpios!N849&lt;3,"Rango1","Rango2")</f>
        <v>Rango2</v>
      </c>
    </row>
    <row r="850" spans="1:1" x14ac:dyDescent="0.3">
      <c r="A850" t="str">
        <f>IF(datos_limpios!N850&lt;3,"Rango1","Rango2")</f>
        <v>Rango2</v>
      </c>
    </row>
    <row r="851" spans="1:1" x14ac:dyDescent="0.3">
      <c r="A851" t="str">
        <f>IF(datos_limpios!N851&lt;3,"Rango1","Rango2")</f>
        <v>Rango2</v>
      </c>
    </row>
    <row r="852" spans="1:1" x14ac:dyDescent="0.3">
      <c r="A852" t="str">
        <f>IF(datos_limpios!N852&lt;3,"Rango1","Rango2")</f>
        <v>Rango2</v>
      </c>
    </row>
    <row r="853" spans="1:1" x14ac:dyDescent="0.3">
      <c r="A853" t="str">
        <f>IF(datos_limpios!N853&lt;3,"Rango1","Rango2")</f>
        <v>Rango2</v>
      </c>
    </row>
    <row r="854" spans="1:1" x14ac:dyDescent="0.3">
      <c r="A854" t="str">
        <f>IF(datos_limpios!N854&lt;3,"Rango1","Rango2")</f>
        <v>Rango2</v>
      </c>
    </row>
    <row r="855" spans="1:1" x14ac:dyDescent="0.3">
      <c r="A855" t="str">
        <f>IF(datos_limpios!N855&lt;3,"Rango1","Rango2")</f>
        <v>Rango2</v>
      </c>
    </row>
    <row r="856" spans="1:1" x14ac:dyDescent="0.3">
      <c r="A856" t="str">
        <f>IF(datos_limpios!N856&lt;3,"Rango1","Rango2")</f>
        <v>Rango2</v>
      </c>
    </row>
    <row r="857" spans="1:1" x14ac:dyDescent="0.3">
      <c r="A857" t="str">
        <f>IF(datos_limpios!N857&lt;3,"Rango1","Rango2")</f>
        <v>Rango2</v>
      </c>
    </row>
    <row r="858" spans="1:1" x14ac:dyDescent="0.3">
      <c r="A858" t="str">
        <f>IF(datos_limpios!N858&lt;3,"Rango1","Rango2")</f>
        <v>Rango2</v>
      </c>
    </row>
    <row r="859" spans="1:1" x14ac:dyDescent="0.3">
      <c r="A859" t="str">
        <f>IF(datos_limpios!N859&lt;3,"Rango1","Rango2")</f>
        <v>Rango2</v>
      </c>
    </row>
    <row r="860" spans="1:1" x14ac:dyDescent="0.3">
      <c r="A860" t="str">
        <f>IF(datos_limpios!N860&lt;3,"Rango1","Rango2")</f>
        <v>Rango2</v>
      </c>
    </row>
    <row r="861" spans="1:1" x14ac:dyDescent="0.3">
      <c r="A861" t="str">
        <f>IF(datos_limpios!N861&lt;3,"Rango1","Rango2")</f>
        <v>Rango2</v>
      </c>
    </row>
    <row r="862" spans="1:1" x14ac:dyDescent="0.3">
      <c r="A862" t="str">
        <f>IF(datos_limpios!N862&lt;3,"Rango1","Rango2")</f>
        <v>Rango2</v>
      </c>
    </row>
    <row r="863" spans="1:1" x14ac:dyDescent="0.3">
      <c r="A863" t="str">
        <f>IF(datos_limpios!N863&lt;3,"Rango1","Rango2")</f>
        <v>Rango2</v>
      </c>
    </row>
    <row r="864" spans="1:1" x14ac:dyDescent="0.3">
      <c r="A864" t="str">
        <f>IF(datos_limpios!N864&lt;3,"Rango1","Rango2")</f>
        <v>Rango2</v>
      </c>
    </row>
    <row r="865" spans="1:1" x14ac:dyDescent="0.3">
      <c r="A865" t="str">
        <f>IF(datos_limpios!N865&lt;3,"Rango1","Rango2")</f>
        <v>Rango2</v>
      </c>
    </row>
    <row r="866" spans="1:1" x14ac:dyDescent="0.3">
      <c r="A866" t="str">
        <f>IF(datos_limpios!N866&lt;3,"Rango1","Rango2")</f>
        <v>Rango2</v>
      </c>
    </row>
    <row r="867" spans="1:1" x14ac:dyDescent="0.3">
      <c r="A867" t="str">
        <f>IF(datos_limpios!N867&lt;3,"Rango1","Rango2")</f>
        <v>Rango2</v>
      </c>
    </row>
    <row r="868" spans="1:1" x14ac:dyDescent="0.3">
      <c r="A868" t="str">
        <f>IF(datos_limpios!N868&lt;3,"Rango1","Rango2")</f>
        <v>Rango2</v>
      </c>
    </row>
    <row r="869" spans="1:1" x14ac:dyDescent="0.3">
      <c r="A869" t="str">
        <f>IF(datos_limpios!N869&lt;3,"Rango1","Rango2")</f>
        <v>Rango2</v>
      </c>
    </row>
    <row r="870" spans="1:1" x14ac:dyDescent="0.3">
      <c r="A870" t="str">
        <f>IF(datos_limpios!N870&lt;3,"Rango1","Rango2")</f>
        <v>Rango2</v>
      </c>
    </row>
    <row r="871" spans="1:1" x14ac:dyDescent="0.3">
      <c r="A871" t="str">
        <f>IF(datos_limpios!N871&lt;3,"Rango1","Rango2")</f>
        <v>Rango2</v>
      </c>
    </row>
    <row r="872" spans="1:1" x14ac:dyDescent="0.3">
      <c r="A872" t="str">
        <f>IF(datos_limpios!N872&lt;3,"Rango1","Rango2")</f>
        <v>Rango2</v>
      </c>
    </row>
    <row r="873" spans="1:1" x14ac:dyDescent="0.3">
      <c r="A873" t="str">
        <f>IF(datos_limpios!N873&lt;3,"Rango1","Rango2")</f>
        <v>Rango2</v>
      </c>
    </row>
    <row r="874" spans="1:1" x14ac:dyDescent="0.3">
      <c r="A874" t="str">
        <f>IF(datos_limpios!N874&lt;3,"Rango1","Rango2")</f>
        <v>Rango2</v>
      </c>
    </row>
    <row r="875" spans="1:1" x14ac:dyDescent="0.3">
      <c r="A875" t="str">
        <f>IF(datos_limpios!N875&lt;3,"Rango1","Rango2")</f>
        <v>Rango2</v>
      </c>
    </row>
    <row r="876" spans="1:1" x14ac:dyDescent="0.3">
      <c r="A876" t="str">
        <f>IF(datos_limpios!N876&lt;3,"Rango1","Rango2")</f>
        <v>Rango2</v>
      </c>
    </row>
    <row r="877" spans="1:1" x14ac:dyDescent="0.3">
      <c r="A877" t="str">
        <f>IF(datos_limpios!N877&lt;3,"Rango1","Rango2")</f>
        <v>Rango2</v>
      </c>
    </row>
    <row r="878" spans="1:1" x14ac:dyDescent="0.3">
      <c r="A878" t="str">
        <f>IF(datos_limpios!N878&lt;3,"Rango1","Rango2")</f>
        <v>Rango2</v>
      </c>
    </row>
    <row r="879" spans="1:1" x14ac:dyDescent="0.3">
      <c r="A879" t="str">
        <f>IF(datos_limpios!N879&lt;3,"Rango1","Rango2")</f>
        <v>Rango2</v>
      </c>
    </row>
    <row r="880" spans="1:1" x14ac:dyDescent="0.3">
      <c r="A880" t="str">
        <f>IF(datos_limpios!N880&lt;3,"Rango1","Rango2")</f>
        <v>Rango2</v>
      </c>
    </row>
    <row r="881" spans="1:1" x14ac:dyDescent="0.3">
      <c r="A881" t="str">
        <f>IF(datos_limpios!N881&lt;3,"Rango1","Rango2")</f>
        <v>Rango2</v>
      </c>
    </row>
    <row r="882" spans="1:1" x14ac:dyDescent="0.3">
      <c r="A882" t="str">
        <f>IF(datos_limpios!N882&lt;3,"Rango1","Rango2")</f>
        <v>Rango2</v>
      </c>
    </row>
    <row r="883" spans="1:1" x14ac:dyDescent="0.3">
      <c r="A883" t="str">
        <f>IF(datos_limpios!N883&lt;3,"Rango1","Rango2")</f>
        <v>Rango2</v>
      </c>
    </row>
    <row r="884" spans="1:1" x14ac:dyDescent="0.3">
      <c r="A884" t="str">
        <f>IF(datos_limpios!N884&lt;3,"Rango1","Rango2")</f>
        <v>Rango2</v>
      </c>
    </row>
    <row r="885" spans="1:1" x14ac:dyDescent="0.3">
      <c r="A885" t="str">
        <f>IF(datos_limpios!N885&lt;3,"Rango1","Rango2")</f>
        <v>Rango2</v>
      </c>
    </row>
    <row r="886" spans="1:1" x14ac:dyDescent="0.3">
      <c r="A886" t="str">
        <f>IF(datos_limpios!N886&lt;3,"Rango1","Rango2")</f>
        <v>Rango2</v>
      </c>
    </row>
    <row r="887" spans="1:1" x14ac:dyDescent="0.3">
      <c r="A887" t="str">
        <f>IF(datos_limpios!N887&lt;3,"Rango1","Rango2")</f>
        <v>Rango2</v>
      </c>
    </row>
    <row r="888" spans="1:1" x14ac:dyDescent="0.3">
      <c r="A888" t="str">
        <f>IF(datos_limpios!N888&lt;3,"Rango1","Rango2")</f>
        <v>Rango2</v>
      </c>
    </row>
    <row r="889" spans="1:1" x14ac:dyDescent="0.3">
      <c r="A889" t="str">
        <f>IF(datos_limpios!N889&lt;3,"Rango1","Rango2")</f>
        <v>Rango2</v>
      </c>
    </row>
    <row r="890" spans="1:1" x14ac:dyDescent="0.3">
      <c r="A890" t="str">
        <f>IF(datos_limpios!N890&lt;3,"Rango1","Rango2")</f>
        <v>Rango2</v>
      </c>
    </row>
    <row r="891" spans="1:1" x14ac:dyDescent="0.3">
      <c r="A891" t="str">
        <f>IF(datos_limpios!N891&lt;3,"Rango1","Rango2")</f>
        <v>Rango2</v>
      </c>
    </row>
    <row r="892" spans="1:1" x14ac:dyDescent="0.3">
      <c r="A892" t="str">
        <f>IF(datos_limpios!N892&lt;3,"Rango1","Rango2")</f>
        <v>Rango2</v>
      </c>
    </row>
    <row r="893" spans="1:1" x14ac:dyDescent="0.3">
      <c r="A893" t="str">
        <f>IF(datos_limpios!N893&lt;3,"Rango1","Rango2")</f>
        <v>Rango2</v>
      </c>
    </row>
    <row r="894" spans="1:1" x14ac:dyDescent="0.3">
      <c r="A894" t="str">
        <f>IF(datos_limpios!N894&lt;3,"Rango1","Rango2")</f>
        <v>Rango2</v>
      </c>
    </row>
    <row r="895" spans="1:1" x14ac:dyDescent="0.3">
      <c r="A895" t="str">
        <f>IF(datos_limpios!N895&lt;3,"Rango1","Rango2")</f>
        <v>Rango2</v>
      </c>
    </row>
    <row r="896" spans="1:1" x14ac:dyDescent="0.3">
      <c r="A896" t="str">
        <f>IF(datos_limpios!N896&lt;3,"Rango1","Rango2")</f>
        <v>Rango2</v>
      </c>
    </row>
    <row r="897" spans="1:1" x14ac:dyDescent="0.3">
      <c r="A897" t="str">
        <f>IF(datos_limpios!N897&lt;3,"Rango1","Rango2")</f>
        <v>Rango2</v>
      </c>
    </row>
    <row r="898" spans="1:1" x14ac:dyDescent="0.3">
      <c r="A898" t="str">
        <f>IF(datos_limpios!N898&lt;3,"Rango1","Rango2")</f>
        <v>Rango2</v>
      </c>
    </row>
    <row r="899" spans="1:1" x14ac:dyDescent="0.3">
      <c r="A899" t="str">
        <f>IF(datos_limpios!N899&lt;3,"Rango1","Rango2")</f>
        <v>Rango2</v>
      </c>
    </row>
    <row r="900" spans="1:1" x14ac:dyDescent="0.3">
      <c r="A900" t="str">
        <f>IF(datos_limpios!N900&lt;3,"Rango1","Rango2")</f>
        <v>Rango2</v>
      </c>
    </row>
    <row r="901" spans="1:1" x14ac:dyDescent="0.3">
      <c r="A901" t="str">
        <f>IF(datos_limpios!N901&lt;3,"Rango1","Rango2")</f>
        <v>Rango2</v>
      </c>
    </row>
    <row r="902" spans="1:1" x14ac:dyDescent="0.3">
      <c r="A902" t="str">
        <f>IF(datos_limpios!N902&lt;3,"Rango1","Rango2")</f>
        <v>Rango2</v>
      </c>
    </row>
    <row r="903" spans="1:1" x14ac:dyDescent="0.3">
      <c r="A903" t="str">
        <f>IF(datos_limpios!N903&lt;3,"Rango1","Rango2")</f>
        <v>Rango2</v>
      </c>
    </row>
    <row r="904" spans="1:1" x14ac:dyDescent="0.3">
      <c r="A904" t="str">
        <f>IF(datos_limpios!N904&lt;3,"Rango1","Rango2")</f>
        <v>Rango2</v>
      </c>
    </row>
    <row r="905" spans="1:1" x14ac:dyDescent="0.3">
      <c r="A905" t="str">
        <f>IF(datos_limpios!N905&lt;3,"Rango1","Rango2")</f>
        <v>Rango2</v>
      </c>
    </row>
    <row r="906" spans="1:1" x14ac:dyDescent="0.3">
      <c r="A906" t="str">
        <f>IF(datos_limpios!N906&lt;3,"Rango1","Rango2")</f>
        <v>Rango2</v>
      </c>
    </row>
    <row r="907" spans="1:1" x14ac:dyDescent="0.3">
      <c r="A907" t="str">
        <f>IF(datos_limpios!N907&lt;3,"Rango1","Rango2")</f>
        <v>Rango2</v>
      </c>
    </row>
    <row r="908" spans="1:1" x14ac:dyDescent="0.3">
      <c r="A908" t="str">
        <f>IF(datos_limpios!N908&lt;3,"Rango1","Rango2")</f>
        <v>Rango2</v>
      </c>
    </row>
    <row r="909" spans="1:1" x14ac:dyDescent="0.3">
      <c r="A909" t="str">
        <f>IF(datos_limpios!N909&lt;3,"Rango1","Rango2")</f>
        <v>Rango2</v>
      </c>
    </row>
    <row r="910" spans="1:1" x14ac:dyDescent="0.3">
      <c r="A910" t="str">
        <f>IF(datos_limpios!N910&lt;3,"Rango1","Rango2")</f>
        <v>Rango2</v>
      </c>
    </row>
    <row r="911" spans="1:1" x14ac:dyDescent="0.3">
      <c r="A911" t="str">
        <f>IF(datos_limpios!N911&lt;3,"Rango1","Rango2")</f>
        <v>Rango2</v>
      </c>
    </row>
    <row r="912" spans="1:1" x14ac:dyDescent="0.3">
      <c r="A912" t="str">
        <f>IF(datos_limpios!N912&lt;3,"Rango1","Rango2")</f>
        <v>Rango2</v>
      </c>
    </row>
    <row r="913" spans="1:1" x14ac:dyDescent="0.3">
      <c r="A913" t="str">
        <f>IF(datos_limpios!N913&lt;3,"Rango1","Rango2")</f>
        <v>Rango2</v>
      </c>
    </row>
    <row r="914" spans="1:1" x14ac:dyDescent="0.3">
      <c r="A914" t="str">
        <f>IF(datos_limpios!N914&lt;3,"Rango1","Rango2")</f>
        <v>Rango2</v>
      </c>
    </row>
    <row r="915" spans="1:1" x14ac:dyDescent="0.3">
      <c r="A915" t="str">
        <f>IF(datos_limpios!N915&lt;3,"Rango1","Rango2")</f>
        <v>Rango2</v>
      </c>
    </row>
    <row r="916" spans="1:1" x14ac:dyDescent="0.3">
      <c r="A916" t="str">
        <f>IF(datos_limpios!N916&lt;3,"Rango1","Rango2")</f>
        <v>Rango2</v>
      </c>
    </row>
    <row r="917" spans="1:1" x14ac:dyDescent="0.3">
      <c r="A917" t="str">
        <f>IF(datos_limpios!N917&lt;3,"Rango1","Rango2")</f>
        <v>Rango2</v>
      </c>
    </row>
    <row r="918" spans="1:1" x14ac:dyDescent="0.3">
      <c r="A918" t="str">
        <f>IF(datos_limpios!N918&lt;3,"Rango1","Rango2")</f>
        <v>Rango2</v>
      </c>
    </row>
    <row r="919" spans="1:1" x14ac:dyDescent="0.3">
      <c r="A919" t="str">
        <f>IF(datos_limpios!N919&lt;3,"Rango1","Rango2")</f>
        <v>Rango2</v>
      </c>
    </row>
    <row r="920" spans="1:1" x14ac:dyDescent="0.3">
      <c r="A920" t="str">
        <f>IF(datos_limpios!N920&lt;3,"Rango1","Rango2")</f>
        <v>Rango2</v>
      </c>
    </row>
    <row r="921" spans="1:1" x14ac:dyDescent="0.3">
      <c r="A921" t="str">
        <f>IF(datos_limpios!N921&lt;3,"Rango1","Rango2")</f>
        <v>Rango2</v>
      </c>
    </row>
    <row r="922" spans="1:1" x14ac:dyDescent="0.3">
      <c r="A922" t="str">
        <f>IF(datos_limpios!N922&lt;3,"Rango1","Rango2")</f>
        <v>Rango2</v>
      </c>
    </row>
    <row r="923" spans="1:1" x14ac:dyDescent="0.3">
      <c r="A923" t="str">
        <f>IF(datos_limpios!N923&lt;3,"Rango1","Rango2")</f>
        <v>Rango2</v>
      </c>
    </row>
    <row r="924" spans="1:1" x14ac:dyDescent="0.3">
      <c r="A924" t="str">
        <f>IF(datos_limpios!N924&lt;3,"Rango1","Rango2")</f>
        <v>Rango2</v>
      </c>
    </row>
    <row r="925" spans="1:1" x14ac:dyDescent="0.3">
      <c r="A925" t="str">
        <f>IF(datos_limpios!N925&lt;3,"Rango1","Rango2")</f>
        <v>Rango2</v>
      </c>
    </row>
    <row r="926" spans="1:1" x14ac:dyDescent="0.3">
      <c r="A926" t="str">
        <f>IF(datos_limpios!N926&lt;3,"Rango1","Rango2")</f>
        <v>Rango2</v>
      </c>
    </row>
    <row r="927" spans="1:1" x14ac:dyDescent="0.3">
      <c r="A927" t="str">
        <f>IF(datos_limpios!N927&lt;3,"Rango1","Rango2")</f>
        <v>Rango2</v>
      </c>
    </row>
    <row r="928" spans="1:1" x14ac:dyDescent="0.3">
      <c r="A928" t="str">
        <f>IF(datos_limpios!N928&lt;3,"Rango1","Rango2")</f>
        <v>Rango2</v>
      </c>
    </row>
    <row r="929" spans="1:1" x14ac:dyDescent="0.3">
      <c r="A929" t="str">
        <f>IF(datos_limpios!N929&lt;3,"Rango1","Rango2")</f>
        <v>Rango2</v>
      </c>
    </row>
    <row r="930" spans="1:1" x14ac:dyDescent="0.3">
      <c r="A930" t="str">
        <f>IF(datos_limpios!N930&lt;3,"Rango1","Rango2")</f>
        <v>Rango2</v>
      </c>
    </row>
    <row r="931" spans="1:1" x14ac:dyDescent="0.3">
      <c r="A931" t="str">
        <f>IF(datos_limpios!N931&lt;3,"Rango1","Rango2")</f>
        <v>Rango2</v>
      </c>
    </row>
    <row r="932" spans="1:1" x14ac:dyDescent="0.3">
      <c r="A932" t="str">
        <f>IF(datos_limpios!N932&lt;3,"Rango1","Rango2")</f>
        <v>Rango2</v>
      </c>
    </row>
    <row r="933" spans="1:1" x14ac:dyDescent="0.3">
      <c r="A933" t="str">
        <f>IF(datos_limpios!N933&lt;3,"Rango1","Rango2")</f>
        <v>Rango2</v>
      </c>
    </row>
    <row r="934" spans="1:1" x14ac:dyDescent="0.3">
      <c r="A934" t="str">
        <f>IF(datos_limpios!N934&lt;3,"Rango1","Rango2")</f>
        <v>Rango2</v>
      </c>
    </row>
    <row r="935" spans="1:1" x14ac:dyDescent="0.3">
      <c r="A935" t="str">
        <f>IF(datos_limpios!N935&lt;3,"Rango1","Rango2")</f>
        <v>Rango2</v>
      </c>
    </row>
    <row r="936" spans="1:1" x14ac:dyDescent="0.3">
      <c r="A936" t="str">
        <f>IF(datos_limpios!N936&lt;3,"Rango1","Rango2")</f>
        <v>Rango2</v>
      </c>
    </row>
    <row r="937" spans="1:1" x14ac:dyDescent="0.3">
      <c r="A937" t="str">
        <f>IF(datos_limpios!N937&lt;3,"Rango1","Rango2")</f>
        <v>Rango2</v>
      </c>
    </row>
    <row r="938" spans="1:1" x14ac:dyDescent="0.3">
      <c r="A938" t="str">
        <f>IF(datos_limpios!N938&lt;3,"Rango1","Rango2")</f>
        <v>Rango2</v>
      </c>
    </row>
    <row r="939" spans="1:1" x14ac:dyDescent="0.3">
      <c r="A939" t="str">
        <f>IF(datos_limpios!N939&lt;3,"Rango1","Rango2")</f>
        <v>Rango2</v>
      </c>
    </row>
    <row r="940" spans="1:1" x14ac:dyDescent="0.3">
      <c r="A940" t="str">
        <f>IF(datos_limpios!N940&lt;3,"Rango1","Rango2")</f>
        <v>Rango2</v>
      </c>
    </row>
    <row r="941" spans="1:1" x14ac:dyDescent="0.3">
      <c r="A941" t="str">
        <f>IF(datos_limpios!N941&lt;3,"Rango1","Rango2")</f>
        <v>Rango2</v>
      </c>
    </row>
    <row r="942" spans="1:1" x14ac:dyDescent="0.3">
      <c r="A942" t="str">
        <f>IF(datos_limpios!N942&lt;3,"Rango1","Rango2")</f>
        <v>Rango2</v>
      </c>
    </row>
    <row r="943" spans="1:1" x14ac:dyDescent="0.3">
      <c r="A943" t="str">
        <f>IF(datos_limpios!N943&lt;3,"Rango1","Rango2")</f>
        <v>Rango2</v>
      </c>
    </row>
    <row r="944" spans="1:1" x14ac:dyDescent="0.3">
      <c r="A944" t="str">
        <f>IF(datos_limpios!N944&lt;3,"Rango1","Rango2")</f>
        <v>Rango2</v>
      </c>
    </row>
    <row r="945" spans="1:1" x14ac:dyDescent="0.3">
      <c r="A945" t="str">
        <f>IF(datos_limpios!N945&lt;3,"Rango1","Rango2")</f>
        <v>Rango2</v>
      </c>
    </row>
    <row r="946" spans="1:1" x14ac:dyDescent="0.3">
      <c r="A946" t="str">
        <f>IF(datos_limpios!N946&lt;3,"Rango1","Rango2")</f>
        <v>Rango2</v>
      </c>
    </row>
    <row r="947" spans="1:1" x14ac:dyDescent="0.3">
      <c r="A947" t="str">
        <f>IF(datos_limpios!N947&lt;3,"Rango1","Rango2")</f>
        <v>Rango2</v>
      </c>
    </row>
    <row r="948" spans="1:1" x14ac:dyDescent="0.3">
      <c r="A948" t="str">
        <f>IF(datos_limpios!N948&lt;3,"Rango1","Rango2")</f>
        <v>Rango2</v>
      </c>
    </row>
    <row r="949" spans="1:1" x14ac:dyDescent="0.3">
      <c r="A949" t="str">
        <f>IF(datos_limpios!N949&lt;3,"Rango1","Rango2")</f>
        <v>Rango2</v>
      </c>
    </row>
    <row r="950" spans="1:1" x14ac:dyDescent="0.3">
      <c r="A950" t="str">
        <f>IF(datos_limpios!N950&lt;3,"Rango1","Rango2")</f>
        <v>Rango2</v>
      </c>
    </row>
    <row r="951" spans="1:1" x14ac:dyDescent="0.3">
      <c r="A951" t="str">
        <f>IF(datos_limpios!N951&lt;3,"Rango1","Rango2")</f>
        <v>Rango2</v>
      </c>
    </row>
    <row r="952" spans="1:1" x14ac:dyDescent="0.3">
      <c r="A952" t="str">
        <f>IF(datos_limpios!N952&lt;3,"Rango1","Rango2")</f>
        <v>Rango2</v>
      </c>
    </row>
    <row r="953" spans="1:1" x14ac:dyDescent="0.3">
      <c r="A953" t="str">
        <f>IF(datos_limpios!N953&lt;3,"Rango1","Rango2")</f>
        <v>Rango2</v>
      </c>
    </row>
    <row r="954" spans="1:1" x14ac:dyDescent="0.3">
      <c r="A954" t="str">
        <f>IF(datos_limpios!N954&lt;3,"Rango1","Rango2")</f>
        <v>Rango2</v>
      </c>
    </row>
    <row r="955" spans="1:1" x14ac:dyDescent="0.3">
      <c r="A955" t="str">
        <f>IF(datos_limpios!N955&lt;3,"Rango1","Rango2")</f>
        <v>Rango2</v>
      </c>
    </row>
    <row r="956" spans="1:1" x14ac:dyDescent="0.3">
      <c r="A956" t="str">
        <f>IF(datos_limpios!N956&lt;3,"Rango1","Rango2")</f>
        <v>Rango2</v>
      </c>
    </row>
    <row r="957" spans="1:1" x14ac:dyDescent="0.3">
      <c r="A957" t="str">
        <f>IF(datos_limpios!N957&lt;3,"Rango1","Rango2")</f>
        <v>Rango2</v>
      </c>
    </row>
    <row r="958" spans="1:1" x14ac:dyDescent="0.3">
      <c r="A958" t="str">
        <f>IF(datos_limpios!N958&lt;3,"Rango1","Rango2")</f>
        <v>Rango2</v>
      </c>
    </row>
    <row r="959" spans="1:1" x14ac:dyDescent="0.3">
      <c r="A959" t="str">
        <f>IF(datos_limpios!N959&lt;3,"Rango1","Rango2")</f>
        <v>Rango2</v>
      </c>
    </row>
    <row r="960" spans="1:1" x14ac:dyDescent="0.3">
      <c r="A960" t="str">
        <f>IF(datos_limpios!N960&lt;3,"Rango1","Rango2")</f>
        <v>Rango2</v>
      </c>
    </row>
    <row r="961" spans="1:1" x14ac:dyDescent="0.3">
      <c r="A961" t="str">
        <f>IF(datos_limpios!N961&lt;3,"Rango1","Rango2")</f>
        <v>Rango2</v>
      </c>
    </row>
    <row r="962" spans="1:1" x14ac:dyDescent="0.3">
      <c r="A962" t="str">
        <f>IF(datos_limpios!N962&lt;3,"Rango1","Rango2")</f>
        <v>Rango2</v>
      </c>
    </row>
    <row r="963" spans="1:1" x14ac:dyDescent="0.3">
      <c r="A963" t="str">
        <f>IF(datos_limpios!N963&lt;3,"Rango1","Rango2")</f>
        <v>Rango2</v>
      </c>
    </row>
    <row r="964" spans="1:1" x14ac:dyDescent="0.3">
      <c r="A964" t="str">
        <f>IF(datos_limpios!N964&lt;3,"Rango1","Rango2")</f>
        <v>Rango2</v>
      </c>
    </row>
    <row r="965" spans="1:1" x14ac:dyDescent="0.3">
      <c r="A965" t="str">
        <f>IF(datos_limpios!N965&lt;3,"Rango1","Rango2")</f>
        <v>Rango2</v>
      </c>
    </row>
    <row r="966" spans="1:1" x14ac:dyDescent="0.3">
      <c r="A966" t="str">
        <f>IF(datos_limpios!N966&lt;3,"Rango1","Rango2")</f>
        <v>Rango2</v>
      </c>
    </row>
    <row r="967" spans="1:1" x14ac:dyDescent="0.3">
      <c r="A967" t="str">
        <f>IF(datos_limpios!N967&lt;3,"Rango1","Rango2")</f>
        <v>Rango2</v>
      </c>
    </row>
    <row r="968" spans="1:1" x14ac:dyDescent="0.3">
      <c r="A968" t="str">
        <f>IF(datos_limpios!N968&lt;3,"Rango1","Rango2")</f>
        <v>Rango2</v>
      </c>
    </row>
    <row r="969" spans="1:1" x14ac:dyDescent="0.3">
      <c r="A969" t="str">
        <f>IF(datos_limpios!N969&lt;3,"Rango1","Rango2")</f>
        <v>Rango2</v>
      </c>
    </row>
    <row r="970" spans="1:1" x14ac:dyDescent="0.3">
      <c r="A970" t="str">
        <f>IF(datos_limpios!N970&lt;3,"Rango1","Rango2")</f>
        <v>Rango2</v>
      </c>
    </row>
    <row r="971" spans="1:1" x14ac:dyDescent="0.3">
      <c r="A971" t="str">
        <f>IF(datos_limpios!N971&lt;3,"Rango1","Rango2")</f>
        <v>Rango2</v>
      </c>
    </row>
    <row r="972" spans="1:1" x14ac:dyDescent="0.3">
      <c r="A972" t="str">
        <f>IF(datos_limpios!N972&lt;3,"Rango1","Rango2")</f>
        <v>Rango2</v>
      </c>
    </row>
    <row r="973" spans="1:1" x14ac:dyDescent="0.3">
      <c r="A973" t="str">
        <f>IF(datos_limpios!N973&lt;3,"Rango1","Rango2")</f>
        <v>Rango2</v>
      </c>
    </row>
    <row r="974" spans="1:1" x14ac:dyDescent="0.3">
      <c r="A974" t="str">
        <f>IF(datos_limpios!N974&lt;3,"Rango1","Rango2")</f>
        <v>Rango2</v>
      </c>
    </row>
    <row r="975" spans="1:1" x14ac:dyDescent="0.3">
      <c r="A975" t="str">
        <f>IF(datos_limpios!N975&lt;3,"Rango1","Rango2")</f>
        <v>Rango2</v>
      </c>
    </row>
    <row r="976" spans="1:1" x14ac:dyDescent="0.3">
      <c r="A976" t="str">
        <f>IF(datos_limpios!N976&lt;3,"Rango1","Rango2")</f>
        <v>Rango2</v>
      </c>
    </row>
    <row r="977" spans="1:1" x14ac:dyDescent="0.3">
      <c r="A977" t="str">
        <f>IF(datos_limpios!N977&lt;3,"Rango1","Rango2")</f>
        <v>Rango2</v>
      </c>
    </row>
    <row r="978" spans="1:1" x14ac:dyDescent="0.3">
      <c r="A978" t="str">
        <f>IF(datos_limpios!N978&lt;3,"Rango1","Rango2")</f>
        <v>Rango2</v>
      </c>
    </row>
    <row r="979" spans="1:1" x14ac:dyDescent="0.3">
      <c r="A979" t="str">
        <f>IF(datos_limpios!N979&lt;3,"Rango1","Rango2")</f>
        <v>Rango2</v>
      </c>
    </row>
    <row r="980" spans="1:1" x14ac:dyDescent="0.3">
      <c r="A980" t="str">
        <f>IF(datos_limpios!N980&lt;3,"Rango1","Rango2")</f>
        <v>Rango2</v>
      </c>
    </row>
    <row r="981" spans="1:1" x14ac:dyDescent="0.3">
      <c r="A981" t="str">
        <f>IF(datos_limpios!N981&lt;3,"Rango1","Rango2")</f>
        <v>Rango2</v>
      </c>
    </row>
    <row r="982" spans="1:1" x14ac:dyDescent="0.3">
      <c r="A982" t="str">
        <f>IF(datos_limpios!N982&lt;3,"Rango1","Rango2")</f>
        <v>Rango2</v>
      </c>
    </row>
    <row r="983" spans="1:1" x14ac:dyDescent="0.3">
      <c r="A983" t="str">
        <f>IF(datos_limpios!N983&lt;3,"Rango1","Rango2")</f>
        <v>Rango2</v>
      </c>
    </row>
    <row r="984" spans="1:1" x14ac:dyDescent="0.3">
      <c r="A984" t="str">
        <f>IF(datos_limpios!N984&lt;3,"Rango1","Rango2")</f>
        <v>Rango2</v>
      </c>
    </row>
    <row r="985" spans="1:1" x14ac:dyDescent="0.3">
      <c r="A985" t="str">
        <f>IF(datos_limpios!N985&lt;3,"Rango1","Rango2")</f>
        <v>Rango2</v>
      </c>
    </row>
    <row r="986" spans="1:1" x14ac:dyDescent="0.3">
      <c r="A986" t="str">
        <f>IF(datos_limpios!N986&lt;3,"Rango1","Rango2")</f>
        <v>Rango2</v>
      </c>
    </row>
    <row r="987" spans="1:1" x14ac:dyDescent="0.3">
      <c r="A987" t="str">
        <f>IF(datos_limpios!N987&lt;3,"Rango1","Rango2")</f>
        <v>Rango2</v>
      </c>
    </row>
    <row r="988" spans="1:1" x14ac:dyDescent="0.3">
      <c r="A988" t="str">
        <f>IF(datos_limpios!N988&lt;3,"Rango1","Rango2")</f>
        <v>Rango2</v>
      </c>
    </row>
    <row r="989" spans="1:1" x14ac:dyDescent="0.3">
      <c r="A989" t="str">
        <f>IF(datos_limpios!N989&lt;3,"Rango1","Rango2")</f>
        <v>Rango2</v>
      </c>
    </row>
    <row r="990" spans="1:1" x14ac:dyDescent="0.3">
      <c r="A990" t="str">
        <f>IF(datos_limpios!N990&lt;3,"Rango1","Rango2")</f>
        <v>Rango2</v>
      </c>
    </row>
    <row r="991" spans="1:1" x14ac:dyDescent="0.3">
      <c r="A991" t="str">
        <f>IF(datos_limpios!N991&lt;3,"Rango1","Rango2")</f>
        <v>Rango2</v>
      </c>
    </row>
    <row r="992" spans="1:1" x14ac:dyDescent="0.3">
      <c r="A992" t="str">
        <f>IF(datos_limpios!N992&lt;3,"Rango1","Rango2")</f>
        <v>Rango2</v>
      </c>
    </row>
    <row r="993" spans="1:1" x14ac:dyDescent="0.3">
      <c r="A993" t="str">
        <f>IF(datos_limpios!N993&lt;3,"Rango1","Rango2")</f>
        <v>Rango2</v>
      </c>
    </row>
    <row r="994" spans="1:1" x14ac:dyDescent="0.3">
      <c r="A994" t="str">
        <f>IF(datos_limpios!N994&lt;3,"Rango1","Rango2")</f>
        <v>Rango2</v>
      </c>
    </row>
    <row r="995" spans="1:1" x14ac:dyDescent="0.3">
      <c r="A995" t="str">
        <f>IF(datos_limpios!N995&lt;3,"Rango1","Rango2")</f>
        <v>Rango2</v>
      </c>
    </row>
    <row r="996" spans="1:1" x14ac:dyDescent="0.3">
      <c r="A996" t="str">
        <f>IF(datos_limpios!N996&lt;3,"Rango1","Rango2")</f>
        <v>Rango2</v>
      </c>
    </row>
    <row r="997" spans="1:1" x14ac:dyDescent="0.3">
      <c r="A997" t="str">
        <f>IF(datos_limpios!N997&lt;3,"Rango1","Rango2")</f>
        <v>Rango2</v>
      </c>
    </row>
    <row r="998" spans="1:1" x14ac:dyDescent="0.3">
      <c r="A998" t="str">
        <f>IF(datos_limpios!N998&lt;3,"Rango1","Rango2")</f>
        <v>Rango2</v>
      </c>
    </row>
    <row r="999" spans="1:1" x14ac:dyDescent="0.3">
      <c r="A999" t="str">
        <f>IF(datos_limpios!N999&lt;3,"Rango1","Rango2")</f>
        <v>Rango2</v>
      </c>
    </row>
    <row r="1000" spans="1:1" x14ac:dyDescent="0.3">
      <c r="A1000" t="str">
        <f>IF(datos_limpios!N1000&lt;3,"Rango1","Rango2")</f>
        <v>Rango2</v>
      </c>
    </row>
    <row r="1001" spans="1:1" x14ac:dyDescent="0.3">
      <c r="A1001" t="str">
        <f>IF(datos_limpios!N1001&lt;3,"Rango1","Rango2")</f>
        <v>Rango2</v>
      </c>
    </row>
    <row r="1002" spans="1:1" x14ac:dyDescent="0.3">
      <c r="A1002" t="str">
        <f>IF(datos_limpios!N1002&lt;3,"Rango1","Rango2")</f>
        <v>Rango2</v>
      </c>
    </row>
    <row r="1003" spans="1:1" x14ac:dyDescent="0.3">
      <c r="A1003" t="str">
        <f>IF(datos_limpios!N1003&lt;3,"Rango1","Rango2")</f>
        <v>Rango2</v>
      </c>
    </row>
    <row r="1004" spans="1:1" x14ac:dyDescent="0.3">
      <c r="A1004" t="str">
        <f>IF(datos_limpios!N1004&lt;3,"Rango1","Rango2")</f>
        <v>Rango2</v>
      </c>
    </row>
    <row r="1005" spans="1:1" x14ac:dyDescent="0.3">
      <c r="A1005" t="str">
        <f>IF(datos_limpios!N1005&lt;3,"Rango1","Rango2")</f>
        <v>Rango2</v>
      </c>
    </row>
    <row r="1006" spans="1:1" x14ac:dyDescent="0.3">
      <c r="A1006" t="str">
        <f>IF(datos_limpios!N1006&lt;3,"Rango1","Rango2")</f>
        <v>Rango2</v>
      </c>
    </row>
    <row r="1007" spans="1:1" x14ac:dyDescent="0.3">
      <c r="A1007" t="str">
        <f>IF(datos_limpios!N1007&lt;3,"Rango1","Rango2")</f>
        <v>Rango2</v>
      </c>
    </row>
    <row r="1008" spans="1:1" x14ac:dyDescent="0.3">
      <c r="A1008" t="str">
        <f>IF(datos_limpios!N1008&lt;3,"Rango1","Rango2")</f>
        <v>Rango2</v>
      </c>
    </row>
    <row r="1009" spans="1:1" x14ac:dyDescent="0.3">
      <c r="A1009" t="str">
        <f>IF(datos_limpios!N1009&lt;3,"Rango1","Rango2")</f>
        <v>Rango2</v>
      </c>
    </row>
    <row r="1010" spans="1:1" x14ac:dyDescent="0.3">
      <c r="A1010" t="str">
        <f>IF(datos_limpios!N1010&lt;3,"Rango1","Rango2")</f>
        <v>Rango2</v>
      </c>
    </row>
    <row r="1011" spans="1:1" x14ac:dyDescent="0.3">
      <c r="A1011" t="str">
        <f>IF(datos_limpios!N1011&lt;3,"Rango1","Rango2")</f>
        <v>Rango2</v>
      </c>
    </row>
    <row r="1012" spans="1:1" x14ac:dyDescent="0.3">
      <c r="A1012" t="str">
        <f>IF(datos_limpios!N1012&lt;3,"Rango1","Rango2")</f>
        <v>Rango2</v>
      </c>
    </row>
    <row r="1013" spans="1:1" x14ac:dyDescent="0.3">
      <c r="A1013" t="str">
        <f>IF(datos_limpios!N1013&lt;3,"Rango1","Rango2")</f>
        <v>Rango2</v>
      </c>
    </row>
    <row r="1014" spans="1:1" x14ac:dyDescent="0.3">
      <c r="A1014" t="str">
        <f>IF(datos_limpios!N1014&lt;3,"Rango1","Rango2")</f>
        <v>Rango2</v>
      </c>
    </row>
    <row r="1015" spans="1:1" x14ac:dyDescent="0.3">
      <c r="A1015" t="str">
        <f>IF(datos_limpios!N1015&lt;3,"Rango1","Rango2")</f>
        <v>Rango2</v>
      </c>
    </row>
    <row r="1016" spans="1:1" x14ac:dyDescent="0.3">
      <c r="A1016" t="str">
        <f>IF(datos_limpios!N1016&lt;3,"Rango1","Rango2")</f>
        <v>Rango2</v>
      </c>
    </row>
    <row r="1017" spans="1:1" x14ac:dyDescent="0.3">
      <c r="A1017" t="str">
        <f>IF(datos_limpios!N1017&lt;3,"Rango1","Rango2")</f>
        <v>Rango2</v>
      </c>
    </row>
    <row r="1018" spans="1:1" x14ac:dyDescent="0.3">
      <c r="A1018" t="str">
        <f>IF(datos_limpios!N1018&lt;3,"Rango1","Rango2")</f>
        <v>Rango2</v>
      </c>
    </row>
    <row r="1019" spans="1:1" x14ac:dyDescent="0.3">
      <c r="A1019" t="str">
        <f>IF(datos_limpios!N1019&lt;3,"Rango1","Rango2")</f>
        <v>Rango2</v>
      </c>
    </row>
    <row r="1020" spans="1:1" x14ac:dyDescent="0.3">
      <c r="A1020" t="str">
        <f>IF(datos_limpios!N1020&lt;3,"Rango1","Rango2")</f>
        <v>Rango2</v>
      </c>
    </row>
    <row r="1021" spans="1:1" x14ac:dyDescent="0.3">
      <c r="A1021" t="str">
        <f>IF(datos_limpios!N1021&lt;3,"Rango1","Rango2")</f>
        <v>Rango2</v>
      </c>
    </row>
    <row r="1022" spans="1:1" x14ac:dyDescent="0.3">
      <c r="A1022" t="str">
        <f>IF(datos_limpios!N1022&lt;3,"Rango1","Rango2")</f>
        <v>Rango2</v>
      </c>
    </row>
    <row r="1023" spans="1:1" x14ac:dyDescent="0.3">
      <c r="A1023" t="str">
        <f>IF(datos_limpios!N1023&lt;3,"Rango1","Rango2")</f>
        <v>Rango2</v>
      </c>
    </row>
    <row r="1024" spans="1:1" x14ac:dyDescent="0.3">
      <c r="A1024" t="str">
        <f>IF(datos_limpios!N1024&lt;3,"Rango1","Rango2")</f>
        <v>Rango2</v>
      </c>
    </row>
    <row r="1025" spans="1:1" x14ac:dyDescent="0.3">
      <c r="A1025" t="str">
        <f>IF(datos_limpios!N1025&lt;3,"Rango1","Rango2")</f>
        <v>Rango2</v>
      </c>
    </row>
    <row r="1026" spans="1:1" x14ac:dyDescent="0.3">
      <c r="A1026" t="str">
        <f>IF(datos_limpios!N1026&lt;3,"Rango1","Rango2")</f>
        <v>Rango2</v>
      </c>
    </row>
    <row r="1027" spans="1:1" x14ac:dyDescent="0.3">
      <c r="A1027" t="str">
        <f>IF(datos_limpios!N1027&lt;3,"Rango1","Rango2")</f>
        <v>Rango2</v>
      </c>
    </row>
    <row r="1028" spans="1:1" x14ac:dyDescent="0.3">
      <c r="A1028" t="str">
        <f>IF(datos_limpios!N1028&lt;3,"Rango1","Rango2")</f>
        <v>Rango2</v>
      </c>
    </row>
    <row r="1029" spans="1:1" x14ac:dyDescent="0.3">
      <c r="A1029" t="str">
        <f>IF(datos_limpios!N1029&lt;3,"Rango1","Rango2")</f>
        <v>Rango2</v>
      </c>
    </row>
    <row r="1030" spans="1:1" x14ac:dyDescent="0.3">
      <c r="A1030" t="str">
        <f>IF(datos_limpios!N1030&lt;3,"Rango1","Rango2")</f>
        <v>Rango2</v>
      </c>
    </row>
    <row r="1031" spans="1:1" x14ac:dyDescent="0.3">
      <c r="A1031" t="str">
        <f>IF(datos_limpios!N1031&lt;3,"Rango1","Rango2")</f>
        <v>Rango2</v>
      </c>
    </row>
    <row r="1032" spans="1:1" x14ac:dyDescent="0.3">
      <c r="A1032" t="str">
        <f>IF(datos_limpios!N1032&lt;3,"Rango1","Rango2")</f>
        <v>Rango2</v>
      </c>
    </row>
    <row r="1033" spans="1:1" x14ac:dyDescent="0.3">
      <c r="A1033" t="str">
        <f>IF(datos_limpios!N1033&lt;3,"Rango1","Rango2")</f>
        <v>Rango2</v>
      </c>
    </row>
    <row r="1034" spans="1:1" x14ac:dyDescent="0.3">
      <c r="A1034" t="str">
        <f>IF(datos_limpios!N1034&lt;3,"Rango1","Rango2")</f>
        <v>Rango2</v>
      </c>
    </row>
    <row r="1035" spans="1:1" x14ac:dyDescent="0.3">
      <c r="A1035" t="str">
        <f>IF(datos_limpios!N1035&lt;3,"Rango1","Rango2")</f>
        <v>Rango2</v>
      </c>
    </row>
    <row r="1036" spans="1:1" x14ac:dyDescent="0.3">
      <c r="A1036" t="str">
        <f>IF(datos_limpios!N1036&lt;3,"Rango1","Rango2")</f>
        <v>Rango2</v>
      </c>
    </row>
    <row r="1037" spans="1:1" x14ac:dyDescent="0.3">
      <c r="A1037" t="str">
        <f>IF(datos_limpios!N1037&lt;3,"Rango1","Rango2")</f>
        <v>Rango2</v>
      </c>
    </row>
    <row r="1038" spans="1:1" x14ac:dyDescent="0.3">
      <c r="A1038" t="str">
        <f>IF(datos_limpios!N1038&lt;3,"Rango1","Rango2")</f>
        <v>Rango2</v>
      </c>
    </row>
    <row r="1039" spans="1:1" x14ac:dyDescent="0.3">
      <c r="A1039" t="str">
        <f>IF(datos_limpios!N1039&lt;3,"Rango1","Rango2")</f>
        <v>Rango2</v>
      </c>
    </row>
    <row r="1040" spans="1:1" x14ac:dyDescent="0.3">
      <c r="A1040" t="str">
        <f>IF(datos_limpios!N1040&lt;3,"Rango1","Rango2")</f>
        <v>Rango2</v>
      </c>
    </row>
    <row r="1041" spans="1:1" x14ac:dyDescent="0.3">
      <c r="A1041" t="str">
        <f>IF(datos_limpios!N1041&lt;3,"Rango1","Rango2")</f>
        <v>Rango2</v>
      </c>
    </row>
    <row r="1042" spans="1:1" x14ac:dyDescent="0.3">
      <c r="A1042" t="str">
        <f>IF(datos_limpios!N1042&lt;3,"Rango1","Rango2")</f>
        <v>Rango2</v>
      </c>
    </row>
    <row r="1043" spans="1:1" x14ac:dyDescent="0.3">
      <c r="A1043" t="str">
        <f>IF(datos_limpios!N1043&lt;3,"Rango1","Rango2")</f>
        <v>Rango2</v>
      </c>
    </row>
    <row r="1044" spans="1:1" x14ac:dyDescent="0.3">
      <c r="A1044" t="str">
        <f>IF(datos_limpios!N1044&lt;3,"Rango1","Rango2")</f>
        <v>Rango2</v>
      </c>
    </row>
    <row r="1045" spans="1:1" x14ac:dyDescent="0.3">
      <c r="A1045" t="str">
        <f>IF(datos_limpios!N1045&lt;3,"Rango1","Rango2")</f>
        <v>Rango2</v>
      </c>
    </row>
    <row r="1046" spans="1:1" x14ac:dyDescent="0.3">
      <c r="A1046" t="str">
        <f>IF(datos_limpios!N1046&lt;3,"Rango1","Rango2")</f>
        <v>Rango2</v>
      </c>
    </row>
    <row r="1047" spans="1:1" x14ac:dyDescent="0.3">
      <c r="A1047" t="str">
        <f>IF(datos_limpios!N1047&lt;3,"Rango1","Rango2")</f>
        <v>Rango2</v>
      </c>
    </row>
    <row r="1048" spans="1:1" x14ac:dyDescent="0.3">
      <c r="A1048" t="str">
        <f>IF(datos_limpios!N1048&lt;3,"Rango1","Rango2")</f>
        <v>Rango2</v>
      </c>
    </row>
    <row r="1049" spans="1:1" x14ac:dyDescent="0.3">
      <c r="A1049" t="str">
        <f>IF(datos_limpios!N1049&lt;3,"Rango1","Rango2")</f>
        <v>Rango2</v>
      </c>
    </row>
    <row r="1050" spans="1:1" x14ac:dyDescent="0.3">
      <c r="A1050" t="str">
        <f>IF(datos_limpios!N1050&lt;3,"Rango1","Rango2")</f>
        <v>Rango2</v>
      </c>
    </row>
    <row r="1051" spans="1:1" x14ac:dyDescent="0.3">
      <c r="A1051" t="str">
        <f>IF(datos_limpios!N1051&lt;3,"Rango1","Rango2")</f>
        <v>Rango2</v>
      </c>
    </row>
    <row r="1052" spans="1:1" x14ac:dyDescent="0.3">
      <c r="A1052" t="str">
        <f>IF(datos_limpios!N1052&lt;3,"Rango1","Rango2")</f>
        <v>Rango2</v>
      </c>
    </row>
    <row r="1053" spans="1:1" x14ac:dyDescent="0.3">
      <c r="A1053" t="str">
        <f>IF(datos_limpios!N1053&lt;3,"Rango1","Rango2")</f>
        <v>Rango2</v>
      </c>
    </row>
    <row r="1054" spans="1:1" x14ac:dyDescent="0.3">
      <c r="A1054" t="str">
        <f>IF(datos_limpios!N1054&lt;3,"Rango1","Rango2")</f>
        <v>Rango2</v>
      </c>
    </row>
    <row r="1055" spans="1:1" x14ac:dyDescent="0.3">
      <c r="A1055" t="str">
        <f>IF(datos_limpios!N1055&lt;3,"Rango1","Rango2")</f>
        <v>Rango2</v>
      </c>
    </row>
    <row r="1056" spans="1:1" x14ac:dyDescent="0.3">
      <c r="A1056" t="str">
        <f>IF(datos_limpios!N1056&lt;3,"Rango1","Rango2")</f>
        <v>Rango2</v>
      </c>
    </row>
    <row r="1057" spans="1:1" x14ac:dyDescent="0.3">
      <c r="A1057" t="str">
        <f>IF(datos_limpios!N1057&lt;3,"Rango1","Rango2")</f>
        <v>Rango2</v>
      </c>
    </row>
    <row r="1058" spans="1:1" x14ac:dyDescent="0.3">
      <c r="A1058" t="str">
        <f>IF(datos_limpios!N1058&lt;3,"Rango1","Rango2")</f>
        <v>Rango2</v>
      </c>
    </row>
    <row r="1059" spans="1:1" x14ac:dyDescent="0.3">
      <c r="A1059" t="str">
        <f>IF(datos_limpios!N1059&lt;3,"Rango1","Rango2")</f>
        <v>Rango2</v>
      </c>
    </row>
    <row r="1060" spans="1:1" x14ac:dyDescent="0.3">
      <c r="A1060" t="str">
        <f>IF(datos_limpios!N1060&lt;3,"Rango1","Rango2")</f>
        <v>Rango2</v>
      </c>
    </row>
    <row r="1061" spans="1:1" x14ac:dyDescent="0.3">
      <c r="A1061" t="str">
        <f>IF(datos_limpios!N1061&lt;3,"Rango1","Rango2")</f>
        <v>Rango2</v>
      </c>
    </row>
    <row r="1062" spans="1:1" x14ac:dyDescent="0.3">
      <c r="A1062" t="str">
        <f>IF(datos_limpios!N1062&lt;3,"Rango1","Rango2")</f>
        <v>Rango2</v>
      </c>
    </row>
    <row r="1063" spans="1:1" x14ac:dyDescent="0.3">
      <c r="A1063" t="str">
        <f>IF(datos_limpios!N1063&lt;3,"Rango1","Rango2")</f>
        <v>Rango2</v>
      </c>
    </row>
    <row r="1064" spans="1:1" x14ac:dyDescent="0.3">
      <c r="A1064" t="str">
        <f>IF(datos_limpios!N1064&lt;3,"Rango1","Rango2")</f>
        <v>Rango2</v>
      </c>
    </row>
    <row r="1065" spans="1:1" x14ac:dyDescent="0.3">
      <c r="A1065" t="str">
        <f>IF(datos_limpios!N1065&lt;3,"Rango1","Rango2")</f>
        <v>Rango2</v>
      </c>
    </row>
    <row r="1066" spans="1:1" x14ac:dyDescent="0.3">
      <c r="A1066" t="str">
        <f>IF(datos_limpios!N1066&lt;3,"Rango1","Rango2")</f>
        <v>Rango2</v>
      </c>
    </row>
    <row r="1067" spans="1:1" x14ac:dyDescent="0.3">
      <c r="A1067" t="str">
        <f>IF(datos_limpios!N1067&lt;3,"Rango1","Rango2")</f>
        <v>Rango2</v>
      </c>
    </row>
    <row r="1068" spans="1:1" x14ac:dyDescent="0.3">
      <c r="A1068" t="str">
        <f>IF(datos_limpios!N1068&lt;3,"Rango1","Rango2")</f>
        <v>Rango2</v>
      </c>
    </row>
    <row r="1069" spans="1:1" x14ac:dyDescent="0.3">
      <c r="A1069" t="str">
        <f>IF(datos_limpios!N1069&lt;3,"Rango1","Rango2")</f>
        <v>Rango2</v>
      </c>
    </row>
    <row r="1070" spans="1:1" x14ac:dyDescent="0.3">
      <c r="A1070" t="str">
        <f>IF(datos_limpios!N1070&lt;3,"Rango1","Rango2")</f>
        <v>Rango2</v>
      </c>
    </row>
    <row r="1071" spans="1:1" x14ac:dyDescent="0.3">
      <c r="A1071" t="str">
        <f>IF(datos_limpios!N1071&lt;3,"Rango1","Rango2")</f>
        <v>Rango2</v>
      </c>
    </row>
    <row r="1072" spans="1:1" x14ac:dyDescent="0.3">
      <c r="A1072" t="str">
        <f>IF(datos_limpios!N1072&lt;3,"Rango1","Rango2")</f>
        <v>Rango2</v>
      </c>
    </row>
    <row r="1073" spans="1:1" x14ac:dyDescent="0.3">
      <c r="A1073" t="str">
        <f>IF(datos_limpios!N1073&lt;3,"Rango1","Rango2")</f>
        <v>Rango2</v>
      </c>
    </row>
    <row r="1074" spans="1:1" x14ac:dyDescent="0.3">
      <c r="A1074" t="str">
        <f>IF(datos_limpios!N1074&lt;3,"Rango1","Rango2")</f>
        <v>Rango2</v>
      </c>
    </row>
    <row r="1075" spans="1:1" x14ac:dyDescent="0.3">
      <c r="A1075" t="str">
        <f>IF(datos_limpios!N1075&lt;3,"Rango1","Rango2")</f>
        <v>Rango2</v>
      </c>
    </row>
    <row r="1076" spans="1:1" x14ac:dyDescent="0.3">
      <c r="A1076" t="str">
        <f>IF(datos_limpios!N1076&lt;3,"Rango1","Rango2")</f>
        <v>Rango2</v>
      </c>
    </row>
    <row r="1077" spans="1:1" x14ac:dyDescent="0.3">
      <c r="A1077" t="str">
        <f>IF(datos_limpios!N1077&lt;3,"Rango1","Rango2")</f>
        <v>Rango2</v>
      </c>
    </row>
    <row r="1078" spans="1:1" x14ac:dyDescent="0.3">
      <c r="A1078" t="str">
        <f>IF(datos_limpios!N1078&lt;3,"Rango1","Rango2")</f>
        <v>Rango2</v>
      </c>
    </row>
    <row r="1079" spans="1:1" x14ac:dyDescent="0.3">
      <c r="A1079" t="str">
        <f>IF(datos_limpios!N1079&lt;3,"Rango1","Rango2")</f>
        <v>Rango2</v>
      </c>
    </row>
    <row r="1080" spans="1:1" x14ac:dyDescent="0.3">
      <c r="A1080" t="str">
        <f>IF(datos_limpios!N1080&lt;3,"Rango1","Rango2")</f>
        <v>Rango2</v>
      </c>
    </row>
    <row r="1081" spans="1:1" x14ac:dyDescent="0.3">
      <c r="A1081" t="str">
        <f>IF(datos_limpios!N1081&lt;3,"Rango1","Rango2")</f>
        <v>Rango2</v>
      </c>
    </row>
    <row r="1082" spans="1:1" x14ac:dyDescent="0.3">
      <c r="A1082" t="str">
        <f>IF(datos_limpios!N1082&lt;3,"Rango1","Rango2")</f>
        <v>Rango2</v>
      </c>
    </row>
    <row r="1083" spans="1:1" x14ac:dyDescent="0.3">
      <c r="A1083" t="str">
        <f>IF(datos_limpios!N1083&lt;3,"Rango1","Rango2")</f>
        <v>Rango2</v>
      </c>
    </row>
    <row r="1084" spans="1:1" x14ac:dyDescent="0.3">
      <c r="A1084" t="str">
        <f>IF(datos_limpios!N1084&lt;3,"Rango1","Rango2")</f>
        <v>Rango2</v>
      </c>
    </row>
    <row r="1085" spans="1:1" x14ac:dyDescent="0.3">
      <c r="A1085" t="str">
        <f>IF(datos_limpios!N1085&lt;3,"Rango1","Rango2")</f>
        <v>Rango2</v>
      </c>
    </row>
    <row r="1086" spans="1:1" x14ac:dyDescent="0.3">
      <c r="A1086" t="str">
        <f>IF(datos_limpios!N1086&lt;3,"Rango1","Rango2")</f>
        <v>Rango2</v>
      </c>
    </row>
    <row r="1087" spans="1:1" x14ac:dyDescent="0.3">
      <c r="A1087" t="str">
        <f>IF(datos_limpios!N1087&lt;3,"Rango1","Rango2")</f>
        <v>Rango2</v>
      </c>
    </row>
    <row r="1088" spans="1:1" x14ac:dyDescent="0.3">
      <c r="A1088" t="str">
        <f>IF(datos_limpios!N1088&lt;3,"Rango1","Rango2")</f>
        <v>Rango2</v>
      </c>
    </row>
    <row r="1089" spans="1:1" x14ac:dyDescent="0.3">
      <c r="A1089" t="str">
        <f>IF(datos_limpios!N1089&lt;3,"Rango1","Rango2")</f>
        <v>Rango2</v>
      </c>
    </row>
    <row r="1090" spans="1:1" x14ac:dyDescent="0.3">
      <c r="A1090" t="str">
        <f>IF(datos_limpios!N1090&lt;3,"Rango1","Rango2")</f>
        <v>Rango2</v>
      </c>
    </row>
    <row r="1091" spans="1:1" x14ac:dyDescent="0.3">
      <c r="A1091" t="str">
        <f>IF(datos_limpios!N1091&lt;3,"Rango1","Rango2")</f>
        <v>Rango2</v>
      </c>
    </row>
    <row r="1092" spans="1:1" x14ac:dyDescent="0.3">
      <c r="A1092" t="str">
        <f>IF(datos_limpios!N1092&lt;3,"Rango1","Rango2")</f>
        <v>Rango2</v>
      </c>
    </row>
    <row r="1093" spans="1:1" x14ac:dyDescent="0.3">
      <c r="A1093" t="str">
        <f>IF(datos_limpios!N1093&lt;3,"Rango1","Rango2")</f>
        <v>Rango2</v>
      </c>
    </row>
    <row r="1094" spans="1:1" x14ac:dyDescent="0.3">
      <c r="A1094" t="str">
        <f>IF(datos_limpios!N1094&lt;3,"Rango1","Rango2")</f>
        <v>Rango2</v>
      </c>
    </row>
    <row r="1095" spans="1:1" x14ac:dyDescent="0.3">
      <c r="A1095" t="str">
        <f>IF(datos_limpios!N1095&lt;3,"Rango1","Rango2")</f>
        <v>Rango2</v>
      </c>
    </row>
    <row r="1096" spans="1:1" x14ac:dyDescent="0.3">
      <c r="A1096" t="str">
        <f>IF(datos_limpios!N1096&lt;3,"Rango1","Rango2")</f>
        <v>Rango2</v>
      </c>
    </row>
    <row r="1097" spans="1:1" x14ac:dyDescent="0.3">
      <c r="A1097" t="str">
        <f>IF(datos_limpios!N1097&lt;3,"Rango1","Rango2")</f>
        <v>Rango2</v>
      </c>
    </row>
    <row r="1098" spans="1:1" x14ac:dyDescent="0.3">
      <c r="A1098" t="str">
        <f>IF(datos_limpios!N1098&lt;3,"Rango1","Rango2")</f>
        <v>Rango2</v>
      </c>
    </row>
    <row r="1099" spans="1:1" x14ac:dyDescent="0.3">
      <c r="A1099" t="str">
        <f>IF(datos_limpios!N1099&lt;3,"Rango1","Rango2")</f>
        <v>Rango2</v>
      </c>
    </row>
    <row r="1100" spans="1:1" x14ac:dyDescent="0.3">
      <c r="A1100" t="str">
        <f>IF(datos_limpios!N1100&lt;3,"Rango1","Rango2")</f>
        <v>Rango2</v>
      </c>
    </row>
    <row r="1101" spans="1:1" x14ac:dyDescent="0.3">
      <c r="A1101" t="str">
        <f>IF(datos_limpios!N1101&lt;3,"Rango1","Rango2")</f>
        <v>Rango2</v>
      </c>
    </row>
    <row r="1102" spans="1:1" x14ac:dyDescent="0.3">
      <c r="A1102" t="str">
        <f>IF(datos_limpios!N1102&lt;3,"Rango1","Rango2")</f>
        <v>Rango2</v>
      </c>
    </row>
    <row r="1103" spans="1:1" x14ac:dyDescent="0.3">
      <c r="A1103" t="str">
        <f>IF(datos_limpios!N1103&lt;3,"Rango1","Rango2")</f>
        <v>Rango2</v>
      </c>
    </row>
    <row r="1104" spans="1:1" x14ac:dyDescent="0.3">
      <c r="A1104" t="str">
        <f>IF(datos_limpios!N1104&lt;3,"Rango1","Rango2")</f>
        <v>Rango2</v>
      </c>
    </row>
    <row r="1105" spans="1:1" x14ac:dyDescent="0.3">
      <c r="A1105" t="str">
        <f>IF(datos_limpios!N1105&lt;3,"Rango1","Rango2")</f>
        <v>Rango2</v>
      </c>
    </row>
    <row r="1106" spans="1:1" x14ac:dyDescent="0.3">
      <c r="A1106" t="str">
        <f>IF(datos_limpios!N1106&lt;3,"Rango1","Rango2")</f>
        <v>Rango2</v>
      </c>
    </row>
    <row r="1107" spans="1:1" x14ac:dyDescent="0.3">
      <c r="A1107" t="str">
        <f>IF(datos_limpios!N1107&lt;3,"Rango1","Rango2")</f>
        <v>Rango2</v>
      </c>
    </row>
    <row r="1108" spans="1:1" x14ac:dyDescent="0.3">
      <c r="A1108" t="str">
        <f>IF(datos_limpios!N1108&lt;3,"Rango1","Rango2")</f>
        <v>Rango2</v>
      </c>
    </row>
    <row r="1109" spans="1:1" x14ac:dyDescent="0.3">
      <c r="A1109" t="str">
        <f>IF(datos_limpios!N1109&lt;3,"Rango1","Rango2")</f>
        <v>Rango2</v>
      </c>
    </row>
    <row r="1110" spans="1:1" x14ac:dyDescent="0.3">
      <c r="A1110" t="str">
        <f>IF(datos_limpios!N1110&lt;3,"Rango1","Rango2")</f>
        <v>Rango2</v>
      </c>
    </row>
    <row r="1111" spans="1:1" x14ac:dyDescent="0.3">
      <c r="A1111" t="str">
        <f>IF(datos_limpios!N1111&lt;3,"Rango1","Rango2")</f>
        <v>Rango2</v>
      </c>
    </row>
    <row r="1112" spans="1:1" x14ac:dyDescent="0.3">
      <c r="A1112" t="str">
        <f>IF(datos_limpios!N1112&lt;3,"Rango1","Rango2")</f>
        <v>Rango2</v>
      </c>
    </row>
    <row r="1113" spans="1:1" x14ac:dyDescent="0.3">
      <c r="A1113" t="str">
        <f>IF(datos_limpios!N1113&lt;3,"Rango1","Rango2")</f>
        <v>Rango2</v>
      </c>
    </row>
    <row r="1114" spans="1:1" x14ac:dyDescent="0.3">
      <c r="A1114" t="str">
        <f>IF(datos_limpios!N1114&lt;3,"Rango1","Rango2")</f>
        <v>Rango2</v>
      </c>
    </row>
    <row r="1115" spans="1:1" x14ac:dyDescent="0.3">
      <c r="A1115" t="str">
        <f>IF(datos_limpios!N1115&lt;3,"Rango1","Rango2")</f>
        <v>Rango2</v>
      </c>
    </row>
    <row r="1116" spans="1:1" x14ac:dyDescent="0.3">
      <c r="A1116" t="str">
        <f>IF(datos_limpios!N1116&lt;3,"Rango1","Rango2")</f>
        <v>Rango2</v>
      </c>
    </row>
    <row r="1117" spans="1:1" x14ac:dyDescent="0.3">
      <c r="A1117" t="str">
        <f>IF(datos_limpios!N1117&lt;3,"Rango1","Rango2")</f>
        <v>Rango2</v>
      </c>
    </row>
    <row r="1118" spans="1:1" x14ac:dyDescent="0.3">
      <c r="A1118" t="str">
        <f>IF(datos_limpios!N1118&lt;3,"Rango1","Rango2")</f>
        <v>Rango2</v>
      </c>
    </row>
    <row r="1119" spans="1:1" x14ac:dyDescent="0.3">
      <c r="A1119" t="str">
        <f>IF(datos_limpios!N1119&lt;3,"Rango1","Rango2")</f>
        <v>Rango2</v>
      </c>
    </row>
    <row r="1120" spans="1:1" x14ac:dyDescent="0.3">
      <c r="A1120" t="str">
        <f>IF(datos_limpios!N1120&lt;3,"Rango1","Rango2")</f>
        <v>Rango2</v>
      </c>
    </row>
    <row r="1121" spans="1:1" x14ac:dyDescent="0.3">
      <c r="A1121" t="str">
        <f>IF(datos_limpios!N1121&lt;3,"Rango1","Rango2")</f>
        <v>Rango2</v>
      </c>
    </row>
    <row r="1122" spans="1:1" x14ac:dyDescent="0.3">
      <c r="A1122" t="str">
        <f>IF(datos_limpios!N1122&lt;3,"Rango1","Rango2")</f>
        <v>Rango2</v>
      </c>
    </row>
    <row r="1123" spans="1:1" x14ac:dyDescent="0.3">
      <c r="A1123" t="str">
        <f>IF(datos_limpios!N1123&lt;3,"Rango1","Rango2")</f>
        <v>Rango2</v>
      </c>
    </row>
    <row r="1124" spans="1:1" x14ac:dyDescent="0.3">
      <c r="A1124" t="str">
        <f>IF(datos_limpios!N1124&lt;3,"Rango1","Rango2")</f>
        <v>Rango2</v>
      </c>
    </row>
    <row r="1125" spans="1:1" x14ac:dyDescent="0.3">
      <c r="A1125" t="str">
        <f>IF(datos_limpios!N1125&lt;3,"Rango1","Rango2")</f>
        <v>Rango2</v>
      </c>
    </row>
    <row r="1126" spans="1:1" x14ac:dyDescent="0.3">
      <c r="A1126" t="str">
        <f>IF(datos_limpios!N1126&lt;3,"Rango1","Rango2")</f>
        <v>Rango2</v>
      </c>
    </row>
    <row r="1127" spans="1:1" x14ac:dyDescent="0.3">
      <c r="A1127" t="str">
        <f>IF(datos_limpios!N1127&lt;3,"Rango1","Rango2")</f>
        <v>Rango2</v>
      </c>
    </row>
    <row r="1128" spans="1:1" x14ac:dyDescent="0.3">
      <c r="A1128" t="str">
        <f>IF(datos_limpios!N1128&lt;3,"Rango1","Rango2")</f>
        <v>Rango2</v>
      </c>
    </row>
    <row r="1129" spans="1:1" x14ac:dyDescent="0.3">
      <c r="A1129" t="str">
        <f>IF(datos_limpios!N1129&lt;3,"Rango1","Rango2")</f>
        <v>Rango2</v>
      </c>
    </row>
    <row r="1130" spans="1:1" x14ac:dyDescent="0.3">
      <c r="A1130" t="str">
        <f>IF(datos_limpios!N1130&lt;3,"Rango1","Rango2")</f>
        <v>Rango2</v>
      </c>
    </row>
    <row r="1131" spans="1:1" x14ac:dyDescent="0.3">
      <c r="A1131" t="str">
        <f>IF(datos_limpios!N1131&lt;3,"Rango1","Rango2")</f>
        <v>Rango2</v>
      </c>
    </row>
    <row r="1132" spans="1:1" x14ac:dyDescent="0.3">
      <c r="A1132" t="str">
        <f>IF(datos_limpios!N1132&lt;3,"Rango1","Rango2")</f>
        <v>Rango2</v>
      </c>
    </row>
    <row r="1133" spans="1:1" x14ac:dyDescent="0.3">
      <c r="A1133" t="str">
        <f>IF(datos_limpios!N1133&lt;3,"Rango1","Rango2")</f>
        <v>Rango2</v>
      </c>
    </row>
    <row r="1134" spans="1:1" x14ac:dyDescent="0.3">
      <c r="A1134" t="str">
        <f>IF(datos_limpios!N1134&lt;3,"Rango1","Rango2")</f>
        <v>Rango2</v>
      </c>
    </row>
    <row r="1135" spans="1:1" x14ac:dyDescent="0.3">
      <c r="A1135" t="str">
        <f>IF(datos_limpios!N1135&lt;3,"Rango1","Rango2")</f>
        <v>Rango2</v>
      </c>
    </row>
    <row r="1136" spans="1:1" x14ac:dyDescent="0.3">
      <c r="A1136" t="str">
        <f>IF(datos_limpios!N1136&lt;3,"Rango1","Rango2")</f>
        <v>Rango2</v>
      </c>
    </row>
    <row r="1137" spans="1:1" x14ac:dyDescent="0.3">
      <c r="A1137" t="str">
        <f>IF(datos_limpios!N1137&lt;3,"Rango1","Rango2")</f>
        <v>Rango2</v>
      </c>
    </row>
    <row r="1138" spans="1:1" x14ac:dyDescent="0.3">
      <c r="A1138" t="str">
        <f>IF(datos_limpios!N1138&lt;3,"Rango1","Rango2")</f>
        <v>Rango2</v>
      </c>
    </row>
    <row r="1139" spans="1:1" x14ac:dyDescent="0.3">
      <c r="A1139" t="str">
        <f>IF(datos_limpios!N1139&lt;3,"Rango1","Rango2")</f>
        <v>Rango2</v>
      </c>
    </row>
    <row r="1140" spans="1:1" x14ac:dyDescent="0.3">
      <c r="A1140" t="str">
        <f>IF(datos_limpios!N1140&lt;3,"Rango1","Rango2")</f>
        <v>Rango2</v>
      </c>
    </row>
    <row r="1141" spans="1:1" x14ac:dyDescent="0.3">
      <c r="A1141" t="str">
        <f>IF(datos_limpios!N1141&lt;3,"Rango1","Rango2")</f>
        <v>Rango2</v>
      </c>
    </row>
    <row r="1142" spans="1:1" x14ac:dyDescent="0.3">
      <c r="A1142" t="str">
        <f>IF(datos_limpios!N1142&lt;3,"Rango1","Rango2")</f>
        <v>Rango2</v>
      </c>
    </row>
    <row r="1143" spans="1:1" x14ac:dyDescent="0.3">
      <c r="A1143" t="str">
        <f>IF(datos_limpios!N1143&lt;3,"Rango1","Rango2")</f>
        <v>Rango2</v>
      </c>
    </row>
    <row r="1144" spans="1:1" x14ac:dyDescent="0.3">
      <c r="A1144" t="str">
        <f>IF(datos_limpios!N1144&lt;3,"Rango1","Rango2")</f>
        <v>Rango2</v>
      </c>
    </row>
    <row r="1145" spans="1:1" x14ac:dyDescent="0.3">
      <c r="A1145" t="str">
        <f>IF(datos_limpios!N1145&lt;3,"Rango1","Rango2")</f>
        <v>Rango2</v>
      </c>
    </row>
    <row r="1146" spans="1:1" x14ac:dyDescent="0.3">
      <c r="A1146" t="str">
        <f>IF(datos_limpios!N1146&lt;3,"Rango1","Rango2")</f>
        <v>Rango2</v>
      </c>
    </row>
    <row r="1147" spans="1:1" x14ac:dyDescent="0.3">
      <c r="A1147" t="str">
        <f>IF(datos_limpios!N1147&lt;3,"Rango1","Rango2")</f>
        <v>Rango2</v>
      </c>
    </row>
    <row r="1148" spans="1:1" x14ac:dyDescent="0.3">
      <c r="A1148" t="str">
        <f>IF(datos_limpios!N1148&lt;3,"Rango1","Rango2")</f>
        <v>Rango2</v>
      </c>
    </row>
    <row r="1149" spans="1:1" x14ac:dyDescent="0.3">
      <c r="A1149" t="str">
        <f>IF(datos_limpios!N1149&lt;3,"Rango1","Rango2")</f>
        <v>Rango2</v>
      </c>
    </row>
    <row r="1150" spans="1:1" x14ac:dyDescent="0.3">
      <c r="A1150" t="str">
        <f>IF(datos_limpios!N1150&lt;3,"Rango1","Rango2")</f>
        <v>Rango2</v>
      </c>
    </row>
    <row r="1151" spans="1:1" x14ac:dyDescent="0.3">
      <c r="A1151" t="str">
        <f>IF(datos_limpios!N1151&lt;3,"Rango1","Rango2")</f>
        <v>Rango2</v>
      </c>
    </row>
    <row r="1152" spans="1:1" x14ac:dyDescent="0.3">
      <c r="A1152" t="str">
        <f>IF(datos_limpios!N1152&lt;3,"Rango1","Rango2")</f>
        <v>Rango2</v>
      </c>
    </row>
    <row r="1153" spans="1:1" x14ac:dyDescent="0.3">
      <c r="A1153" t="str">
        <f>IF(datos_limpios!N1153&lt;3,"Rango1","Rango2")</f>
        <v>Rango2</v>
      </c>
    </row>
    <row r="1154" spans="1:1" x14ac:dyDescent="0.3">
      <c r="A1154" t="str">
        <f>IF(datos_limpios!N1154&lt;3,"Rango1","Rango2")</f>
        <v>Rango2</v>
      </c>
    </row>
    <row r="1155" spans="1:1" x14ac:dyDescent="0.3">
      <c r="A1155" t="str">
        <f>IF(datos_limpios!N1155&lt;3,"Rango1","Rango2")</f>
        <v>Rango2</v>
      </c>
    </row>
    <row r="1156" spans="1:1" x14ac:dyDescent="0.3">
      <c r="A1156" t="str">
        <f>IF(datos_limpios!N1156&lt;3,"Rango1","Rango2")</f>
        <v>Rango2</v>
      </c>
    </row>
    <row r="1157" spans="1:1" x14ac:dyDescent="0.3">
      <c r="A1157" t="str">
        <f>IF(datos_limpios!N1157&lt;3,"Rango1","Rango2")</f>
        <v>Rango2</v>
      </c>
    </row>
    <row r="1158" spans="1:1" x14ac:dyDescent="0.3">
      <c r="A1158" t="str">
        <f>IF(datos_limpios!N1158&lt;3,"Rango1","Rango2")</f>
        <v>Rango2</v>
      </c>
    </row>
    <row r="1159" spans="1:1" x14ac:dyDescent="0.3">
      <c r="A1159" t="str">
        <f>IF(datos_limpios!N1159&lt;3,"Rango1","Rango2")</f>
        <v>Rango2</v>
      </c>
    </row>
    <row r="1160" spans="1:1" x14ac:dyDescent="0.3">
      <c r="A1160" t="str">
        <f>IF(datos_limpios!N1160&lt;3,"Rango1","Rango2")</f>
        <v>Rango2</v>
      </c>
    </row>
    <row r="1161" spans="1:1" x14ac:dyDescent="0.3">
      <c r="A1161" t="str">
        <f>IF(datos_limpios!N1161&lt;3,"Rango1","Rango2")</f>
        <v>Rango2</v>
      </c>
    </row>
    <row r="1162" spans="1:1" x14ac:dyDescent="0.3">
      <c r="A1162" t="str">
        <f>IF(datos_limpios!N1162&lt;3,"Rango1","Rango2")</f>
        <v>Rango2</v>
      </c>
    </row>
    <row r="1163" spans="1:1" x14ac:dyDescent="0.3">
      <c r="A1163" t="str">
        <f>IF(datos_limpios!N1163&lt;3,"Rango1","Rango2")</f>
        <v>Rango2</v>
      </c>
    </row>
    <row r="1164" spans="1:1" x14ac:dyDescent="0.3">
      <c r="A1164" t="str">
        <f>IF(datos_limpios!N1164&lt;3,"Rango1","Rango2")</f>
        <v>Rango2</v>
      </c>
    </row>
    <row r="1165" spans="1:1" x14ac:dyDescent="0.3">
      <c r="A1165" t="str">
        <f>IF(datos_limpios!N1165&lt;3,"Rango1","Rango2")</f>
        <v>Rango2</v>
      </c>
    </row>
    <row r="1166" spans="1:1" x14ac:dyDescent="0.3">
      <c r="A1166" t="str">
        <f>IF(datos_limpios!N1166&lt;3,"Rango1","Rango2")</f>
        <v>Rango2</v>
      </c>
    </row>
    <row r="1167" spans="1:1" x14ac:dyDescent="0.3">
      <c r="A1167" t="str">
        <f>IF(datos_limpios!N1167&lt;3,"Rango1","Rango2")</f>
        <v>Rango2</v>
      </c>
    </row>
    <row r="1168" spans="1:1" x14ac:dyDescent="0.3">
      <c r="A1168" t="str">
        <f>IF(datos_limpios!N1168&lt;3,"Rango1","Rango2")</f>
        <v>Rango2</v>
      </c>
    </row>
    <row r="1169" spans="1:1" x14ac:dyDescent="0.3">
      <c r="A1169" t="str">
        <f>IF(datos_limpios!N1169&lt;3,"Rango1","Rango2")</f>
        <v>Rango2</v>
      </c>
    </row>
    <row r="1170" spans="1:1" x14ac:dyDescent="0.3">
      <c r="A1170" t="str">
        <f>IF(datos_limpios!N1170&lt;3,"Rango1","Rango2")</f>
        <v>Rango2</v>
      </c>
    </row>
    <row r="1171" spans="1:1" x14ac:dyDescent="0.3">
      <c r="A1171" t="str">
        <f>IF(datos_limpios!N1171&lt;3,"Rango1","Rango2")</f>
        <v>Rango2</v>
      </c>
    </row>
    <row r="1172" spans="1:1" x14ac:dyDescent="0.3">
      <c r="A1172" t="str">
        <f>IF(datos_limpios!N1172&lt;3,"Rango1","Rango2")</f>
        <v>Rango2</v>
      </c>
    </row>
    <row r="1173" spans="1:1" x14ac:dyDescent="0.3">
      <c r="A1173" t="str">
        <f>IF(datos_limpios!N1173&lt;3,"Rango1","Rango2")</f>
        <v>Rango2</v>
      </c>
    </row>
    <row r="1174" spans="1:1" x14ac:dyDescent="0.3">
      <c r="A1174" t="str">
        <f>IF(datos_limpios!N1174&lt;3,"Rango1","Rango2")</f>
        <v>Rango2</v>
      </c>
    </row>
    <row r="1175" spans="1:1" x14ac:dyDescent="0.3">
      <c r="A1175" t="str">
        <f>IF(datos_limpios!N1175&lt;3,"Rango1","Rango2")</f>
        <v>Rango2</v>
      </c>
    </row>
    <row r="1176" spans="1:1" x14ac:dyDescent="0.3">
      <c r="A1176" t="str">
        <f>IF(datos_limpios!N1176&lt;3,"Rango1","Rango2")</f>
        <v>Rango2</v>
      </c>
    </row>
    <row r="1177" spans="1:1" x14ac:dyDescent="0.3">
      <c r="A1177" t="str">
        <f>IF(datos_limpios!N1177&lt;3,"Rango1","Rango2")</f>
        <v>Rango2</v>
      </c>
    </row>
    <row r="1178" spans="1:1" x14ac:dyDescent="0.3">
      <c r="A1178" t="str">
        <f>IF(datos_limpios!N1178&lt;3,"Rango1","Rango2")</f>
        <v>Rango2</v>
      </c>
    </row>
    <row r="1179" spans="1:1" x14ac:dyDescent="0.3">
      <c r="A1179" t="str">
        <f>IF(datos_limpios!N1179&lt;3,"Rango1","Rango2")</f>
        <v>Rango2</v>
      </c>
    </row>
    <row r="1180" spans="1:1" x14ac:dyDescent="0.3">
      <c r="A1180" t="str">
        <f>IF(datos_limpios!N1180&lt;3,"Rango1","Rango2")</f>
        <v>Rango2</v>
      </c>
    </row>
    <row r="1181" spans="1:1" x14ac:dyDescent="0.3">
      <c r="A1181" t="str">
        <f>IF(datos_limpios!N1181&lt;3,"Rango1","Rango2")</f>
        <v>Rango2</v>
      </c>
    </row>
    <row r="1182" spans="1:1" x14ac:dyDescent="0.3">
      <c r="A1182" t="str">
        <f>IF(datos_limpios!N1182&lt;3,"Rango1","Rango2")</f>
        <v>Rango2</v>
      </c>
    </row>
    <row r="1183" spans="1:1" x14ac:dyDescent="0.3">
      <c r="A1183" t="str">
        <f>IF(datos_limpios!N1183&lt;3,"Rango1","Rango2")</f>
        <v>Rango2</v>
      </c>
    </row>
    <row r="1184" spans="1:1" x14ac:dyDescent="0.3">
      <c r="A1184" t="str">
        <f>IF(datos_limpios!N1184&lt;3,"Rango1","Rango2")</f>
        <v>Rango2</v>
      </c>
    </row>
    <row r="1185" spans="1:1" x14ac:dyDescent="0.3">
      <c r="A1185" t="str">
        <f>IF(datos_limpios!N1185&lt;3,"Rango1","Rango2")</f>
        <v>Rango2</v>
      </c>
    </row>
    <row r="1186" spans="1:1" x14ac:dyDescent="0.3">
      <c r="A1186" t="str">
        <f>IF(datos_limpios!N1186&lt;3,"Rango1","Rango2")</f>
        <v>Rango2</v>
      </c>
    </row>
    <row r="1187" spans="1:1" x14ac:dyDescent="0.3">
      <c r="A1187" t="str">
        <f>IF(datos_limpios!N1187&lt;3,"Rango1","Rango2")</f>
        <v>Rango2</v>
      </c>
    </row>
    <row r="1188" spans="1:1" x14ac:dyDescent="0.3">
      <c r="A1188" t="str">
        <f>IF(datos_limpios!N1188&lt;3,"Rango1","Rango2")</f>
        <v>Rango2</v>
      </c>
    </row>
    <row r="1189" spans="1:1" x14ac:dyDescent="0.3">
      <c r="A1189" t="str">
        <f>IF(datos_limpios!N1189&lt;3,"Rango1","Rango2")</f>
        <v>Rango2</v>
      </c>
    </row>
    <row r="1190" spans="1:1" x14ac:dyDescent="0.3">
      <c r="A1190" t="str">
        <f>IF(datos_limpios!N1190&lt;3,"Rango1","Rango2")</f>
        <v>Rango2</v>
      </c>
    </row>
    <row r="1191" spans="1:1" x14ac:dyDescent="0.3">
      <c r="A1191" t="str">
        <f>IF(datos_limpios!N1191&lt;3,"Rango1","Rango2")</f>
        <v>Rango2</v>
      </c>
    </row>
    <row r="1192" spans="1:1" x14ac:dyDescent="0.3">
      <c r="A1192" t="str">
        <f>IF(datos_limpios!N1192&lt;3,"Rango1","Rango2")</f>
        <v>Rango2</v>
      </c>
    </row>
    <row r="1193" spans="1:1" x14ac:dyDescent="0.3">
      <c r="A1193" t="str">
        <f>IF(datos_limpios!N1193&lt;3,"Rango1","Rango2")</f>
        <v>Rango2</v>
      </c>
    </row>
    <row r="1194" spans="1:1" x14ac:dyDescent="0.3">
      <c r="A1194" t="str">
        <f>IF(datos_limpios!N1194&lt;3,"Rango1","Rango2")</f>
        <v>Rango2</v>
      </c>
    </row>
    <row r="1195" spans="1:1" x14ac:dyDescent="0.3">
      <c r="A1195" t="str">
        <f>IF(datos_limpios!N1195&lt;3,"Rango1","Rango2")</f>
        <v>Rango2</v>
      </c>
    </row>
    <row r="1196" spans="1:1" x14ac:dyDescent="0.3">
      <c r="A1196" t="str">
        <f>IF(datos_limpios!N1196&lt;3,"Rango1","Rango2")</f>
        <v>Rango2</v>
      </c>
    </row>
    <row r="1197" spans="1:1" x14ac:dyDescent="0.3">
      <c r="A1197" t="str">
        <f>IF(datos_limpios!N1197&lt;3,"Rango1","Rango2")</f>
        <v>Rango2</v>
      </c>
    </row>
    <row r="1198" spans="1:1" x14ac:dyDescent="0.3">
      <c r="A1198" t="str">
        <f>IF(datos_limpios!N1198&lt;3,"Rango1","Rango2")</f>
        <v>Rango2</v>
      </c>
    </row>
    <row r="1199" spans="1:1" x14ac:dyDescent="0.3">
      <c r="A1199" t="str">
        <f>IF(datos_limpios!N1199&lt;3,"Rango1","Rango2")</f>
        <v>Rango2</v>
      </c>
    </row>
    <row r="1200" spans="1:1" x14ac:dyDescent="0.3">
      <c r="A1200" t="str">
        <f>IF(datos_limpios!N1200&lt;3,"Rango1","Rango2")</f>
        <v>Rango2</v>
      </c>
    </row>
    <row r="1201" spans="1:1" x14ac:dyDescent="0.3">
      <c r="A1201" t="str">
        <f>IF(datos_limpios!N1201&lt;3,"Rango1","Rango2")</f>
        <v>Rango2</v>
      </c>
    </row>
    <row r="1202" spans="1:1" x14ac:dyDescent="0.3">
      <c r="A1202" t="str">
        <f>IF(datos_limpios!N1202&lt;3,"Rango1","Rango2")</f>
        <v>Rango2</v>
      </c>
    </row>
    <row r="1203" spans="1:1" x14ac:dyDescent="0.3">
      <c r="A1203" t="str">
        <f>IF(datos_limpios!N1203&lt;3,"Rango1","Rango2")</f>
        <v>Rango2</v>
      </c>
    </row>
    <row r="1204" spans="1:1" x14ac:dyDescent="0.3">
      <c r="A1204" t="str">
        <f>IF(datos_limpios!N1204&lt;3,"Rango1","Rango2")</f>
        <v>Rango2</v>
      </c>
    </row>
    <row r="1205" spans="1:1" x14ac:dyDescent="0.3">
      <c r="A1205" t="str">
        <f>IF(datos_limpios!N1205&lt;3,"Rango1","Rango2")</f>
        <v>Rango2</v>
      </c>
    </row>
    <row r="1206" spans="1:1" x14ac:dyDescent="0.3">
      <c r="A1206" t="str">
        <f>IF(datos_limpios!N1206&lt;3,"Rango1","Rango2")</f>
        <v>Rango2</v>
      </c>
    </row>
    <row r="1207" spans="1:1" x14ac:dyDescent="0.3">
      <c r="A1207" t="str">
        <f>IF(datos_limpios!N1207&lt;3,"Rango1","Rango2")</f>
        <v>Rango2</v>
      </c>
    </row>
    <row r="1208" spans="1:1" x14ac:dyDescent="0.3">
      <c r="A1208" t="str">
        <f>IF(datos_limpios!N1208&lt;3,"Rango1","Rango2")</f>
        <v>Rango2</v>
      </c>
    </row>
    <row r="1209" spans="1:1" x14ac:dyDescent="0.3">
      <c r="A1209" t="str">
        <f>IF(datos_limpios!N1209&lt;3,"Rango1","Rango2")</f>
        <v>Rango2</v>
      </c>
    </row>
    <row r="1210" spans="1:1" x14ac:dyDescent="0.3">
      <c r="A1210" t="str">
        <f>IF(datos_limpios!N1210&lt;3,"Rango1","Rango2")</f>
        <v>Rango2</v>
      </c>
    </row>
    <row r="1211" spans="1:1" x14ac:dyDescent="0.3">
      <c r="A1211" t="str">
        <f>IF(datos_limpios!N1211&lt;3,"Rango1","Rango2")</f>
        <v>Rango2</v>
      </c>
    </row>
    <row r="1212" spans="1:1" x14ac:dyDescent="0.3">
      <c r="A1212" t="str">
        <f>IF(datos_limpios!N1212&lt;3,"Rango1","Rango2")</f>
        <v>Rango2</v>
      </c>
    </row>
    <row r="1213" spans="1:1" x14ac:dyDescent="0.3">
      <c r="A1213" t="str">
        <f>IF(datos_limpios!N1213&lt;3,"Rango1","Rango2")</f>
        <v>Rango2</v>
      </c>
    </row>
    <row r="1214" spans="1:1" x14ac:dyDescent="0.3">
      <c r="A1214" t="str">
        <f>IF(datos_limpios!N1214&lt;3,"Rango1","Rango2")</f>
        <v>Rango2</v>
      </c>
    </row>
    <row r="1215" spans="1:1" x14ac:dyDescent="0.3">
      <c r="A1215" t="str">
        <f>IF(datos_limpios!N1215&lt;3,"Rango1","Rango2")</f>
        <v>Rango2</v>
      </c>
    </row>
    <row r="1216" spans="1:1" x14ac:dyDescent="0.3">
      <c r="A1216" t="str">
        <f>IF(datos_limpios!N1216&lt;3,"Rango1","Rango2")</f>
        <v>Rango2</v>
      </c>
    </row>
    <row r="1217" spans="1:1" x14ac:dyDescent="0.3">
      <c r="A1217" t="str">
        <f>IF(datos_limpios!N1217&lt;3,"Rango1","Rango2")</f>
        <v>Rango2</v>
      </c>
    </row>
    <row r="1218" spans="1:1" x14ac:dyDescent="0.3">
      <c r="A1218" t="str">
        <f>IF(datos_limpios!N1218&lt;3,"Rango1","Rango2")</f>
        <v>Rango2</v>
      </c>
    </row>
    <row r="1219" spans="1:1" x14ac:dyDescent="0.3">
      <c r="A1219" t="str">
        <f>IF(datos_limpios!N1219&lt;3,"Rango1","Rango2")</f>
        <v>Rango2</v>
      </c>
    </row>
    <row r="1220" spans="1:1" x14ac:dyDescent="0.3">
      <c r="A1220" t="str">
        <f>IF(datos_limpios!N1220&lt;3,"Rango1","Rango2")</f>
        <v>Rango2</v>
      </c>
    </row>
    <row r="1221" spans="1:1" x14ac:dyDescent="0.3">
      <c r="A1221" t="str">
        <f>IF(datos_limpios!N1221&lt;3,"Rango1","Rango2")</f>
        <v>Rango2</v>
      </c>
    </row>
    <row r="1222" spans="1:1" x14ac:dyDescent="0.3">
      <c r="A1222" t="str">
        <f>IF(datos_limpios!N1222&lt;3,"Rango1","Rango2")</f>
        <v>Rango2</v>
      </c>
    </row>
    <row r="1223" spans="1:1" x14ac:dyDescent="0.3">
      <c r="A1223" t="str">
        <f>IF(datos_limpios!N1223&lt;3,"Rango1","Rango2")</f>
        <v>Rango2</v>
      </c>
    </row>
    <row r="1224" spans="1:1" x14ac:dyDescent="0.3">
      <c r="A1224" t="str">
        <f>IF(datos_limpios!N1224&lt;3,"Rango1","Rango2")</f>
        <v>Rango2</v>
      </c>
    </row>
    <row r="1225" spans="1:1" x14ac:dyDescent="0.3">
      <c r="A1225" t="str">
        <f>IF(datos_limpios!N1225&lt;3,"Rango1","Rango2")</f>
        <v>Rango2</v>
      </c>
    </row>
    <row r="1226" spans="1:1" x14ac:dyDescent="0.3">
      <c r="A1226" t="str">
        <f>IF(datos_limpios!N1226&lt;3,"Rango1","Rango2")</f>
        <v>Rango2</v>
      </c>
    </row>
    <row r="1227" spans="1:1" x14ac:dyDescent="0.3">
      <c r="A1227" t="str">
        <f>IF(datos_limpios!N1227&lt;3,"Rango1","Rango2")</f>
        <v>Rango2</v>
      </c>
    </row>
    <row r="1228" spans="1:1" x14ac:dyDescent="0.3">
      <c r="A1228" t="str">
        <f>IF(datos_limpios!N1228&lt;3,"Rango1","Rango2")</f>
        <v>Rango2</v>
      </c>
    </row>
    <row r="1229" spans="1:1" x14ac:dyDescent="0.3">
      <c r="A1229" t="str">
        <f>IF(datos_limpios!N1229&lt;3,"Rango1","Rango2")</f>
        <v>Rango2</v>
      </c>
    </row>
    <row r="1230" spans="1:1" x14ac:dyDescent="0.3">
      <c r="A1230" t="str">
        <f>IF(datos_limpios!N1230&lt;3,"Rango1","Rango2")</f>
        <v>Rango2</v>
      </c>
    </row>
    <row r="1231" spans="1:1" x14ac:dyDescent="0.3">
      <c r="A1231" t="str">
        <f>IF(datos_limpios!N1231&lt;3,"Rango1","Rango2")</f>
        <v>Rango2</v>
      </c>
    </row>
    <row r="1232" spans="1:1" x14ac:dyDescent="0.3">
      <c r="A1232" t="str">
        <f>IF(datos_limpios!N1232&lt;3,"Rango1","Rango2")</f>
        <v>Rango2</v>
      </c>
    </row>
    <row r="1233" spans="1:1" x14ac:dyDescent="0.3">
      <c r="A1233" t="str">
        <f>IF(datos_limpios!N1233&lt;3,"Rango1","Rango2")</f>
        <v>Rango2</v>
      </c>
    </row>
    <row r="1234" spans="1:1" x14ac:dyDescent="0.3">
      <c r="A1234" t="str">
        <f>IF(datos_limpios!N1234&lt;3,"Rango1","Rango2")</f>
        <v>Rango2</v>
      </c>
    </row>
    <row r="1235" spans="1:1" x14ac:dyDescent="0.3">
      <c r="A1235" t="str">
        <f>IF(datos_limpios!N1235&lt;3,"Rango1","Rango2")</f>
        <v>Rango2</v>
      </c>
    </row>
    <row r="1236" spans="1:1" x14ac:dyDescent="0.3">
      <c r="A1236" t="str">
        <f>IF(datos_limpios!N1236&lt;3,"Rango1","Rango2")</f>
        <v>Rango2</v>
      </c>
    </row>
    <row r="1237" spans="1:1" x14ac:dyDescent="0.3">
      <c r="A1237" t="str">
        <f>IF(datos_limpios!N1237&lt;3,"Rango1","Rango2")</f>
        <v>Rango2</v>
      </c>
    </row>
    <row r="1238" spans="1:1" x14ac:dyDescent="0.3">
      <c r="A1238" t="str">
        <f>IF(datos_limpios!N1238&lt;3,"Rango1","Rango2")</f>
        <v>Rango2</v>
      </c>
    </row>
    <row r="1239" spans="1:1" x14ac:dyDescent="0.3">
      <c r="A1239" t="str">
        <f>IF(datos_limpios!N1239&lt;3,"Rango1","Rango2")</f>
        <v>Rango2</v>
      </c>
    </row>
    <row r="1240" spans="1:1" x14ac:dyDescent="0.3">
      <c r="A1240" t="str">
        <f>IF(datos_limpios!N1240&lt;3,"Rango1","Rango2")</f>
        <v>Rango2</v>
      </c>
    </row>
    <row r="1241" spans="1:1" x14ac:dyDescent="0.3">
      <c r="A1241" t="str">
        <f>IF(datos_limpios!N1241&lt;3,"Rango1","Rango2")</f>
        <v>Rango2</v>
      </c>
    </row>
    <row r="1242" spans="1:1" x14ac:dyDescent="0.3">
      <c r="A1242" t="str">
        <f>IF(datos_limpios!N1242&lt;3,"Rango1","Rango2")</f>
        <v>Rango2</v>
      </c>
    </row>
    <row r="1243" spans="1:1" x14ac:dyDescent="0.3">
      <c r="A1243" t="str">
        <f>IF(datos_limpios!N1243&lt;3,"Rango1","Rango2")</f>
        <v>Rango2</v>
      </c>
    </row>
    <row r="1244" spans="1:1" x14ac:dyDescent="0.3">
      <c r="A1244" t="str">
        <f>IF(datos_limpios!N1244&lt;3,"Rango1","Rango2")</f>
        <v>Rango2</v>
      </c>
    </row>
    <row r="1245" spans="1:1" x14ac:dyDescent="0.3">
      <c r="A1245" t="str">
        <f>IF(datos_limpios!N1245&lt;3,"Rango1","Rango2")</f>
        <v>Rango2</v>
      </c>
    </row>
    <row r="1246" spans="1:1" x14ac:dyDescent="0.3">
      <c r="A1246" t="str">
        <f>IF(datos_limpios!N1246&lt;3,"Rango1","Rango2")</f>
        <v>Rango2</v>
      </c>
    </row>
    <row r="1247" spans="1:1" x14ac:dyDescent="0.3">
      <c r="A1247" t="str">
        <f>IF(datos_limpios!N1247&lt;3,"Rango1","Rango2")</f>
        <v>Rango2</v>
      </c>
    </row>
    <row r="1248" spans="1:1" x14ac:dyDescent="0.3">
      <c r="A1248" t="str">
        <f>IF(datos_limpios!N1248&lt;3,"Rango1","Rango2")</f>
        <v>Rango2</v>
      </c>
    </row>
    <row r="1249" spans="1:1" x14ac:dyDescent="0.3">
      <c r="A1249" t="str">
        <f>IF(datos_limpios!N1249&lt;3,"Rango1","Rango2")</f>
        <v>Rango2</v>
      </c>
    </row>
    <row r="1250" spans="1:1" x14ac:dyDescent="0.3">
      <c r="A1250" t="str">
        <f>IF(datos_limpios!N1250&lt;3,"Rango1","Rango2")</f>
        <v>Rango2</v>
      </c>
    </row>
    <row r="1251" spans="1:1" x14ac:dyDescent="0.3">
      <c r="A1251" t="str">
        <f>IF(datos_limpios!N1251&lt;3,"Rango1","Rango2")</f>
        <v>Rango2</v>
      </c>
    </row>
    <row r="1252" spans="1:1" x14ac:dyDescent="0.3">
      <c r="A1252" t="str">
        <f>IF(datos_limpios!N1252&lt;3,"Rango1","Rango2")</f>
        <v>Rango2</v>
      </c>
    </row>
    <row r="1253" spans="1:1" x14ac:dyDescent="0.3">
      <c r="A1253" t="str">
        <f>IF(datos_limpios!N1253&lt;3,"Rango1","Rango2")</f>
        <v>Rango2</v>
      </c>
    </row>
    <row r="1254" spans="1:1" x14ac:dyDescent="0.3">
      <c r="A1254" t="str">
        <f>IF(datos_limpios!N1254&lt;3,"Rango1","Rango2")</f>
        <v>Rango2</v>
      </c>
    </row>
    <row r="1255" spans="1:1" x14ac:dyDescent="0.3">
      <c r="A1255" t="str">
        <f>IF(datos_limpios!N1255&lt;3,"Rango1","Rango2")</f>
        <v>Rango2</v>
      </c>
    </row>
    <row r="1256" spans="1:1" x14ac:dyDescent="0.3">
      <c r="A1256" t="str">
        <f>IF(datos_limpios!N1256&lt;3,"Rango1","Rango2")</f>
        <v>Rango2</v>
      </c>
    </row>
    <row r="1257" spans="1:1" x14ac:dyDescent="0.3">
      <c r="A1257" t="str">
        <f>IF(datos_limpios!N1257&lt;3,"Rango1","Rango2")</f>
        <v>Rango2</v>
      </c>
    </row>
    <row r="1258" spans="1:1" x14ac:dyDescent="0.3">
      <c r="A1258" t="str">
        <f>IF(datos_limpios!N1258&lt;3,"Rango1","Rango2")</f>
        <v>Rango2</v>
      </c>
    </row>
    <row r="1259" spans="1:1" x14ac:dyDescent="0.3">
      <c r="A1259" t="str">
        <f>IF(datos_limpios!N1259&lt;3,"Rango1","Rango2")</f>
        <v>Rango2</v>
      </c>
    </row>
    <row r="1260" spans="1:1" x14ac:dyDescent="0.3">
      <c r="A1260" t="str">
        <f>IF(datos_limpios!N1260&lt;3,"Rango1","Rango2")</f>
        <v>Rango2</v>
      </c>
    </row>
    <row r="1261" spans="1:1" x14ac:dyDescent="0.3">
      <c r="A1261" t="str">
        <f>IF(datos_limpios!N1261&lt;3,"Rango1","Rango2")</f>
        <v>Rango2</v>
      </c>
    </row>
    <row r="1262" spans="1:1" x14ac:dyDescent="0.3">
      <c r="A1262" t="str">
        <f>IF(datos_limpios!N1262&lt;3,"Rango1","Rango2")</f>
        <v>Rango2</v>
      </c>
    </row>
    <row r="1263" spans="1:1" x14ac:dyDescent="0.3">
      <c r="A1263" t="str">
        <f>IF(datos_limpios!N1263&lt;3,"Rango1","Rango2")</f>
        <v>Rango2</v>
      </c>
    </row>
    <row r="1264" spans="1:1" x14ac:dyDescent="0.3">
      <c r="A1264" t="str">
        <f>IF(datos_limpios!N1264&lt;3,"Rango1","Rango2")</f>
        <v>Rango2</v>
      </c>
    </row>
    <row r="1265" spans="1:1" x14ac:dyDescent="0.3">
      <c r="A1265" t="str">
        <f>IF(datos_limpios!N1265&lt;3,"Rango1","Rango2")</f>
        <v>Rango2</v>
      </c>
    </row>
    <row r="1266" spans="1:1" x14ac:dyDescent="0.3">
      <c r="A1266" t="str">
        <f>IF(datos_limpios!N1266&lt;3,"Rango1","Rango2")</f>
        <v>Rango2</v>
      </c>
    </row>
    <row r="1267" spans="1:1" x14ac:dyDescent="0.3">
      <c r="A1267" t="str">
        <f>IF(datos_limpios!N1267&lt;3,"Rango1","Rango2")</f>
        <v>Rango2</v>
      </c>
    </row>
    <row r="1268" spans="1:1" x14ac:dyDescent="0.3">
      <c r="A1268" t="str">
        <f>IF(datos_limpios!N1268&lt;3,"Rango1","Rango2")</f>
        <v>Rango2</v>
      </c>
    </row>
    <row r="1269" spans="1:1" x14ac:dyDescent="0.3">
      <c r="A1269" t="str">
        <f>IF(datos_limpios!N1269&lt;3,"Rango1","Rango2")</f>
        <v>Rango2</v>
      </c>
    </row>
    <row r="1270" spans="1:1" x14ac:dyDescent="0.3">
      <c r="A1270" t="str">
        <f>IF(datos_limpios!N1270&lt;3,"Rango1","Rango2")</f>
        <v>Rango2</v>
      </c>
    </row>
    <row r="1271" spans="1:1" x14ac:dyDescent="0.3">
      <c r="A1271" t="str">
        <f>IF(datos_limpios!N1271&lt;3,"Rango1","Rango2")</f>
        <v>Rango2</v>
      </c>
    </row>
    <row r="1272" spans="1:1" x14ac:dyDescent="0.3">
      <c r="A1272" t="str">
        <f>IF(datos_limpios!N1272&lt;3,"Rango1","Rango2")</f>
        <v>Rango2</v>
      </c>
    </row>
    <row r="1273" spans="1:1" x14ac:dyDescent="0.3">
      <c r="A1273" t="str">
        <f>IF(datos_limpios!N1273&lt;3,"Rango1","Rango2")</f>
        <v>Rango2</v>
      </c>
    </row>
    <row r="1274" spans="1:1" x14ac:dyDescent="0.3">
      <c r="A1274" t="str">
        <f>IF(datos_limpios!N1274&lt;3,"Rango1","Rango2")</f>
        <v>Rango2</v>
      </c>
    </row>
    <row r="1275" spans="1:1" x14ac:dyDescent="0.3">
      <c r="A1275" t="str">
        <f>IF(datos_limpios!N1275&lt;3,"Rango1","Rango2")</f>
        <v>Rango2</v>
      </c>
    </row>
    <row r="1276" spans="1:1" x14ac:dyDescent="0.3">
      <c r="A1276" t="str">
        <f>IF(datos_limpios!N1276&lt;3,"Rango1","Rango2")</f>
        <v>Rango2</v>
      </c>
    </row>
    <row r="1277" spans="1:1" x14ac:dyDescent="0.3">
      <c r="A1277" t="str">
        <f>IF(datos_limpios!N1277&lt;3,"Rango1","Rango2")</f>
        <v>Rango2</v>
      </c>
    </row>
    <row r="1278" spans="1:1" x14ac:dyDescent="0.3">
      <c r="A1278" t="str">
        <f>IF(datos_limpios!N1278&lt;3,"Rango1","Rango2")</f>
        <v>Rango2</v>
      </c>
    </row>
    <row r="1279" spans="1:1" x14ac:dyDescent="0.3">
      <c r="A1279" t="str">
        <f>IF(datos_limpios!N1279&lt;3,"Rango1","Rango2")</f>
        <v>Rango2</v>
      </c>
    </row>
    <row r="1280" spans="1:1" x14ac:dyDescent="0.3">
      <c r="A1280" t="str">
        <f>IF(datos_limpios!N1280&lt;3,"Rango1","Rango2")</f>
        <v>Rango2</v>
      </c>
    </row>
    <row r="1281" spans="1:1" x14ac:dyDescent="0.3">
      <c r="A1281" t="str">
        <f>IF(datos_limpios!N1281&lt;3,"Rango1","Rango2")</f>
        <v>Rango2</v>
      </c>
    </row>
    <row r="1282" spans="1:1" x14ac:dyDescent="0.3">
      <c r="A1282" t="str">
        <f>IF(datos_limpios!N1282&lt;3,"Rango1","Rango2")</f>
        <v>Rango2</v>
      </c>
    </row>
    <row r="1283" spans="1:1" x14ac:dyDescent="0.3">
      <c r="A1283" t="str">
        <f>IF(datos_limpios!N1283&lt;3,"Rango1","Rango2")</f>
        <v>Rango2</v>
      </c>
    </row>
    <row r="1284" spans="1:1" x14ac:dyDescent="0.3">
      <c r="A1284" t="str">
        <f>IF(datos_limpios!N1284&lt;3,"Rango1","Rango2")</f>
        <v>Rango2</v>
      </c>
    </row>
    <row r="1285" spans="1:1" x14ac:dyDescent="0.3">
      <c r="A1285" t="str">
        <f>IF(datos_limpios!N1285&lt;3,"Rango1","Rango2")</f>
        <v>Rango2</v>
      </c>
    </row>
    <row r="1286" spans="1:1" x14ac:dyDescent="0.3">
      <c r="A1286" t="str">
        <f>IF(datos_limpios!N1286&lt;3,"Rango1","Rango2")</f>
        <v>Rango2</v>
      </c>
    </row>
    <row r="1287" spans="1:1" x14ac:dyDescent="0.3">
      <c r="A1287" t="str">
        <f>IF(datos_limpios!N1287&lt;3,"Rango1","Rango2")</f>
        <v>Rango2</v>
      </c>
    </row>
    <row r="1288" spans="1:1" x14ac:dyDescent="0.3">
      <c r="A1288" t="str">
        <f>IF(datos_limpios!N1288&lt;3,"Rango1","Rango2")</f>
        <v>Rango2</v>
      </c>
    </row>
    <row r="1289" spans="1:1" x14ac:dyDescent="0.3">
      <c r="A1289" t="str">
        <f>IF(datos_limpios!N1289&lt;3,"Rango1","Rango2")</f>
        <v>Rango2</v>
      </c>
    </row>
    <row r="1290" spans="1:1" x14ac:dyDescent="0.3">
      <c r="A1290" t="str">
        <f>IF(datos_limpios!N1290&lt;3,"Rango1","Rango2")</f>
        <v>Rango2</v>
      </c>
    </row>
    <row r="1291" spans="1:1" x14ac:dyDescent="0.3">
      <c r="A1291" t="str">
        <f>IF(datos_limpios!N1291&lt;3,"Rango1","Rango2")</f>
        <v>Rango2</v>
      </c>
    </row>
    <row r="1292" spans="1:1" x14ac:dyDescent="0.3">
      <c r="A1292" t="str">
        <f>IF(datos_limpios!N1292&lt;3,"Rango1","Rango2")</f>
        <v>Rango2</v>
      </c>
    </row>
    <row r="1293" spans="1:1" x14ac:dyDescent="0.3">
      <c r="A1293" t="str">
        <f>IF(datos_limpios!N1293&lt;3,"Rango1","Rango2")</f>
        <v>Rango2</v>
      </c>
    </row>
  </sheetData>
  <phoneticPr fontId="1" type="noConversion"/>
  <conditionalFormatting pivot="1" sqref="J4 J5 J6 J7 J8 J9 J10 J11 J12 J13 J14">
    <cfRule type="cellIs" dxfId="2" priority="3" operator="greaterThan">
      <formula>200</formula>
    </cfRule>
  </conditionalFormatting>
  <conditionalFormatting pivot="1" sqref="J4 J5 J6 J7 J8 J9 J10 J11 J12 J13 J14">
    <cfRule type="cellIs" dxfId="1" priority="2" operator="lessThan">
      <formula>100</formula>
    </cfRule>
  </conditionalFormatting>
  <conditionalFormatting pivot="1" sqref="J4 J5 J6 J7 J8 J9 J10 J11 J12 J13 J14">
    <cfRule type="cellIs" dxfId="0" priority="1" operator="between">
      <formula>100</formula>
      <formula>200</formula>
    </cfRule>
  </conditionalFormatting>
  <pageMargins left="0.7" right="0.7" top="0.75" bottom="0.75" header="0.3" footer="0.3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BBD69EBE-BFA0-4AD2-ACDE-A4138254B5B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Precio!H4:H14</xm:f>
              <xm:sqref>H16</xm:sqref>
            </x14:sparkline>
          </x14:sparklines>
        </x14:sparklineGroup>
      </x14:sparklineGroup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71448-B6EA-4770-A2D0-9224291D94B7}">
  <sheetPr codeName="Hoja4"/>
  <dimension ref="B3:C16"/>
  <sheetViews>
    <sheetView zoomScale="59" workbookViewId="0">
      <selection activeCell="C6" sqref="C6"/>
    </sheetView>
  </sheetViews>
  <sheetFormatPr baseColWidth="10" defaultRowHeight="14.4" x14ac:dyDescent="0.3"/>
  <cols>
    <col min="1" max="1" width="17.33203125" bestFit="1" customWidth="1"/>
    <col min="2" max="2" width="24.5546875" bestFit="1" customWidth="1"/>
    <col min="3" max="3" width="28.88671875" bestFit="1" customWidth="1"/>
    <col min="4" max="5" width="19" bestFit="1" customWidth="1"/>
    <col min="6" max="6" width="20.6640625" bestFit="1" customWidth="1"/>
    <col min="7" max="7" width="9.6640625" bestFit="1" customWidth="1"/>
    <col min="8" max="8" width="9.109375" bestFit="1" customWidth="1"/>
    <col min="9" max="9" width="9" bestFit="1" customWidth="1"/>
    <col min="10" max="10" width="15.21875" bestFit="1" customWidth="1"/>
    <col min="11" max="11" width="12.21875" bestFit="1" customWidth="1"/>
  </cols>
  <sheetData>
    <row r="3" spans="2:3" x14ac:dyDescent="0.3">
      <c r="B3" s="4" t="s">
        <v>1446</v>
      </c>
      <c r="C3" t="s">
        <v>1460</v>
      </c>
    </row>
    <row r="4" spans="2:3" x14ac:dyDescent="0.3">
      <c r="B4" s="14">
        <v>2009</v>
      </c>
      <c r="C4" s="13">
        <v>88000</v>
      </c>
    </row>
    <row r="5" spans="2:3" x14ac:dyDescent="0.3">
      <c r="B5" s="14">
        <v>2010</v>
      </c>
      <c r="C5" s="13">
        <v>72000</v>
      </c>
    </row>
    <row r="6" spans="2:3" x14ac:dyDescent="0.3">
      <c r="B6" s="14">
        <v>2012</v>
      </c>
      <c r="C6" s="13">
        <v>85000</v>
      </c>
    </row>
    <row r="7" spans="2:3" x14ac:dyDescent="0.3">
      <c r="B7" s="14">
        <v>2013</v>
      </c>
      <c r="C7" s="13">
        <v>68372.875</v>
      </c>
    </row>
    <row r="8" spans="2:3" x14ac:dyDescent="0.3">
      <c r="B8" s="14">
        <v>2014</v>
      </c>
      <c r="C8" s="13">
        <v>74197</v>
      </c>
    </row>
    <row r="9" spans="2:3" x14ac:dyDescent="0.3">
      <c r="B9" s="14">
        <v>2015</v>
      </c>
      <c r="C9" s="13">
        <v>56000</v>
      </c>
    </row>
    <row r="10" spans="2:3" x14ac:dyDescent="0.3">
      <c r="B10" s="14">
        <v>2016</v>
      </c>
      <c r="C10" s="13">
        <v>66241</v>
      </c>
    </row>
    <row r="11" spans="2:3" x14ac:dyDescent="0.3">
      <c r="B11" s="14">
        <v>2017</v>
      </c>
      <c r="C11" s="13">
        <v>67331.857142857145</v>
      </c>
    </row>
    <row r="12" spans="2:3" x14ac:dyDescent="0.3">
      <c r="B12" s="14">
        <v>2018</v>
      </c>
      <c r="C12" s="13">
        <v>44265.666666666664</v>
      </c>
    </row>
    <row r="13" spans="2:3" x14ac:dyDescent="0.3">
      <c r="B13" s="14">
        <v>2019</v>
      </c>
      <c r="C13" s="13">
        <v>38787.444444444445</v>
      </c>
    </row>
    <row r="14" spans="2:3" x14ac:dyDescent="0.3">
      <c r="B14" s="14">
        <v>2020</v>
      </c>
      <c r="C14" s="13">
        <v>20000</v>
      </c>
    </row>
    <row r="15" spans="2:3" x14ac:dyDescent="0.3">
      <c r="B15" s="14">
        <v>2021</v>
      </c>
      <c r="C15" s="13">
        <v>23162</v>
      </c>
    </row>
    <row r="16" spans="2:3" x14ac:dyDescent="0.3">
      <c r="B16" s="10" t="s">
        <v>1447</v>
      </c>
      <c r="C16" s="13">
        <v>57518.041666666664</v>
      </c>
    </row>
  </sheetData>
  <pageMargins left="0.7" right="0.7" top="0.75" bottom="0.75" header="0.3" footer="0.3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673B5735-1FEB-4701-8657-F29F7EB25BB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Hoja5!C4:C17</xm:f>
              <xm:sqref>C19</xm:sqref>
            </x14:sparkline>
          </x14:sparklines>
        </x14:sparklineGroup>
      </x14:sparklineGroup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57FDE-52D2-493C-9377-67FFCC8E1E8E}">
  <sheetPr codeName="Hoja5"/>
  <dimension ref="A4:L78"/>
  <sheetViews>
    <sheetView topLeftCell="A35" zoomScale="61" workbookViewId="0">
      <selection activeCell="D50" sqref="D50"/>
    </sheetView>
  </sheetViews>
  <sheetFormatPr baseColWidth="10" defaultRowHeight="14.4" x14ac:dyDescent="0.3"/>
  <cols>
    <col min="1" max="1" width="13.88671875" customWidth="1"/>
    <col min="2" max="2" width="14.21875" bestFit="1" customWidth="1"/>
    <col min="3" max="3" width="39" bestFit="1" customWidth="1"/>
    <col min="4" max="4" width="12.6640625" customWidth="1"/>
    <col min="5" max="5" width="12.109375" bestFit="1" customWidth="1"/>
    <col min="7" max="7" width="14.21875" bestFit="1" customWidth="1"/>
    <col min="8" max="8" width="39" bestFit="1" customWidth="1"/>
    <col min="9" max="9" width="32.44140625" bestFit="1" customWidth="1"/>
    <col min="10" max="10" width="20.44140625" bestFit="1" customWidth="1"/>
  </cols>
  <sheetData>
    <row r="4" spans="1:12" x14ac:dyDescent="0.3">
      <c r="A4" t="s">
        <v>1476</v>
      </c>
      <c r="B4" t="s">
        <v>1477</v>
      </c>
    </row>
    <row r="5" spans="1:12" x14ac:dyDescent="0.3">
      <c r="A5" t="s">
        <v>125</v>
      </c>
      <c r="B5">
        <f>COUNTIF(datos_limpios!$A$2:$A$1936,Tabla4[[#This Row],[Marcas]])</f>
        <v>119</v>
      </c>
    </row>
    <row r="6" spans="1:12" x14ac:dyDescent="0.3">
      <c r="A6" t="s">
        <v>38</v>
      </c>
      <c r="B6">
        <f>COUNTIF(datos_limpios!$A$2:$A$1936,Tabla4[[#This Row],[Marcas]])</f>
        <v>90</v>
      </c>
    </row>
    <row r="7" spans="1:12" x14ac:dyDescent="0.3">
      <c r="A7" t="s">
        <v>804</v>
      </c>
      <c r="B7">
        <f>COUNTIF(datos_limpios!$A$2:$A$1936,Tabla4[[#This Row],[Marcas]])</f>
        <v>7</v>
      </c>
      <c r="H7" t="s">
        <v>1481</v>
      </c>
      <c r="I7" t="s">
        <v>1485</v>
      </c>
      <c r="J7" t="s">
        <v>1482</v>
      </c>
    </row>
    <row r="8" spans="1:12" x14ac:dyDescent="0.3">
      <c r="A8" t="s">
        <v>662</v>
      </c>
      <c r="B8">
        <f>COUNTIF(datos_limpios!$A$2:$A$1936,Tabla4[[#This Row],[Marcas]])</f>
        <v>8</v>
      </c>
      <c r="H8" t="s">
        <v>19</v>
      </c>
      <c r="I8">
        <f>COUNTIF(datos_limpios!$H$2:$H$1936,Tabla7[[#This Row],[Tipo]])</f>
        <v>979</v>
      </c>
      <c r="J8" s="1" cm="1">
        <f t="array" ref="J8">AVERAGE(IF(datos_limpios!$H$2:$H$1936=Tabla7[[#This Row],[Tipo]],datos_limpios!$E$2:$E$1936))</f>
        <v>22798.33657303371</v>
      </c>
    </row>
    <row r="9" spans="1:12" x14ac:dyDescent="0.3">
      <c r="A9" t="s">
        <v>638</v>
      </c>
      <c r="B9">
        <f>COUNTIF(datos_limpios!$A$2:$A$1936,Tabla4[[#This Row],[Marcas]])</f>
        <v>1</v>
      </c>
      <c r="H9" t="s">
        <v>12</v>
      </c>
      <c r="I9">
        <f>COUNTIF(datos_limpios!$H$2:$H$1936,Tabla7[[#This Row],[Tipo]])</f>
        <v>898</v>
      </c>
      <c r="J9" s="1" cm="1">
        <f t="array" ref="J9">AVERAGE(IF(datos_limpios!$H$2:$H$1936=Tabla7[[#This Row],[Tipo]],datos_limpios!$E$2:$E$1936))</f>
        <v>14425.335751670382</v>
      </c>
      <c r="L9" t="s">
        <v>1483</v>
      </c>
    </row>
    <row r="10" spans="1:12" x14ac:dyDescent="0.3">
      <c r="A10" t="s">
        <v>527</v>
      </c>
      <c r="B10">
        <f>COUNTIF(datos_limpios!$A$2:$A$1936,Tabla4[[#This Row],[Marcas]])</f>
        <v>2</v>
      </c>
      <c r="H10" t="s">
        <v>89</v>
      </c>
      <c r="I10">
        <f>COUNTIF(datos_limpios!$H$2:$H$1936,Tabla7[[#This Row],[Tipo]])</f>
        <v>50</v>
      </c>
      <c r="J10" s="1" cm="1">
        <f t="array" ref="J10">AVERAGE(IF(datos_limpios!$H$2:$H$1936=Tabla7[[#This Row],[Tipo]],datos_limpios!$E$2:$E$1936))</f>
        <v>4899.18</v>
      </c>
      <c r="L10" t="s">
        <v>1484</v>
      </c>
    </row>
    <row r="11" spans="1:12" x14ac:dyDescent="0.3">
      <c r="A11" t="s">
        <v>104</v>
      </c>
      <c r="B11">
        <f>COUNTIF(datos_limpios!$A$2:$A$1936,Tabla4[[#This Row],[Marcas]])</f>
        <v>48</v>
      </c>
      <c r="H11" t="s">
        <v>1054</v>
      </c>
      <c r="I11">
        <f>COUNTIF(datos_limpios!$H$2:$H$1936,Tabla7[[#This Row],[Tipo]])</f>
        <v>3</v>
      </c>
      <c r="J11" s="1" cm="1">
        <f t="array" ref="J11">AVERAGE(IF(datos_limpios!$H$2:$H$1936=Tabla7[[#This Row],[Tipo]],datos_limpios!$E$2:$E$1936))</f>
        <v>78833.333333333328</v>
      </c>
    </row>
    <row r="12" spans="1:12" x14ac:dyDescent="0.3">
      <c r="A12" t="s">
        <v>10</v>
      </c>
      <c r="B12">
        <f>COUNTIF(datos_limpios!$A$2:$A$1936,Tabla4[[#This Row],[Marcas]])</f>
        <v>150</v>
      </c>
      <c r="H12" t="s">
        <v>254</v>
      </c>
      <c r="I12">
        <f>COUNTIF(datos_limpios!$H$2:$H$1936,Tabla7[[#This Row],[Tipo]])</f>
        <v>5</v>
      </c>
      <c r="J12" s="1" cm="1">
        <f t="array" ref="J12">AVERAGE(IF(datos_limpios!$H$2:$H$1936=Tabla7[[#This Row],[Tipo]],datos_limpios!$E$2:$E$1936))</f>
        <v>2310</v>
      </c>
    </row>
    <row r="13" spans="1:12" x14ac:dyDescent="0.3">
      <c r="A13" t="s">
        <v>23</v>
      </c>
      <c r="B13">
        <f>COUNTIF(datos_limpios!$A$2:$A$1936,Tabla4[[#This Row],[Marcas]])</f>
        <v>342</v>
      </c>
    </row>
    <row r="14" spans="1:12" x14ac:dyDescent="0.3">
      <c r="A14" t="s">
        <v>449</v>
      </c>
      <c r="B14">
        <f>COUNTIF(datos_limpios!$A$2:$A$1936,Tabla4[[#This Row],[Marcas]])</f>
        <v>2</v>
      </c>
    </row>
    <row r="15" spans="1:12" x14ac:dyDescent="0.3">
      <c r="A15" t="s">
        <v>426</v>
      </c>
      <c r="B15">
        <f>COUNTIF(datos_limpios!$A$2:$A$1936,Tabla4[[#This Row],[Marcas]])</f>
        <v>13</v>
      </c>
    </row>
    <row r="16" spans="1:12" x14ac:dyDescent="0.3">
      <c r="A16" t="s">
        <v>154</v>
      </c>
      <c r="B16">
        <f>COUNTIF(datos_limpios!$A$2:$A$1936,Tabla4[[#This Row],[Marcas]])</f>
        <v>16</v>
      </c>
    </row>
    <row r="17" spans="1:2" x14ac:dyDescent="0.3">
      <c r="A17" t="s">
        <v>290</v>
      </c>
      <c r="B17">
        <f>COUNTIF(datos_limpios!$A$2:$A$1936,Tabla4[[#This Row],[Marcas]])</f>
        <v>23</v>
      </c>
    </row>
    <row r="18" spans="1:2" x14ac:dyDescent="0.3">
      <c r="A18" t="s">
        <v>299</v>
      </c>
      <c r="B18">
        <f>COUNTIF(datos_limpios!$A$2:$A$1936,Tabla4[[#This Row],[Marcas]])</f>
        <v>30</v>
      </c>
    </row>
    <row r="19" spans="1:2" x14ac:dyDescent="0.3">
      <c r="A19" t="s">
        <v>1006</v>
      </c>
      <c r="B19">
        <f>COUNTIF(datos_limpios!$A$2:$A$1936,Tabla4[[#This Row],[Marcas]])</f>
        <v>5</v>
      </c>
    </row>
    <row r="20" spans="1:2" x14ac:dyDescent="0.3">
      <c r="A20" t="s">
        <v>132</v>
      </c>
      <c r="B20">
        <f>COUNTIF(datos_limpios!$A$2:$A$1936,Tabla4[[#This Row],[Marcas]])</f>
        <v>112</v>
      </c>
    </row>
    <row r="21" spans="1:2" x14ac:dyDescent="0.3">
      <c r="A21" t="s">
        <v>17</v>
      </c>
      <c r="B21">
        <f>COUNTIF(datos_limpios!$A$2:$A$1936,Tabla4[[#This Row],[Marcas]])</f>
        <v>424</v>
      </c>
    </row>
    <row r="22" spans="1:2" x14ac:dyDescent="0.3">
      <c r="A22" t="s">
        <v>400</v>
      </c>
      <c r="B22">
        <f>COUNTIF(datos_limpios!$A$2:$A$1936,Tabla4[[#This Row],[Marcas]])</f>
        <v>1</v>
      </c>
    </row>
    <row r="23" spans="1:2" x14ac:dyDescent="0.3">
      <c r="A23" t="s">
        <v>116</v>
      </c>
      <c r="B23">
        <f>COUNTIF(datos_limpios!$A$2:$A$1936,Tabla4[[#This Row],[Marcas]])</f>
        <v>159</v>
      </c>
    </row>
    <row r="24" spans="1:2" x14ac:dyDescent="0.3">
      <c r="A24" t="s">
        <v>145</v>
      </c>
      <c r="B24">
        <f>COUNTIF(datos_limpios!$A$2:$A$1936,Tabla4[[#This Row],[Marcas]])</f>
        <v>16</v>
      </c>
    </row>
    <row r="25" spans="1:2" x14ac:dyDescent="0.3">
      <c r="A25" t="s">
        <v>613</v>
      </c>
      <c r="B25">
        <f>COUNTIF(datos_limpios!$A$2:$A$1936,Tabla4[[#This Row],[Marcas]])</f>
        <v>11</v>
      </c>
    </row>
    <row r="26" spans="1:2" x14ac:dyDescent="0.3">
      <c r="A26" t="s">
        <v>651</v>
      </c>
      <c r="B26">
        <f>COUNTIF(datos_limpios!$A$2:$A$1936,Tabla4[[#This Row],[Marcas]])</f>
        <v>4</v>
      </c>
    </row>
    <row r="27" spans="1:2" x14ac:dyDescent="0.3">
      <c r="A27" t="s">
        <v>47</v>
      </c>
      <c r="B27">
        <f>COUNTIF(datos_limpios!$A$2:$A$1936,Tabla4[[#This Row],[Marcas]])</f>
        <v>15</v>
      </c>
    </row>
    <row r="28" spans="1:2" x14ac:dyDescent="0.3">
      <c r="A28" t="s">
        <v>222</v>
      </c>
      <c r="B28">
        <f>COUNTIF(datos_limpios!$A$2:$A$1936,Tabla4[[#This Row],[Marcas]])</f>
        <v>12</v>
      </c>
    </row>
    <row r="29" spans="1:2" x14ac:dyDescent="0.3">
      <c r="A29" t="s">
        <v>52</v>
      </c>
      <c r="B29">
        <f>COUNTIF(datos_limpios!$A$2:$A$1936,Tabla4[[#This Row],[Marcas]])</f>
        <v>43</v>
      </c>
    </row>
    <row r="30" spans="1:2" x14ac:dyDescent="0.3">
      <c r="A30" t="s">
        <v>986</v>
      </c>
      <c r="B30">
        <f>COUNTIF(datos_limpios!$A$2:$A$1936,Tabla4[[#This Row],[Marcas]])</f>
        <v>3</v>
      </c>
    </row>
    <row r="31" spans="1:2" x14ac:dyDescent="0.3">
      <c r="A31" t="s">
        <v>43</v>
      </c>
      <c r="B31">
        <f>COUNTIF(datos_limpios!$A$2:$A$1936,Tabla4[[#This Row],[Marcas]])</f>
        <v>37</v>
      </c>
    </row>
    <row r="32" spans="1:2" x14ac:dyDescent="0.3">
      <c r="A32" t="s">
        <v>914</v>
      </c>
      <c r="B32">
        <f>COUNTIF(datos_limpios!$A$2:$A$1936,Tabla4[[#This Row],[Marcas]])</f>
        <v>3</v>
      </c>
    </row>
    <row r="33" spans="1:2" x14ac:dyDescent="0.3">
      <c r="A33" t="s">
        <v>60</v>
      </c>
      <c r="B33">
        <f>COUNTIF(datos_limpios!$A$2:$A$1936,Tabla4[[#This Row],[Marcas]])</f>
        <v>51</v>
      </c>
    </row>
    <row r="34" spans="1:2" x14ac:dyDescent="0.3">
      <c r="A34" t="s">
        <v>28</v>
      </c>
      <c r="B34">
        <f>COUNTIF(datos_limpios!$A$2:$A$1936,Tabla4[[#This Row],[Marcas]])</f>
        <v>130</v>
      </c>
    </row>
    <row r="35" spans="1:2" x14ac:dyDescent="0.3">
      <c r="A35" t="s">
        <v>65</v>
      </c>
      <c r="B35">
        <f>COUNTIF(datos_limpios!$A$2:$A$1936,Tabla4[[#This Row],[Marcas]])</f>
        <v>42</v>
      </c>
    </row>
    <row r="36" spans="1:2" x14ac:dyDescent="0.3">
      <c r="A36" t="s">
        <v>355</v>
      </c>
      <c r="B36">
        <f>COUNTIF(datos_limpios!$A$2:$A$1936,Tabla4[[#This Row],[Marcas]])</f>
        <v>16</v>
      </c>
    </row>
    <row r="37" spans="1:2" x14ac:dyDescent="0.3">
      <c r="A37" s="6" t="s">
        <v>1486</v>
      </c>
      <c r="B37">
        <f>SUM(B5:B36)</f>
        <v>1935</v>
      </c>
    </row>
    <row r="41" spans="1:2" x14ac:dyDescent="0.3">
      <c r="A41" t="s">
        <v>1487</v>
      </c>
      <c r="B41" t="s">
        <v>1477</v>
      </c>
    </row>
    <row r="42" spans="1:2" x14ac:dyDescent="0.3">
      <c r="A42" t="s">
        <v>249</v>
      </c>
      <c r="B42">
        <f>COUNTIF(datos_limpios!$J$2:$J$1936,Tabla9[[#This Row],[Colores]])</f>
        <v>6</v>
      </c>
    </row>
    <row r="43" spans="1:2" x14ac:dyDescent="0.3">
      <c r="A43" t="s">
        <v>101</v>
      </c>
      <c r="B43">
        <f>COUNTIF(datos_limpios!$J$2:$J$1936,Tabla9[[#This Row],[Colores]])</f>
        <v>154</v>
      </c>
    </row>
    <row r="44" spans="1:2" x14ac:dyDescent="0.3">
      <c r="A44" t="s">
        <v>57</v>
      </c>
      <c r="B44">
        <f>COUNTIF(datos_limpios!$J$2:$J$1936,Tabla9[[#This Row],[Colores]])</f>
        <v>174</v>
      </c>
    </row>
    <row r="45" spans="1:2" x14ac:dyDescent="0.3">
      <c r="A45" t="s">
        <v>115</v>
      </c>
      <c r="B45">
        <f>COUNTIF(datos_limpios!$J$2:$J$1936,Tabla9[[#This Row],[Colores]])</f>
        <v>26</v>
      </c>
    </row>
    <row r="46" spans="1:2" x14ac:dyDescent="0.3">
      <c r="A46" t="s">
        <v>82</v>
      </c>
      <c r="B46">
        <f>COUNTIF(datos_limpios!$J$2:$J$1936,Tabla9[[#This Row],[Colores]])</f>
        <v>79</v>
      </c>
    </row>
    <row r="47" spans="1:2" x14ac:dyDescent="0.3">
      <c r="A47" t="s">
        <v>131</v>
      </c>
      <c r="B47">
        <f>COUNTIF(datos_limpios!$J$2:$J$1936,Tabla9[[#This Row],[Colores]])</f>
        <v>30</v>
      </c>
    </row>
    <row r="48" spans="1:2" x14ac:dyDescent="0.3">
      <c r="A48" t="s">
        <v>288</v>
      </c>
      <c r="B48">
        <f>COUNTIF(datos_limpios!$J$2:$J$1936,Tabla9[[#This Row],[Colores]])</f>
        <v>14</v>
      </c>
    </row>
    <row r="49" spans="1:2" x14ac:dyDescent="0.3">
      <c r="A49" t="s">
        <v>14</v>
      </c>
      <c r="B49">
        <f>COUNTIF(datos_limpios!$J$2:$J$1936,Tabla9[[#This Row],[Colores]])</f>
        <v>210</v>
      </c>
    </row>
    <row r="50" spans="1:2" x14ac:dyDescent="0.3">
      <c r="A50" t="s">
        <v>25</v>
      </c>
      <c r="B50">
        <f>COUNTIF(datos_limpios!$J$2:$J$1936,Tabla9[[#This Row],[Colores]])</f>
        <v>34</v>
      </c>
    </row>
    <row r="51" spans="1:2" x14ac:dyDescent="0.3">
      <c r="A51" t="s">
        <v>62</v>
      </c>
      <c r="B51">
        <f>COUNTIF(datos_limpios!$J$2:$J$1936,Tabla9[[#This Row],[Colores]])</f>
        <v>16</v>
      </c>
    </row>
    <row r="52" spans="1:2" x14ac:dyDescent="0.3">
      <c r="A52" t="s">
        <v>713</v>
      </c>
      <c r="B52">
        <f>COUNTIF(datos_limpios!$J$2:$J$1936,Tabla9[[#This Row],[Colores]])</f>
        <v>11</v>
      </c>
    </row>
    <row r="53" spans="1:2" x14ac:dyDescent="0.3">
      <c r="A53" t="s">
        <v>911</v>
      </c>
      <c r="B53">
        <f>COUNTIF(datos_limpios!$J$2:$J$1936,Tabla9[[#This Row],[Colores]])</f>
        <v>1</v>
      </c>
    </row>
    <row r="54" spans="1:2" x14ac:dyDescent="0.3">
      <c r="A54" t="s">
        <v>615</v>
      </c>
      <c r="B54">
        <f>COUNTIF(datos_limpios!$J$2:$J$1936,Tabla9[[#This Row],[Colores]])</f>
        <v>4</v>
      </c>
    </row>
    <row r="55" spans="1:2" x14ac:dyDescent="0.3">
      <c r="A55" t="s">
        <v>30</v>
      </c>
      <c r="B55">
        <f>COUNTIF(datos_limpios!$J$2:$J$1936,Tabla9[[#This Row],[Colores]])</f>
        <v>148</v>
      </c>
    </row>
    <row r="56" spans="1:2" x14ac:dyDescent="0.3">
      <c r="A56" t="s">
        <v>77</v>
      </c>
      <c r="B56">
        <f>COUNTIF(datos_limpios!$J$2:$J$1936,Tabla9[[#This Row],[Colores]])</f>
        <v>278</v>
      </c>
    </row>
    <row r="57" spans="1:2" x14ac:dyDescent="0.3">
      <c r="A57" t="s">
        <v>20</v>
      </c>
      <c r="B57">
        <f>COUNTIF(datos_limpios!$J$2:$J$1936,Tabla9[[#This Row],[Colores]])</f>
        <v>744</v>
      </c>
    </row>
    <row r="58" spans="1:2" x14ac:dyDescent="0.3">
      <c r="A58" t="s">
        <v>872</v>
      </c>
      <c r="B58">
        <f>COUNTIF(datos_limpios!$J$2:$J$1936,Tabla9[[#This Row],[Colores]])</f>
        <v>6</v>
      </c>
    </row>
    <row r="59" spans="1:2" x14ac:dyDescent="0.3">
      <c r="A59" t="s">
        <v>1486</v>
      </c>
      <c r="B59">
        <f>SUM(B42:B58)</f>
        <v>1935</v>
      </c>
    </row>
    <row r="63" spans="1:2" x14ac:dyDescent="0.3">
      <c r="B63" s="8"/>
    </row>
    <row r="68" spans="1:11" x14ac:dyDescent="0.3">
      <c r="A68" t="s">
        <v>1473</v>
      </c>
      <c r="B68" t="s">
        <v>1475</v>
      </c>
      <c r="C68" t="s">
        <v>1474</v>
      </c>
      <c r="D68" t="s">
        <v>1548</v>
      </c>
      <c r="E68" t="s">
        <v>1549</v>
      </c>
      <c r="G68" t="s">
        <v>1473</v>
      </c>
      <c r="H68" t="s">
        <v>1475</v>
      </c>
      <c r="I68" t="s">
        <v>1474</v>
      </c>
      <c r="J68" t="s">
        <v>1548</v>
      </c>
      <c r="K68" t="s">
        <v>1549</v>
      </c>
    </row>
    <row r="69" spans="1:11" x14ac:dyDescent="0.3">
      <c r="A69" s="9">
        <v>225</v>
      </c>
      <c r="B69" s="8" t="s">
        <v>638</v>
      </c>
      <c r="C69" s="8" t="s">
        <v>639</v>
      </c>
      <c r="D69">
        <f>IFERROR(VLOOKUP(Tabla2[[#This Row],[Id]],datos_limpios!$C$2:$G$1936, 5, FALSE), "")</f>
        <v>9500</v>
      </c>
      <c r="E69" s="1">
        <f>IFERROR(VLOOKUP(Tabla2[[#This Row],[Id]],datos_limpios!$C$2:$G$1936, 3, FALSE), "")</f>
        <v>385000</v>
      </c>
      <c r="G69" s="9">
        <v>1699</v>
      </c>
      <c r="H69" s="8" t="s">
        <v>60</v>
      </c>
      <c r="I69" s="8" t="s">
        <v>647</v>
      </c>
      <c r="J69">
        <f>IFERROR(VLOOKUP(Tabla24[[#This Row],[Id]],datos_limpios!$C$2:$G$1936, 5, FALSE), "")</f>
        <v>60000</v>
      </c>
      <c r="K69" s="1">
        <f>IFERROR(VLOOKUP(Tabla24[[#This Row],[Id]],datos_limpios!$C$2:$G$1936, 3, FALSE), "")</f>
        <v>539</v>
      </c>
    </row>
    <row r="70" spans="1:11" x14ac:dyDescent="0.3">
      <c r="A70" s="9">
        <v>851</v>
      </c>
      <c r="B70" s="8" t="s">
        <v>299</v>
      </c>
      <c r="C70" s="8" t="s">
        <v>1150</v>
      </c>
      <c r="D70">
        <f>IFERROR(VLOOKUP(Tabla2[[#This Row],[Id]],datos_limpios!$C$2:$G$1936, 5, FALSE), "")</f>
        <v>11000</v>
      </c>
      <c r="E70" s="1">
        <f>IFERROR(VLOOKUP(Tabla2[[#This Row],[Id]],datos_limpios!$C$2:$G$1936, 3, FALSE), "")</f>
        <v>302500</v>
      </c>
      <c r="G70" s="9">
        <v>1700</v>
      </c>
      <c r="H70" s="8" t="s">
        <v>60</v>
      </c>
      <c r="I70" s="8" t="s">
        <v>621</v>
      </c>
      <c r="J70">
        <f>IFERROR(VLOOKUP(Tabla24[[#This Row],[Id]],datos_limpios!$C$2:$G$1936, 5, FALSE), "")</f>
        <v>93000</v>
      </c>
      <c r="K70" s="1">
        <f>IFERROR(VLOOKUP(Tabla24[[#This Row],[Id]],datos_limpios!$C$2:$G$1936, 3, FALSE), "")</f>
        <v>1264.989</v>
      </c>
    </row>
    <row r="71" spans="1:11" x14ac:dyDescent="0.3">
      <c r="A71" s="9">
        <v>850</v>
      </c>
      <c r="B71" s="8" t="s">
        <v>299</v>
      </c>
      <c r="C71" s="8" t="s">
        <v>727</v>
      </c>
      <c r="D71">
        <f>IFERROR(VLOOKUP(Tabla2[[#This Row],[Id]],datos_limpios!$C$2:$G$1936, 5, FALSE), "")</f>
        <v>35000</v>
      </c>
      <c r="E71" s="1">
        <f>IFERROR(VLOOKUP(Tabla2[[#This Row],[Id]],datos_limpios!$C$2:$G$1936, 3, FALSE), "")</f>
        <v>242000</v>
      </c>
      <c r="G71" s="9">
        <v>426</v>
      </c>
      <c r="H71" s="8" t="s">
        <v>23</v>
      </c>
      <c r="I71" s="8" t="s">
        <v>253</v>
      </c>
      <c r="J71">
        <f>IFERROR(VLOOKUP(Tabla24[[#This Row],[Id]],datos_limpios!$C$2:$G$1936, 5, FALSE), "")</f>
        <v>48500</v>
      </c>
      <c r="K71" s="1">
        <f>IFERROR(VLOOKUP(Tabla24[[#This Row],[Id]],datos_limpios!$C$2:$G$1936, 3, FALSE), "")</f>
        <v>1320</v>
      </c>
    </row>
    <row r="72" spans="1:11" x14ac:dyDescent="0.3">
      <c r="A72" s="9">
        <v>1554</v>
      </c>
      <c r="B72" s="8" t="s">
        <v>116</v>
      </c>
      <c r="C72" s="8" t="s">
        <v>1387</v>
      </c>
      <c r="D72">
        <f>IFERROR(VLOOKUP(Tabla2[[#This Row],[Id]],datos_limpios!$C$2:$G$1936, 5, FALSE), "")</f>
        <v>6600</v>
      </c>
      <c r="E72" s="1">
        <f>IFERROR(VLOOKUP(Tabla2[[#This Row],[Id]],datos_limpios!$C$2:$G$1936, 3, FALSE), "")</f>
        <v>220000</v>
      </c>
      <c r="F72" s="8"/>
      <c r="G72" s="9">
        <v>969</v>
      </c>
      <c r="H72" s="8" t="s">
        <v>17</v>
      </c>
      <c r="I72" s="8" t="s">
        <v>392</v>
      </c>
      <c r="J72">
        <f>IFERROR(VLOOKUP(Tabla24[[#This Row],[Id]],datos_limpios!$C$2:$G$1936, 5, FALSE), "")</f>
        <v>80000</v>
      </c>
      <c r="K72" s="1">
        <f>IFERROR(VLOOKUP(Tabla24[[#This Row],[Id]],datos_limpios!$C$2:$G$1936, 3, FALSE), "")</f>
        <v>1320</v>
      </c>
    </row>
    <row r="73" spans="1:11" x14ac:dyDescent="0.3">
      <c r="A73" s="9">
        <v>1657</v>
      </c>
      <c r="B73" s="8" t="s">
        <v>986</v>
      </c>
      <c r="C73" s="8" t="s">
        <v>1133</v>
      </c>
      <c r="D73">
        <f>IFERROR(VLOOKUP(Tabla2[[#This Row],[Id]],datos_limpios!$C$2:$G$1936, 5, FALSE), "")</f>
        <v>27000</v>
      </c>
      <c r="E73" s="1">
        <f>IFERROR(VLOOKUP(Tabla2[[#This Row],[Id]],datos_limpios!$C$2:$G$1936, 3, FALSE), "")</f>
        <v>220000</v>
      </c>
      <c r="F73" s="8"/>
      <c r="G73" s="9">
        <v>427</v>
      </c>
      <c r="H73" s="8" t="s">
        <v>23</v>
      </c>
      <c r="I73" s="8" t="s">
        <v>1301</v>
      </c>
      <c r="J73">
        <f>IFERROR(VLOOKUP(Tabla24[[#This Row],[Id]],datos_limpios!$C$2:$G$1936, 5, FALSE), "")</f>
        <v>59000</v>
      </c>
      <c r="K73" s="1">
        <f>IFERROR(VLOOKUP(Tabla24[[#This Row],[Id]],datos_limpios!$C$2:$G$1936, 3, FALSE), "")</f>
        <v>1430</v>
      </c>
    </row>
    <row r="74" spans="1:11" x14ac:dyDescent="0.3">
      <c r="A74" s="9">
        <v>1658</v>
      </c>
      <c r="B74" s="8" t="s">
        <v>986</v>
      </c>
      <c r="C74" s="8" t="s">
        <v>1133</v>
      </c>
      <c r="D74">
        <f>IFERROR(VLOOKUP(Tabla2[[#This Row],[Id]],datos_limpios!$C$2:$G$1936, 5, FALSE), "")</f>
        <v>55000</v>
      </c>
      <c r="E74" s="1">
        <f>IFERROR(VLOOKUP(Tabla2[[#This Row],[Id]],datos_limpios!$C$2:$G$1936, 3, FALSE), "")</f>
        <v>220000</v>
      </c>
      <c r="G74" s="9">
        <v>970</v>
      </c>
      <c r="H74" s="8" t="s">
        <v>17</v>
      </c>
      <c r="I74" s="8" t="s">
        <v>910</v>
      </c>
      <c r="J74">
        <f>IFERROR(VLOOKUP(Tabla24[[#This Row],[Id]],datos_limpios!$C$2:$G$1936, 5, FALSE), "")</f>
        <v>72542</v>
      </c>
      <c r="K74" s="1">
        <f>IFERROR(VLOOKUP(Tabla24[[#This Row],[Id]],datos_limpios!$C$2:$G$1936, 3, FALSE), "")</f>
        <v>1485</v>
      </c>
    </row>
    <row r="75" spans="1:11" x14ac:dyDescent="0.3">
      <c r="A75" s="9">
        <v>849</v>
      </c>
      <c r="B75" s="8" t="s">
        <v>299</v>
      </c>
      <c r="C75" s="8" t="s">
        <v>727</v>
      </c>
      <c r="D75">
        <f>IFERROR(VLOOKUP(Tabla2[[#This Row],[Id]],datos_limpios!$C$2:$G$1936, 5, FALSE), "")</f>
        <v>63000</v>
      </c>
      <c r="E75" s="1">
        <f>IFERROR(VLOOKUP(Tabla2[[#This Row],[Id]],datos_limpios!$C$2:$G$1936, 3, FALSE), "")</f>
        <v>212300</v>
      </c>
      <c r="G75" s="9">
        <v>971</v>
      </c>
      <c r="H75" s="8" t="s">
        <v>17</v>
      </c>
      <c r="I75" s="8" t="s">
        <v>466</v>
      </c>
      <c r="J75">
        <f>IFERROR(VLOOKUP(Tabla24[[#This Row],[Id]],datos_limpios!$C$2:$G$1936, 5, FALSE), "")</f>
        <v>65000</v>
      </c>
      <c r="K75" s="1">
        <f>IFERROR(VLOOKUP(Tabla24[[#This Row],[Id]],datos_limpios!$C$2:$G$1936, 3, FALSE), "")</f>
        <v>1540</v>
      </c>
    </row>
    <row r="76" spans="1:11" x14ac:dyDescent="0.3">
      <c r="A76" s="9">
        <v>1553</v>
      </c>
      <c r="B76" s="8" t="s">
        <v>116</v>
      </c>
      <c r="C76" s="8" t="s">
        <v>482</v>
      </c>
      <c r="D76">
        <f>IFERROR(VLOOKUP(Tabla2[[#This Row],[Id]],datos_limpios!$C$2:$G$1936, 5, FALSE), "")</f>
        <v>5000</v>
      </c>
      <c r="E76" s="1">
        <f>IFERROR(VLOOKUP(Tabla2[[#This Row],[Id]],datos_limpios!$C$2:$G$1936, 3, FALSE), "")</f>
        <v>203500</v>
      </c>
      <c r="G76" s="9">
        <v>428</v>
      </c>
      <c r="H76" s="8" t="s">
        <v>23</v>
      </c>
      <c r="I76" s="8" t="s">
        <v>1163</v>
      </c>
      <c r="J76">
        <f>IFERROR(VLOOKUP(Tabla24[[#This Row],[Id]],datos_limpios!$C$2:$G$1936, 5, FALSE), "")</f>
        <v>56400</v>
      </c>
      <c r="K76" s="1">
        <f>IFERROR(VLOOKUP(Tabla24[[#This Row],[Id]],datos_limpios!$C$2:$G$1936, 3, FALSE), "")</f>
        <v>1551</v>
      </c>
    </row>
    <row r="77" spans="1:11" x14ac:dyDescent="0.3">
      <c r="A77" s="9">
        <v>1552</v>
      </c>
      <c r="B77" s="8" t="s">
        <v>116</v>
      </c>
      <c r="C77" s="8" t="s">
        <v>598</v>
      </c>
      <c r="D77">
        <f>IFERROR(VLOOKUP(Tabla2[[#This Row],[Id]],datos_limpios!$C$2:$G$1936, 5, FALSE), "")</f>
        <v>21000</v>
      </c>
      <c r="E77" s="1">
        <f>IFERROR(VLOOKUP(Tabla2[[#This Row],[Id]],datos_limpios!$C$2:$G$1936, 3, FALSE), "")</f>
        <v>203500</v>
      </c>
      <c r="G77" s="9">
        <v>429</v>
      </c>
      <c r="H77" s="8" t="s">
        <v>23</v>
      </c>
      <c r="I77" s="8" t="s">
        <v>107</v>
      </c>
      <c r="J77">
        <f>IFERROR(VLOOKUP(Tabla24[[#This Row],[Id]],datos_limpios!$C$2:$G$1936, 5, FALSE), "")</f>
        <v>72000</v>
      </c>
      <c r="K77" s="1">
        <f>IFERROR(VLOOKUP(Tabla24[[#This Row],[Id]],datos_limpios!$C$2:$G$1936, 3, FALSE), "")</f>
        <v>1595</v>
      </c>
    </row>
    <row r="78" spans="1:11" x14ac:dyDescent="0.3">
      <c r="A78" s="9">
        <v>1656</v>
      </c>
      <c r="B78" s="8" t="s">
        <v>986</v>
      </c>
      <c r="C78" s="8" t="s">
        <v>987</v>
      </c>
      <c r="D78">
        <f>IFERROR(VLOOKUP(Tabla2[[#This Row],[Id]],datos_limpios!$C$2:$G$1936, 5, FALSE), "")</f>
        <v>60000</v>
      </c>
      <c r="E78" s="1">
        <f>IFERROR(VLOOKUP(Tabla2[[#This Row],[Id]],datos_limpios!$C$2:$G$1936, 3, FALSE), "")</f>
        <v>198000</v>
      </c>
      <c r="G78" s="9">
        <v>972</v>
      </c>
      <c r="H78" s="8" t="s">
        <v>17</v>
      </c>
      <c r="I78" s="8" t="s">
        <v>433</v>
      </c>
      <c r="J78">
        <f>IFERROR(VLOOKUP(Tabla24[[#This Row],[Id]],datos_limpios!$C$2:$G$1936, 5, FALSE), "")</f>
        <v>39586</v>
      </c>
      <c r="K78" s="1">
        <f>IFERROR(VLOOKUP(Tabla24[[#This Row],[Id]],datos_limpios!$C$2:$G$1936, 3, FALSE), "")</f>
        <v>1595</v>
      </c>
    </row>
  </sheetData>
  <phoneticPr fontId="1" type="noConversion"/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B351FFEF-9ABF-4A46-B945-61B62F13D07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'Tablas y graficos'!I8:I12</xm:f>
              <xm:sqref>I32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D9CDC-AE7B-4179-8465-AA7EC3D23448}">
  <sheetPr codeName="Hoja6"/>
  <dimension ref="A1:P1936"/>
  <sheetViews>
    <sheetView topLeftCell="C1" zoomScale="90" workbookViewId="0">
      <selection activeCell="M12" sqref="M12"/>
    </sheetView>
  </sheetViews>
  <sheetFormatPr baseColWidth="10" defaultRowHeight="14.4" x14ac:dyDescent="0.3"/>
  <cols>
    <col min="1" max="1" width="14.33203125" style="8" bestFit="1" customWidth="1"/>
    <col min="2" max="2" width="44.88671875" style="8" bestFit="1" customWidth="1"/>
    <col min="3" max="3" width="7.5546875" bestFit="1" customWidth="1"/>
    <col min="4" max="4" width="14" style="3" bestFit="1" customWidth="1"/>
    <col min="5" max="5" width="12.44140625" style="1" customWidth="1"/>
    <col min="6" max="6" width="9.5546875" bestFit="1" customWidth="1"/>
    <col min="7" max="7" width="12.21875" bestFit="1" customWidth="1"/>
    <col min="8" max="8" width="13.21875" bestFit="1" customWidth="1"/>
    <col min="9" max="9" width="15.21875" bestFit="1" customWidth="1"/>
    <col min="10" max="10" width="9" customWidth="1"/>
    <col min="11" max="11" width="10.109375" customWidth="1"/>
    <col min="12" max="12" width="19" bestFit="1" customWidth="1"/>
    <col min="13" max="13" width="11.33203125" style="2" bestFit="1" customWidth="1"/>
    <col min="14" max="14" width="15.33203125" bestFit="1" customWidth="1"/>
    <col min="15" max="15" width="8" bestFit="1" customWidth="1"/>
    <col min="16" max="16" width="21" bestFit="1" customWidth="1"/>
  </cols>
  <sheetData>
    <row r="1" spans="1:16" x14ac:dyDescent="0.3">
      <c r="A1" s="8" t="s">
        <v>0</v>
      </c>
      <c r="B1" s="8" t="s">
        <v>1</v>
      </c>
      <c r="C1" t="s">
        <v>1473</v>
      </c>
      <c r="D1" s="3" t="s">
        <v>1443</v>
      </c>
      <c r="E1" s="1" t="s">
        <v>1444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s="8" t="s">
        <v>1479</v>
      </c>
      <c r="N1" t="s">
        <v>9</v>
      </c>
      <c r="O1" t="s">
        <v>1478</v>
      </c>
      <c r="P1" t="s">
        <v>1445</v>
      </c>
    </row>
    <row r="2" spans="1:16" x14ac:dyDescent="0.3">
      <c r="A2" s="8" t="s">
        <v>125</v>
      </c>
      <c r="B2" s="8" t="s">
        <v>1253</v>
      </c>
      <c r="C2" s="9">
        <v>1</v>
      </c>
      <c r="D2" s="3">
        <v>825000</v>
      </c>
      <c r="E2" s="1">
        <f>datos_limpios[[#This Row],[Price INR   ]]*0.011</f>
        <v>9075</v>
      </c>
      <c r="F2" s="13">
        <v>2009</v>
      </c>
      <c r="G2" s="2">
        <v>63300</v>
      </c>
      <c r="H2" s="8" t="s">
        <v>19</v>
      </c>
      <c r="I2" s="8" t="s">
        <v>40</v>
      </c>
      <c r="J2" s="8" t="s">
        <v>20</v>
      </c>
      <c r="K2" t="s">
        <v>269</v>
      </c>
      <c r="L2" t="s">
        <v>1555</v>
      </c>
      <c r="M2" s="2">
        <f>VALUE(MID(L2,1,FIND("@",L2)-6))</f>
        <v>240</v>
      </c>
      <c r="N2">
        <v>5</v>
      </c>
      <c r="O2" t="str">
        <f>IF(datos_limpios[[#This Row],[Seating Capacity ]]&gt;4,"SI","NO")</f>
        <v>SI</v>
      </c>
      <c r="P2">
        <v>75</v>
      </c>
    </row>
    <row r="3" spans="1:16" x14ac:dyDescent="0.3">
      <c r="A3" s="8" t="s">
        <v>125</v>
      </c>
      <c r="B3" s="8" t="s">
        <v>825</v>
      </c>
      <c r="C3" s="9">
        <v>2</v>
      </c>
      <c r="D3" s="3">
        <v>975000</v>
      </c>
      <c r="E3" s="1">
        <f>datos_limpios[[#This Row],[Price INR   ]]*0.011</f>
        <v>10725</v>
      </c>
      <c r="F3" s="13">
        <v>2011</v>
      </c>
      <c r="G3" s="2">
        <v>75000</v>
      </c>
      <c r="H3" s="8" t="s">
        <v>19</v>
      </c>
      <c r="I3" s="8" t="s">
        <v>40</v>
      </c>
      <c r="J3" s="8" t="s">
        <v>77</v>
      </c>
      <c r="K3" t="s">
        <v>127</v>
      </c>
      <c r="L3" t="s">
        <v>128</v>
      </c>
      <c r="M3" s="2">
        <f>VALUE(MID(L3,1,FIND("@",L3)-6))</f>
        <v>177</v>
      </c>
      <c r="N3">
        <v>5</v>
      </c>
      <c r="O3" t="str">
        <f>IF(datos_limpios[[#This Row],[Seating Capacity ]]&gt;4,"SI","NO")</f>
        <v>SI</v>
      </c>
      <c r="P3">
        <v>63</v>
      </c>
    </row>
    <row r="4" spans="1:16" x14ac:dyDescent="0.3">
      <c r="A4" s="8" t="s">
        <v>125</v>
      </c>
      <c r="B4" s="8" t="s">
        <v>802</v>
      </c>
      <c r="C4" s="9">
        <v>3</v>
      </c>
      <c r="D4" s="3">
        <v>1000000</v>
      </c>
      <c r="E4" s="1">
        <f>datos_limpios[[#This Row],[Price INR   ]]*0.011</f>
        <v>11000</v>
      </c>
      <c r="F4" s="13">
        <v>2010</v>
      </c>
      <c r="G4" s="2">
        <v>67000</v>
      </c>
      <c r="H4" s="8" t="s">
        <v>12</v>
      </c>
      <c r="I4" s="8" t="s">
        <v>40</v>
      </c>
      <c r="J4" s="8" t="s">
        <v>77</v>
      </c>
      <c r="K4" t="s">
        <v>45</v>
      </c>
      <c r="L4" t="s">
        <v>803</v>
      </c>
      <c r="M4" s="2">
        <f>VALUE(MID(L4,1,FIND("@",L4)-6))</f>
        <v>170</v>
      </c>
      <c r="N4">
        <v>5</v>
      </c>
      <c r="O4" t="str">
        <f>IF(datos_limpios[[#This Row],[Seating Capacity ]]&gt;4,"SI","NO")</f>
        <v>SI</v>
      </c>
      <c r="P4">
        <v>63</v>
      </c>
    </row>
    <row r="5" spans="1:16" x14ac:dyDescent="0.3">
      <c r="A5" s="8" t="s">
        <v>125</v>
      </c>
      <c r="B5" s="8" t="s">
        <v>235</v>
      </c>
      <c r="C5" s="9">
        <v>4</v>
      </c>
      <c r="D5" s="3">
        <v>1175000</v>
      </c>
      <c r="E5" s="1">
        <f>datos_limpios[[#This Row],[Price INR   ]]*0.011</f>
        <v>12925</v>
      </c>
      <c r="F5" s="13">
        <v>2012</v>
      </c>
      <c r="G5" s="2">
        <v>77000</v>
      </c>
      <c r="H5" s="8" t="s">
        <v>19</v>
      </c>
      <c r="I5" s="8" t="s">
        <v>40</v>
      </c>
      <c r="J5" s="8" t="s">
        <v>57</v>
      </c>
      <c r="K5" t="s">
        <v>127</v>
      </c>
      <c r="L5" t="s">
        <v>236</v>
      </c>
      <c r="M5" s="2">
        <f>VALUE(MID(L5,1,FIND("@",L5)-6))</f>
        <v>177</v>
      </c>
      <c r="N5">
        <v>5</v>
      </c>
      <c r="O5" t="str">
        <f>IF(datos_limpios[[#This Row],[Seating Capacity ]]&gt;4,"SI","NO")</f>
        <v>SI</v>
      </c>
      <c r="P5">
        <v>65</v>
      </c>
    </row>
    <row r="6" spans="1:16" x14ac:dyDescent="0.3">
      <c r="A6" s="8" t="s">
        <v>125</v>
      </c>
      <c r="B6" s="8" t="s">
        <v>126</v>
      </c>
      <c r="C6" s="9">
        <v>5</v>
      </c>
      <c r="D6" s="3">
        <v>1175000</v>
      </c>
      <c r="E6" s="1">
        <f>datos_limpios[[#This Row],[Price INR   ]]*0.011</f>
        <v>12925</v>
      </c>
      <c r="F6" s="13">
        <v>2013</v>
      </c>
      <c r="G6" s="2">
        <v>50000</v>
      </c>
      <c r="H6" s="8" t="s">
        <v>19</v>
      </c>
      <c r="I6" s="8" t="s">
        <v>40</v>
      </c>
      <c r="J6" s="8" t="s">
        <v>20</v>
      </c>
      <c r="K6" t="s">
        <v>127</v>
      </c>
      <c r="L6" t="s">
        <v>128</v>
      </c>
      <c r="M6" s="2">
        <f>VALUE(MID(L6,1,FIND("@",L6)-6))</f>
        <v>177</v>
      </c>
      <c r="N6">
        <v>5</v>
      </c>
      <c r="O6" t="str">
        <f>IF(datos_limpios[[#This Row],[Seating Capacity ]]&gt;4,"SI","NO")</f>
        <v>SI</v>
      </c>
      <c r="P6">
        <v>63</v>
      </c>
    </row>
    <row r="7" spans="1:16" x14ac:dyDescent="0.3">
      <c r="A7" s="8" t="s">
        <v>125</v>
      </c>
      <c r="B7" s="8" t="s">
        <v>460</v>
      </c>
      <c r="C7" s="9">
        <v>6</v>
      </c>
      <c r="D7" s="3">
        <v>1300000</v>
      </c>
      <c r="E7" s="1">
        <f>datos_limpios[[#This Row],[Price INR   ]]*0.011</f>
        <v>14300</v>
      </c>
      <c r="F7" s="13">
        <v>2014</v>
      </c>
      <c r="G7" s="2">
        <v>51000</v>
      </c>
      <c r="H7" s="8" t="s">
        <v>19</v>
      </c>
      <c r="I7" s="8" t="s">
        <v>40</v>
      </c>
      <c r="J7" s="8" t="s">
        <v>131</v>
      </c>
      <c r="K7" t="s">
        <v>127</v>
      </c>
      <c r="L7" t="s">
        <v>352</v>
      </c>
      <c r="M7" s="2">
        <f>VALUE(MID(L7,1,FIND("@",L7)-6))</f>
        <v>174</v>
      </c>
      <c r="N7">
        <v>5</v>
      </c>
      <c r="O7" t="str">
        <f>IF(datos_limpios[[#This Row],[Seating Capacity ]]&gt;4,"SI","NO")</f>
        <v>SI</v>
      </c>
      <c r="P7">
        <v>64</v>
      </c>
    </row>
    <row r="8" spans="1:16" x14ac:dyDescent="0.3">
      <c r="A8" s="8" t="s">
        <v>125</v>
      </c>
      <c r="B8" s="8" t="s">
        <v>235</v>
      </c>
      <c r="C8" s="9">
        <v>7</v>
      </c>
      <c r="D8" s="3">
        <v>1325000</v>
      </c>
      <c r="E8" s="1">
        <f>datos_limpios[[#This Row],[Price INR   ]]*0.011</f>
        <v>14575</v>
      </c>
      <c r="F8" s="13">
        <v>2012</v>
      </c>
      <c r="G8" s="2">
        <v>98580</v>
      </c>
      <c r="H8" s="8" t="s">
        <v>19</v>
      </c>
      <c r="I8" s="8" t="s">
        <v>40</v>
      </c>
      <c r="J8" s="8" t="s">
        <v>20</v>
      </c>
      <c r="K8" t="s">
        <v>127</v>
      </c>
      <c r="L8" t="s">
        <v>236</v>
      </c>
      <c r="M8" s="2">
        <f>VALUE(MID(L8,1,FIND("@",L8)-6))</f>
        <v>177</v>
      </c>
      <c r="N8">
        <v>5</v>
      </c>
      <c r="O8" t="str">
        <f>IF(datos_limpios[[#This Row],[Seating Capacity ]]&gt;4,"SI","NO")</f>
        <v>SI</v>
      </c>
      <c r="P8">
        <v>65</v>
      </c>
    </row>
    <row r="9" spans="1:16" x14ac:dyDescent="0.3">
      <c r="A9" s="8" t="s">
        <v>125</v>
      </c>
      <c r="B9" s="8" t="s">
        <v>351</v>
      </c>
      <c r="C9" s="9">
        <v>8</v>
      </c>
      <c r="D9" s="3">
        <v>1350000</v>
      </c>
      <c r="E9" s="1">
        <f>datos_limpios[[#This Row],[Price INR   ]]*0.011</f>
        <v>14850</v>
      </c>
      <c r="F9" s="13">
        <v>2012</v>
      </c>
      <c r="G9" s="2">
        <v>72000</v>
      </c>
      <c r="H9" s="8" t="s">
        <v>19</v>
      </c>
      <c r="I9" s="8" t="s">
        <v>40</v>
      </c>
      <c r="J9" s="8" t="s">
        <v>20</v>
      </c>
      <c r="K9" t="s">
        <v>127</v>
      </c>
      <c r="L9" t="s">
        <v>352</v>
      </c>
      <c r="M9" s="2">
        <f>VALUE(MID(L9,1,FIND("@",L9)-6))</f>
        <v>174</v>
      </c>
      <c r="N9">
        <v>5</v>
      </c>
      <c r="O9" t="str">
        <f>IF(datos_limpios[[#This Row],[Seating Capacity ]]&gt;4,"SI","NO")</f>
        <v>SI</v>
      </c>
      <c r="P9">
        <v>64</v>
      </c>
    </row>
    <row r="10" spans="1:16" x14ac:dyDescent="0.3">
      <c r="A10" s="8" t="s">
        <v>125</v>
      </c>
      <c r="B10" s="8" t="s">
        <v>351</v>
      </c>
      <c r="C10" s="9">
        <v>9</v>
      </c>
      <c r="D10" s="3">
        <v>1350000</v>
      </c>
      <c r="E10" s="1">
        <f>datos_limpios[[#This Row],[Price INR   ]]*0.011</f>
        <v>14850</v>
      </c>
      <c r="F10" s="13">
        <v>2015</v>
      </c>
      <c r="G10" s="2">
        <v>47706</v>
      </c>
      <c r="H10" s="8" t="s">
        <v>19</v>
      </c>
      <c r="I10" s="8" t="s">
        <v>40</v>
      </c>
      <c r="J10" s="8" t="s">
        <v>101</v>
      </c>
      <c r="K10" t="s">
        <v>127</v>
      </c>
      <c r="L10" t="s">
        <v>352</v>
      </c>
      <c r="M10" s="2">
        <f>VALUE(MID(L10,1,FIND("@",L10)-6))</f>
        <v>174</v>
      </c>
      <c r="N10">
        <v>5</v>
      </c>
      <c r="O10" t="str">
        <f>IF(datos_limpios[[#This Row],[Seating Capacity ]]&gt;4,"SI","NO")</f>
        <v>SI</v>
      </c>
      <c r="P10">
        <v>64</v>
      </c>
    </row>
    <row r="11" spans="1:16" x14ac:dyDescent="0.3">
      <c r="A11" s="8" t="s">
        <v>125</v>
      </c>
      <c r="B11" s="8" t="s">
        <v>740</v>
      </c>
      <c r="C11" s="9">
        <v>10</v>
      </c>
      <c r="D11" s="3">
        <v>1350000</v>
      </c>
      <c r="E11" s="1">
        <f>datos_limpios[[#This Row],[Price INR   ]]*0.011</f>
        <v>14850</v>
      </c>
      <c r="F11" s="13">
        <v>2015</v>
      </c>
      <c r="G11" s="2">
        <v>60000</v>
      </c>
      <c r="H11" s="8" t="s">
        <v>19</v>
      </c>
      <c r="I11" s="8" t="s">
        <v>40</v>
      </c>
      <c r="J11" s="8" t="s">
        <v>101</v>
      </c>
      <c r="K11" t="s">
        <v>127</v>
      </c>
      <c r="L11" t="s">
        <v>187</v>
      </c>
      <c r="M11" s="2">
        <f>VALUE(MID(L11,1,FIND("@",L11)-6))</f>
        <v>141</v>
      </c>
      <c r="N11">
        <v>5</v>
      </c>
      <c r="O11" t="str">
        <f>IF(datos_limpios[[#This Row],[Seating Capacity ]]&gt;4,"SI","NO")</f>
        <v>SI</v>
      </c>
      <c r="P11">
        <v>50</v>
      </c>
    </row>
    <row r="12" spans="1:16" x14ac:dyDescent="0.3">
      <c r="A12" s="8" t="s">
        <v>125</v>
      </c>
      <c r="B12" s="8" t="s">
        <v>825</v>
      </c>
      <c r="C12" s="9">
        <v>11</v>
      </c>
      <c r="D12" s="3">
        <v>1375000</v>
      </c>
      <c r="E12" s="1">
        <f>datos_limpios[[#This Row],[Price INR   ]]*0.011</f>
        <v>15125</v>
      </c>
      <c r="F12" s="13">
        <v>2011</v>
      </c>
      <c r="G12" s="2">
        <v>62000</v>
      </c>
      <c r="H12" s="8" t="s">
        <v>19</v>
      </c>
      <c r="I12" s="8" t="s">
        <v>40</v>
      </c>
      <c r="J12" s="8" t="s">
        <v>20</v>
      </c>
      <c r="K12" t="s">
        <v>127</v>
      </c>
      <c r="L12" t="s">
        <v>128</v>
      </c>
      <c r="M12" s="2">
        <f>VALUE(MID(L12,1,FIND("@",L12)-6))</f>
        <v>177</v>
      </c>
      <c r="N12">
        <v>5</v>
      </c>
      <c r="O12" t="str">
        <f>IF(datos_limpios[[#This Row],[Seating Capacity ]]&gt;4,"SI","NO")</f>
        <v>SI</v>
      </c>
      <c r="P12">
        <v>63</v>
      </c>
    </row>
    <row r="13" spans="1:16" x14ac:dyDescent="0.3">
      <c r="A13" s="8" t="s">
        <v>125</v>
      </c>
      <c r="B13" s="8" t="s">
        <v>1112</v>
      </c>
      <c r="C13" s="9">
        <v>12</v>
      </c>
      <c r="D13" s="3">
        <v>1380000</v>
      </c>
      <c r="E13" s="1">
        <f>datos_limpios[[#This Row],[Price INR   ]]*0.011</f>
        <v>15180</v>
      </c>
      <c r="F13" s="13">
        <v>2014</v>
      </c>
      <c r="G13" s="2">
        <v>100000</v>
      </c>
      <c r="H13" s="8" t="s">
        <v>19</v>
      </c>
      <c r="I13" s="8" t="s">
        <v>40</v>
      </c>
      <c r="J13" s="8" t="s">
        <v>101</v>
      </c>
      <c r="K13" t="s">
        <v>127</v>
      </c>
      <c r="L13" t="s">
        <v>1113</v>
      </c>
      <c r="M13" s="2">
        <f>VALUE(MID(L13,1,FIND("@",L13)-6))</f>
        <v>141</v>
      </c>
      <c r="N13">
        <v>5</v>
      </c>
      <c r="O13" t="str">
        <f>IF(datos_limpios[[#This Row],[Seating Capacity ]]&gt;4,"SI","NO")</f>
        <v>SI</v>
      </c>
      <c r="P13">
        <v>63</v>
      </c>
    </row>
    <row r="14" spans="1:16" x14ac:dyDescent="0.3">
      <c r="A14" s="8" t="s">
        <v>125</v>
      </c>
      <c r="B14" s="8" t="s">
        <v>351</v>
      </c>
      <c r="C14" s="9">
        <v>13</v>
      </c>
      <c r="D14" s="3">
        <v>1390000</v>
      </c>
      <c r="E14" s="1">
        <f>datos_limpios[[#This Row],[Price INR   ]]*0.011</f>
        <v>15290</v>
      </c>
      <c r="F14" s="13">
        <v>2012</v>
      </c>
      <c r="G14" s="2">
        <v>69500</v>
      </c>
      <c r="H14" s="8" t="s">
        <v>19</v>
      </c>
      <c r="I14" s="8" t="s">
        <v>40</v>
      </c>
      <c r="J14" s="8" t="s">
        <v>57</v>
      </c>
      <c r="K14" t="s">
        <v>127</v>
      </c>
      <c r="L14" t="s">
        <v>352</v>
      </c>
      <c r="M14" s="2">
        <f>VALUE(MID(L14,1,FIND("@",L14)-6))</f>
        <v>174</v>
      </c>
      <c r="N14">
        <v>5</v>
      </c>
      <c r="O14" t="str">
        <f>IF(datos_limpios[[#This Row],[Seating Capacity ]]&gt;4,"SI","NO")</f>
        <v>SI</v>
      </c>
      <c r="P14">
        <v>64</v>
      </c>
    </row>
    <row r="15" spans="1:16" x14ac:dyDescent="0.3">
      <c r="A15" s="8" t="s">
        <v>125</v>
      </c>
      <c r="B15" s="8" t="s">
        <v>821</v>
      </c>
      <c r="C15" s="9">
        <v>14</v>
      </c>
      <c r="D15" s="3">
        <v>1390000</v>
      </c>
      <c r="E15" s="1">
        <f>datos_limpios[[#This Row],[Price INR   ]]*0.011</f>
        <v>15290</v>
      </c>
      <c r="F15" s="13">
        <v>2014</v>
      </c>
      <c r="G15" s="2">
        <v>85900</v>
      </c>
      <c r="H15" s="8" t="s">
        <v>19</v>
      </c>
      <c r="I15" s="8" t="s">
        <v>40</v>
      </c>
      <c r="J15" s="8" t="s">
        <v>82</v>
      </c>
      <c r="K15" t="s">
        <v>127</v>
      </c>
      <c r="L15" t="s">
        <v>187</v>
      </c>
      <c r="M15" s="2">
        <f>VALUE(MID(L15,1,FIND("@",L15)-6))</f>
        <v>141</v>
      </c>
      <c r="N15">
        <v>5</v>
      </c>
      <c r="O15" t="str">
        <f>IF(datos_limpios[[#This Row],[Seating Capacity ]]&gt;4,"SI","NO")</f>
        <v>SI</v>
      </c>
      <c r="P15">
        <v>50</v>
      </c>
    </row>
    <row r="16" spans="1:16" x14ac:dyDescent="0.3">
      <c r="A16" s="8" t="s">
        <v>125</v>
      </c>
      <c r="B16" s="8" t="s">
        <v>235</v>
      </c>
      <c r="C16" s="9">
        <v>15</v>
      </c>
      <c r="D16" s="3">
        <v>1400000</v>
      </c>
      <c r="E16" s="1">
        <f>datos_limpios[[#This Row],[Price INR   ]]*0.011</f>
        <v>15400</v>
      </c>
      <c r="F16" s="13">
        <v>2013</v>
      </c>
      <c r="G16" s="2">
        <v>60000</v>
      </c>
      <c r="H16" s="8" t="s">
        <v>19</v>
      </c>
      <c r="I16" s="8" t="s">
        <v>40</v>
      </c>
      <c r="J16" s="8" t="s">
        <v>14</v>
      </c>
      <c r="K16" t="s">
        <v>127</v>
      </c>
      <c r="L16" t="s">
        <v>236</v>
      </c>
      <c r="M16" s="2">
        <f>VALUE(MID(L16,1,FIND("@",L16)-6))</f>
        <v>177</v>
      </c>
      <c r="N16">
        <v>5</v>
      </c>
      <c r="O16" t="str">
        <f>IF(datos_limpios[[#This Row],[Seating Capacity ]]&gt;4,"SI","NO")</f>
        <v>SI</v>
      </c>
      <c r="P16">
        <v>65</v>
      </c>
    </row>
    <row r="17" spans="1:16" x14ac:dyDescent="0.3">
      <c r="A17" s="8" t="s">
        <v>125</v>
      </c>
      <c r="B17" s="8" t="s">
        <v>460</v>
      </c>
      <c r="C17" s="9">
        <v>16</v>
      </c>
      <c r="D17" s="3">
        <v>1420000</v>
      </c>
      <c r="E17" s="1">
        <f>datos_limpios[[#This Row],[Price INR   ]]*0.011</f>
        <v>15620</v>
      </c>
      <c r="F17" s="13">
        <v>2013</v>
      </c>
      <c r="G17" s="2">
        <v>117000</v>
      </c>
      <c r="H17" s="8" t="s">
        <v>19</v>
      </c>
      <c r="I17" s="8" t="s">
        <v>40</v>
      </c>
      <c r="J17" s="8" t="s">
        <v>101</v>
      </c>
      <c r="K17" t="s">
        <v>127</v>
      </c>
      <c r="L17" t="s">
        <v>352</v>
      </c>
      <c r="M17" s="2">
        <f>VALUE(MID(L17,1,FIND("@",L17)-6))</f>
        <v>174</v>
      </c>
      <c r="N17">
        <v>5</v>
      </c>
      <c r="O17" t="str">
        <f>IF(datos_limpios[[#This Row],[Seating Capacity ]]&gt;4,"SI","NO")</f>
        <v>SI</v>
      </c>
      <c r="P17">
        <v>64</v>
      </c>
    </row>
    <row r="18" spans="1:16" x14ac:dyDescent="0.3">
      <c r="A18" s="8" t="s">
        <v>125</v>
      </c>
      <c r="B18" s="8" t="s">
        <v>334</v>
      </c>
      <c r="C18" s="9">
        <v>17</v>
      </c>
      <c r="D18" s="3">
        <v>1450000</v>
      </c>
      <c r="E18" s="1">
        <f>datos_limpios[[#This Row],[Price INR   ]]*0.011</f>
        <v>15949.999999999998</v>
      </c>
      <c r="F18" s="13">
        <v>2014</v>
      </c>
      <c r="G18" s="2">
        <v>33000</v>
      </c>
      <c r="H18" s="8" t="s">
        <v>19</v>
      </c>
      <c r="I18" s="8" t="s">
        <v>40</v>
      </c>
      <c r="J18" s="8" t="s">
        <v>30</v>
      </c>
      <c r="K18" t="s">
        <v>127</v>
      </c>
      <c r="L18" t="s">
        <v>236</v>
      </c>
      <c r="M18" s="2">
        <f>VALUE(MID(L18,1,FIND("@",L18)-6))</f>
        <v>177</v>
      </c>
      <c r="N18">
        <v>5</v>
      </c>
      <c r="O18" t="str">
        <f>IF(datos_limpios[[#This Row],[Seating Capacity ]]&gt;4,"SI","NO")</f>
        <v>SI</v>
      </c>
      <c r="P18">
        <v>65</v>
      </c>
    </row>
    <row r="19" spans="1:16" x14ac:dyDescent="0.3">
      <c r="A19" s="8" t="s">
        <v>125</v>
      </c>
      <c r="B19" s="8" t="s">
        <v>858</v>
      </c>
      <c r="C19" s="9">
        <v>18</v>
      </c>
      <c r="D19" s="3">
        <v>1450000</v>
      </c>
      <c r="E19" s="1">
        <f>datos_limpios[[#This Row],[Price INR   ]]*0.011</f>
        <v>15949.999999999998</v>
      </c>
      <c r="F19" s="13">
        <v>2014</v>
      </c>
      <c r="G19" s="2">
        <v>58000</v>
      </c>
      <c r="H19" s="8" t="s">
        <v>19</v>
      </c>
      <c r="I19" s="8" t="s">
        <v>40</v>
      </c>
      <c r="J19" s="8" t="s">
        <v>101</v>
      </c>
      <c r="K19" t="s">
        <v>127</v>
      </c>
      <c r="L19" t="s">
        <v>236</v>
      </c>
      <c r="M19" s="2">
        <f>VALUE(MID(L19,1,FIND("@",L19)-6))</f>
        <v>177</v>
      </c>
      <c r="N19">
        <v>5</v>
      </c>
      <c r="O19" t="str">
        <f>IF(datos_limpios[[#This Row],[Seating Capacity ]]&gt;4,"SI","NO")</f>
        <v>SI</v>
      </c>
      <c r="P19">
        <v>65</v>
      </c>
    </row>
    <row r="20" spans="1:16" x14ac:dyDescent="0.3">
      <c r="A20" s="8" t="s">
        <v>125</v>
      </c>
      <c r="B20" s="8" t="s">
        <v>1384</v>
      </c>
      <c r="C20" s="9">
        <v>19</v>
      </c>
      <c r="D20" s="3">
        <v>1450000</v>
      </c>
      <c r="E20" s="1">
        <f>datos_limpios[[#This Row],[Price INR   ]]*0.011</f>
        <v>15949.999999999998</v>
      </c>
      <c r="F20" s="13">
        <v>2014</v>
      </c>
      <c r="G20" s="2">
        <v>71796</v>
      </c>
      <c r="H20" s="8" t="s">
        <v>19</v>
      </c>
      <c r="I20" s="8" t="s">
        <v>40</v>
      </c>
      <c r="J20" s="8" t="s">
        <v>57</v>
      </c>
      <c r="K20" t="s">
        <v>127</v>
      </c>
      <c r="L20" t="s">
        <v>352</v>
      </c>
      <c r="M20" s="2">
        <f>VALUE(MID(L20,1,FIND("@",L20)-6))</f>
        <v>174</v>
      </c>
      <c r="N20">
        <v>5</v>
      </c>
      <c r="O20" t="str">
        <f>IF(datos_limpios[[#This Row],[Seating Capacity ]]&gt;4,"SI","NO")</f>
        <v>SI</v>
      </c>
      <c r="P20">
        <v>64</v>
      </c>
    </row>
    <row r="21" spans="1:16" x14ac:dyDescent="0.3">
      <c r="A21" s="8" t="s">
        <v>125</v>
      </c>
      <c r="B21" s="8" t="s">
        <v>790</v>
      </c>
      <c r="C21" s="9">
        <v>20</v>
      </c>
      <c r="D21" s="3">
        <v>1490000</v>
      </c>
      <c r="E21" s="1">
        <f>datos_limpios[[#This Row],[Price INR   ]]*0.011</f>
        <v>16390</v>
      </c>
      <c r="F21" s="13">
        <v>2012</v>
      </c>
      <c r="G21" s="2">
        <v>40000</v>
      </c>
      <c r="H21" s="8" t="s">
        <v>19</v>
      </c>
      <c r="I21" s="8" t="s">
        <v>40</v>
      </c>
      <c r="J21" s="8" t="s">
        <v>101</v>
      </c>
      <c r="K21" t="s">
        <v>127</v>
      </c>
      <c r="L21" t="s">
        <v>352</v>
      </c>
      <c r="M21" s="2">
        <f>VALUE(MID(L21,1,FIND("@",L21)-6))</f>
        <v>174</v>
      </c>
      <c r="N21">
        <v>5</v>
      </c>
      <c r="O21" t="str">
        <f>IF(datos_limpios[[#This Row],[Seating Capacity ]]&gt;4,"SI","NO")</f>
        <v>SI</v>
      </c>
      <c r="P21">
        <v>75</v>
      </c>
    </row>
    <row r="22" spans="1:16" x14ac:dyDescent="0.3">
      <c r="A22" s="8" t="s">
        <v>125</v>
      </c>
      <c r="B22" s="8" t="s">
        <v>235</v>
      </c>
      <c r="C22" s="9">
        <v>21</v>
      </c>
      <c r="D22" s="3">
        <v>1490000</v>
      </c>
      <c r="E22" s="1">
        <f>datos_limpios[[#This Row],[Price INR   ]]*0.011</f>
        <v>16390</v>
      </c>
      <c r="F22" s="13">
        <v>2012</v>
      </c>
      <c r="G22" s="2">
        <v>42000</v>
      </c>
      <c r="H22" s="8" t="s">
        <v>19</v>
      </c>
      <c r="I22" s="8" t="s">
        <v>40</v>
      </c>
      <c r="J22" s="8" t="s">
        <v>82</v>
      </c>
      <c r="K22" t="s">
        <v>127</v>
      </c>
      <c r="L22" t="s">
        <v>236</v>
      </c>
      <c r="M22" s="2">
        <f>VALUE(MID(L22,1,FIND("@",L22)-6))</f>
        <v>177</v>
      </c>
      <c r="N22">
        <v>5</v>
      </c>
      <c r="O22" t="str">
        <f>IF(datos_limpios[[#This Row],[Seating Capacity ]]&gt;4,"SI","NO")</f>
        <v>SI</v>
      </c>
      <c r="P22">
        <v>65</v>
      </c>
    </row>
    <row r="23" spans="1:16" x14ac:dyDescent="0.3">
      <c r="A23" s="8" t="s">
        <v>125</v>
      </c>
      <c r="B23" s="8" t="s">
        <v>235</v>
      </c>
      <c r="C23" s="9">
        <v>22</v>
      </c>
      <c r="D23" s="3">
        <v>1500000</v>
      </c>
      <c r="E23" s="1">
        <f>datos_limpios[[#This Row],[Price INR   ]]*0.011</f>
        <v>16500</v>
      </c>
      <c r="F23" s="13">
        <v>2014</v>
      </c>
      <c r="G23" s="2">
        <v>69000</v>
      </c>
      <c r="H23" s="8" t="s">
        <v>19</v>
      </c>
      <c r="I23" s="8" t="s">
        <v>40</v>
      </c>
      <c r="J23" s="8" t="s">
        <v>57</v>
      </c>
      <c r="K23" t="s">
        <v>127</v>
      </c>
      <c r="L23" t="s">
        <v>236</v>
      </c>
      <c r="M23" s="2">
        <f>VALUE(MID(L23,1,FIND("@",L23)-6))</f>
        <v>177</v>
      </c>
      <c r="N23">
        <v>5</v>
      </c>
      <c r="O23" t="str">
        <f>IF(datos_limpios[[#This Row],[Seating Capacity ]]&gt;4,"SI","NO")</f>
        <v>SI</v>
      </c>
      <c r="P23">
        <v>65</v>
      </c>
    </row>
    <row r="24" spans="1:16" x14ac:dyDescent="0.3">
      <c r="A24" s="8" t="s">
        <v>125</v>
      </c>
      <c r="B24" s="8" t="s">
        <v>460</v>
      </c>
      <c r="C24" s="9">
        <v>23</v>
      </c>
      <c r="D24" s="3">
        <v>1513000</v>
      </c>
      <c r="E24" s="1">
        <f>datos_limpios[[#This Row],[Price INR   ]]*0.011</f>
        <v>16643</v>
      </c>
      <c r="F24" s="13">
        <v>2015</v>
      </c>
      <c r="G24" s="2">
        <v>79000</v>
      </c>
      <c r="H24" s="8" t="s">
        <v>19</v>
      </c>
      <c r="I24" s="8" t="s">
        <v>40</v>
      </c>
      <c r="J24" s="8" t="s">
        <v>57</v>
      </c>
      <c r="K24" t="s">
        <v>127</v>
      </c>
      <c r="L24" t="s">
        <v>352</v>
      </c>
      <c r="M24" s="2">
        <f>VALUE(MID(L24,1,FIND("@",L24)-6))</f>
        <v>174</v>
      </c>
      <c r="N24">
        <v>5</v>
      </c>
      <c r="O24" t="str">
        <f>IF(datos_limpios[[#This Row],[Seating Capacity ]]&gt;4,"SI","NO")</f>
        <v>SI</v>
      </c>
      <c r="P24">
        <v>64</v>
      </c>
    </row>
    <row r="25" spans="1:16" x14ac:dyDescent="0.3">
      <c r="A25" s="8" t="s">
        <v>125</v>
      </c>
      <c r="B25" s="8" t="s">
        <v>186</v>
      </c>
      <c r="C25" s="9">
        <v>24</v>
      </c>
      <c r="D25" s="3">
        <v>1525000</v>
      </c>
      <c r="E25" s="1">
        <f>datos_limpios[[#This Row],[Price INR   ]]*0.011</f>
        <v>16775</v>
      </c>
      <c r="F25" s="13">
        <v>2016</v>
      </c>
      <c r="G25" s="2">
        <v>32000</v>
      </c>
      <c r="H25" s="8" t="s">
        <v>19</v>
      </c>
      <c r="I25" s="8" t="s">
        <v>40</v>
      </c>
      <c r="J25" s="8" t="s">
        <v>30</v>
      </c>
      <c r="K25" t="s">
        <v>127</v>
      </c>
      <c r="L25" t="s">
        <v>187</v>
      </c>
      <c r="M25" s="2">
        <f>VALUE(MID(L25,1,FIND("@",L25)-6))</f>
        <v>141</v>
      </c>
      <c r="N25">
        <v>5</v>
      </c>
      <c r="O25" t="str">
        <f>IF(datos_limpios[[#This Row],[Seating Capacity ]]&gt;4,"SI","NO")</f>
        <v>SI</v>
      </c>
      <c r="P25">
        <v>50</v>
      </c>
    </row>
    <row r="26" spans="1:16" x14ac:dyDescent="0.3">
      <c r="A26" s="8" t="s">
        <v>125</v>
      </c>
      <c r="B26" s="8" t="s">
        <v>1353</v>
      </c>
      <c r="C26" s="9">
        <v>25</v>
      </c>
      <c r="D26" s="3">
        <v>1525000</v>
      </c>
      <c r="E26" s="1">
        <f>datos_limpios[[#This Row],[Price INR   ]]*0.011</f>
        <v>16775</v>
      </c>
      <c r="F26" s="13">
        <v>2015</v>
      </c>
      <c r="G26" s="2">
        <v>49000</v>
      </c>
      <c r="H26" s="8" t="s">
        <v>19</v>
      </c>
      <c r="I26" s="8" t="s">
        <v>40</v>
      </c>
      <c r="J26" s="8" t="s">
        <v>77</v>
      </c>
      <c r="K26" t="s">
        <v>127</v>
      </c>
      <c r="L26" t="s">
        <v>128</v>
      </c>
      <c r="M26" s="2">
        <f>VALUE(MID(L26,1,FIND("@",L26)-6))</f>
        <v>177</v>
      </c>
      <c r="N26">
        <v>5</v>
      </c>
      <c r="O26" t="str">
        <f>IF(datos_limpios[[#This Row],[Seating Capacity ]]&gt;4,"SI","NO")</f>
        <v>SI</v>
      </c>
      <c r="P26">
        <v>63</v>
      </c>
    </row>
    <row r="27" spans="1:16" x14ac:dyDescent="0.3">
      <c r="A27" s="8" t="s">
        <v>125</v>
      </c>
      <c r="B27" s="8" t="s">
        <v>126</v>
      </c>
      <c r="C27" s="9">
        <v>26</v>
      </c>
      <c r="D27" s="3">
        <v>1575000</v>
      </c>
      <c r="E27" s="1">
        <f>datos_limpios[[#This Row],[Price INR   ]]*0.011</f>
        <v>17325</v>
      </c>
      <c r="F27" s="13">
        <v>2013</v>
      </c>
      <c r="G27" s="2">
        <v>66000</v>
      </c>
      <c r="H27" s="8" t="s">
        <v>19</v>
      </c>
      <c r="I27" s="8" t="s">
        <v>40</v>
      </c>
      <c r="J27" s="8" t="s">
        <v>20</v>
      </c>
      <c r="K27" t="s">
        <v>127</v>
      </c>
      <c r="L27" t="s">
        <v>128</v>
      </c>
      <c r="M27" s="2">
        <f>VALUE(MID(L27,1,FIND("@",L27)-6))</f>
        <v>177</v>
      </c>
      <c r="N27">
        <v>5</v>
      </c>
      <c r="O27" t="str">
        <f>IF(datos_limpios[[#This Row],[Seating Capacity ]]&gt;4,"SI","NO")</f>
        <v>SI</v>
      </c>
      <c r="P27">
        <v>63</v>
      </c>
    </row>
    <row r="28" spans="1:16" x14ac:dyDescent="0.3">
      <c r="A28" s="8" t="s">
        <v>125</v>
      </c>
      <c r="B28" s="8" t="s">
        <v>1112</v>
      </c>
      <c r="C28" s="9">
        <v>27</v>
      </c>
      <c r="D28" s="3">
        <v>1575000</v>
      </c>
      <c r="E28" s="1">
        <f>datos_limpios[[#This Row],[Price INR   ]]*0.011</f>
        <v>17325</v>
      </c>
      <c r="F28" s="13">
        <v>2014</v>
      </c>
      <c r="G28" s="2">
        <v>15000</v>
      </c>
      <c r="H28" s="8" t="s">
        <v>19</v>
      </c>
      <c r="I28" s="8" t="s">
        <v>40</v>
      </c>
      <c r="J28" s="8" t="s">
        <v>30</v>
      </c>
      <c r="K28" t="s">
        <v>127</v>
      </c>
      <c r="L28" t="s">
        <v>1113</v>
      </c>
      <c r="M28" s="2">
        <f>VALUE(MID(L28,1,FIND("@",L28)-6))</f>
        <v>141</v>
      </c>
      <c r="N28">
        <v>5</v>
      </c>
      <c r="O28" t="str">
        <f>IF(datos_limpios[[#This Row],[Seating Capacity ]]&gt;4,"SI","NO")</f>
        <v>SI</v>
      </c>
      <c r="P28">
        <v>63</v>
      </c>
    </row>
    <row r="29" spans="1:16" x14ac:dyDescent="0.3">
      <c r="A29" s="8" t="s">
        <v>125</v>
      </c>
      <c r="B29" s="8" t="s">
        <v>838</v>
      </c>
      <c r="C29" s="9">
        <v>28</v>
      </c>
      <c r="D29" s="3">
        <v>1650000</v>
      </c>
      <c r="E29" s="1">
        <f>datos_limpios[[#This Row],[Price INR   ]]*0.011</f>
        <v>18150</v>
      </c>
      <c r="F29" s="13">
        <v>2012</v>
      </c>
      <c r="G29" s="2">
        <v>240000</v>
      </c>
      <c r="H29" s="8" t="s">
        <v>19</v>
      </c>
      <c r="I29" s="8" t="s">
        <v>40</v>
      </c>
      <c r="J29" s="8" t="s">
        <v>20</v>
      </c>
      <c r="K29" t="s">
        <v>269</v>
      </c>
      <c r="L29" t="s">
        <v>839</v>
      </c>
      <c r="M29" s="2">
        <f>VALUE(MID(L29,1,FIND("@",L29)-6))</f>
        <v>245</v>
      </c>
      <c r="N29">
        <v>5</v>
      </c>
      <c r="O29" t="str">
        <f>IF(datos_limpios[[#This Row],[Seating Capacity ]]&gt;4,"SI","NO")</f>
        <v>SI</v>
      </c>
      <c r="P29">
        <v>75</v>
      </c>
    </row>
    <row r="30" spans="1:16" x14ac:dyDescent="0.3">
      <c r="A30" s="8" t="s">
        <v>125</v>
      </c>
      <c r="B30" s="8" t="s">
        <v>740</v>
      </c>
      <c r="C30" s="9">
        <v>29</v>
      </c>
      <c r="D30" s="3">
        <v>1650000</v>
      </c>
      <c r="E30" s="1">
        <f>datos_limpios[[#This Row],[Price INR   ]]*0.011</f>
        <v>18150</v>
      </c>
      <c r="F30" s="13">
        <v>2014</v>
      </c>
      <c r="G30" s="2">
        <v>55000</v>
      </c>
      <c r="H30" s="8" t="s">
        <v>19</v>
      </c>
      <c r="I30" s="8" t="s">
        <v>40</v>
      </c>
      <c r="J30" s="8" t="s">
        <v>20</v>
      </c>
      <c r="K30" t="s">
        <v>127</v>
      </c>
      <c r="L30" t="s">
        <v>187</v>
      </c>
      <c r="M30" s="2">
        <f>VALUE(MID(L30,1,FIND("@",L30)-6))</f>
        <v>141</v>
      </c>
      <c r="N30">
        <v>5</v>
      </c>
      <c r="O30" t="str">
        <f>IF(datos_limpios[[#This Row],[Seating Capacity ]]&gt;4,"SI","NO")</f>
        <v>SI</v>
      </c>
      <c r="P30">
        <v>50</v>
      </c>
    </row>
    <row r="31" spans="1:16" x14ac:dyDescent="0.3">
      <c r="A31" s="8" t="s">
        <v>125</v>
      </c>
      <c r="B31" s="8" t="s">
        <v>465</v>
      </c>
      <c r="C31" s="9">
        <v>30</v>
      </c>
      <c r="D31" s="3">
        <v>1650000</v>
      </c>
      <c r="E31" s="1">
        <f>datos_limpios[[#This Row],[Price INR   ]]*0.011</f>
        <v>18150</v>
      </c>
      <c r="F31" s="13">
        <v>2016</v>
      </c>
      <c r="G31" s="2">
        <v>139000</v>
      </c>
      <c r="H31" s="8" t="s">
        <v>19</v>
      </c>
      <c r="I31" s="8" t="s">
        <v>40</v>
      </c>
      <c r="J31" s="8" t="s">
        <v>20</v>
      </c>
      <c r="K31" t="s">
        <v>127</v>
      </c>
      <c r="L31" t="s">
        <v>352</v>
      </c>
      <c r="M31" s="2">
        <f>VALUE(MID(L31,1,FIND("@",L31)-6))</f>
        <v>174</v>
      </c>
      <c r="N31">
        <v>5</v>
      </c>
      <c r="O31" t="str">
        <f>IF(datos_limpios[[#This Row],[Seating Capacity ]]&gt;4,"SI","NO")</f>
        <v>SI</v>
      </c>
      <c r="P31">
        <v>64</v>
      </c>
    </row>
    <row r="32" spans="1:16" x14ac:dyDescent="0.3">
      <c r="A32" s="8" t="s">
        <v>125</v>
      </c>
      <c r="B32" s="8" t="s">
        <v>465</v>
      </c>
      <c r="C32" s="9">
        <v>31</v>
      </c>
      <c r="D32" s="3">
        <v>1685000</v>
      </c>
      <c r="E32" s="1">
        <f>datos_limpios[[#This Row],[Price INR   ]]*0.011</f>
        <v>18535</v>
      </c>
      <c r="F32" s="13">
        <v>2016</v>
      </c>
      <c r="G32" s="2">
        <v>80251</v>
      </c>
      <c r="H32" s="8" t="s">
        <v>19</v>
      </c>
      <c r="I32" s="8" t="s">
        <v>40</v>
      </c>
      <c r="J32" s="8" t="s">
        <v>57</v>
      </c>
      <c r="K32" t="s">
        <v>127</v>
      </c>
      <c r="L32" t="s">
        <v>352</v>
      </c>
      <c r="M32" s="2">
        <f>VALUE(MID(L32,1,FIND("@",L32)-6))</f>
        <v>174</v>
      </c>
      <c r="N32">
        <v>5</v>
      </c>
      <c r="O32" t="str">
        <f>IF(datos_limpios[[#This Row],[Seating Capacity ]]&gt;4,"SI","NO")</f>
        <v>SI</v>
      </c>
      <c r="P32">
        <v>64</v>
      </c>
    </row>
    <row r="33" spans="1:16" x14ac:dyDescent="0.3">
      <c r="A33" s="8" t="s">
        <v>125</v>
      </c>
      <c r="B33" s="8" t="s">
        <v>465</v>
      </c>
      <c r="C33" s="9">
        <v>32</v>
      </c>
      <c r="D33" s="3">
        <v>1695000</v>
      </c>
      <c r="E33" s="1">
        <f>datos_limpios[[#This Row],[Price INR   ]]*0.011</f>
        <v>18645</v>
      </c>
      <c r="F33" s="13">
        <v>2015</v>
      </c>
      <c r="G33" s="2">
        <v>60000</v>
      </c>
      <c r="H33" s="8" t="s">
        <v>19</v>
      </c>
      <c r="I33" s="8" t="s">
        <v>40</v>
      </c>
      <c r="J33" s="8" t="s">
        <v>20</v>
      </c>
      <c r="K33" t="s">
        <v>127</v>
      </c>
      <c r="L33" t="s">
        <v>352</v>
      </c>
      <c r="M33" s="2">
        <f>VALUE(MID(L33,1,FIND("@",L33)-6))</f>
        <v>174</v>
      </c>
      <c r="N33">
        <v>5</v>
      </c>
      <c r="O33" t="str">
        <f>IF(datos_limpios[[#This Row],[Seating Capacity ]]&gt;4,"SI","NO")</f>
        <v>SI</v>
      </c>
      <c r="P33">
        <v>64</v>
      </c>
    </row>
    <row r="34" spans="1:16" x14ac:dyDescent="0.3">
      <c r="A34" s="8" t="s">
        <v>125</v>
      </c>
      <c r="B34" s="8" t="s">
        <v>1019</v>
      </c>
      <c r="C34" s="9">
        <v>33</v>
      </c>
      <c r="D34" s="3">
        <v>1700000</v>
      </c>
      <c r="E34" s="1">
        <f>datos_limpios[[#This Row],[Price INR   ]]*0.011</f>
        <v>18700</v>
      </c>
      <c r="F34" s="13">
        <v>2014</v>
      </c>
      <c r="G34" s="2">
        <v>78000</v>
      </c>
      <c r="H34" s="8" t="s">
        <v>19</v>
      </c>
      <c r="I34" s="8" t="s">
        <v>40</v>
      </c>
      <c r="J34" s="8" t="s">
        <v>82</v>
      </c>
      <c r="K34" t="s">
        <v>127</v>
      </c>
      <c r="L34" t="s">
        <v>352</v>
      </c>
      <c r="M34" s="2">
        <f>VALUE(MID(L34,1,FIND("@",L34)-6))</f>
        <v>174</v>
      </c>
      <c r="N34">
        <v>5</v>
      </c>
      <c r="O34" t="str">
        <f>IF(datos_limpios[[#This Row],[Seating Capacity ]]&gt;4,"SI","NO")</f>
        <v>SI</v>
      </c>
      <c r="P34">
        <v>75</v>
      </c>
    </row>
    <row r="35" spans="1:16" x14ac:dyDescent="0.3">
      <c r="A35" s="8" t="s">
        <v>125</v>
      </c>
      <c r="B35" s="8" t="s">
        <v>1177</v>
      </c>
      <c r="C35" s="9">
        <v>34</v>
      </c>
      <c r="D35" s="3">
        <v>1760000</v>
      </c>
      <c r="E35" s="1">
        <f>datos_limpios[[#This Row],[Price INR   ]]*0.011</f>
        <v>19360</v>
      </c>
      <c r="F35" s="13">
        <v>2017</v>
      </c>
      <c r="G35" s="2">
        <v>48000</v>
      </c>
      <c r="H35" s="8" t="s">
        <v>12</v>
      </c>
      <c r="I35" s="8" t="s">
        <v>40</v>
      </c>
      <c r="J35" s="8" t="s">
        <v>20</v>
      </c>
      <c r="K35" t="s">
        <v>45</v>
      </c>
      <c r="L35" t="s">
        <v>829</v>
      </c>
      <c r="M35" s="2">
        <f>VALUE(MID(L35,1,FIND("@",L35)-6))</f>
        <v>178</v>
      </c>
      <c r="N35">
        <v>5</v>
      </c>
      <c r="O35" t="str">
        <f>IF(datos_limpios[[#This Row],[Seating Capacity ]]&gt;4,"SI","NO")</f>
        <v>SI</v>
      </c>
      <c r="P35">
        <v>50</v>
      </c>
    </row>
    <row r="36" spans="1:16" x14ac:dyDescent="0.3">
      <c r="A36" s="8" t="s">
        <v>125</v>
      </c>
      <c r="B36" s="8" t="s">
        <v>235</v>
      </c>
      <c r="C36" s="9">
        <v>35</v>
      </c>
      <c r="D36" s="3">
        <v>1775000</v>
      </c>
      <c r="E36" s="1">
        <f>datos_limpios[[#This Row],[Price INR   ]]*0.011</f>
        <v>19525</v>
      </c>
      <c r="F36" s="13">
        <v>2014</v>
      </c>
      <c r="G36" s="2">
        <v>75000</v>
      </c>
      <c r="H36" s="8" t="s">
        <v>19</v>
      </c>
      <c r="I36" s="8" t="s">
        <v>40</v>
      </c>
      <c r="J36" s="8" t="s">
        <v>20</v>
      </c>
      <c r="K36" t="s">
        <v>127</v>
      </c>
      <c r="L36" t="s">
        <v>236</v>
      </c>
      <c r="M36" s="2">
        <f>VALUE(MID(L36,1,FIND("@",L36)-6))</f>
        <v>177</v>
      </c>
      <c r="N36">
        <v>5</v>
      </c>
      <c r="O36" t="str">
        <f>IF(datos_limpios[[#This Row],[Seating Capacity ]]&gt;4,"SI","NO")</f>
        <v>SI</v>
      </c>
      <c r="P36">
        <v>65</v>
      </c>
    </row>
    <row r="37" spans="1:16" x14ac:dyDescent="0.3">
      <c r="A37" s="8" t="s">
        <v>125</v>
      </c>
      <c r="B37" s="8" t="s">
        <v>656</v>
      </c>
      <c r="C37" s="9">
        <v>36</v>
      </c>
      <c r="D37" s="3">
        <v>1775000</v>
      </c>
      <c r="E37" s="1">
        <f>datos_limpios[[#This Row],[Price INR   ]]*0.011</f>
        <v>19525</v>
      </c>
      <c r="F37" s="13">
        <v>2015</v>
      </c>
      <c r="G37" s="2">
        <v>80000</v>
      </c>
      <c r="H37" s="8" t="s">
        <v>19</v>
      </c>
      <c r="I37" s="8" t="s">
        <v>40</v>
      </c>
      <c r="J37" s="8" t="s">
        <v>77</v>
      </c>
      <c r="K37" t="s">
        <v>127</v>
      </c>
      <c r="L37" t="s">
        <v>352</v>
      </c>
      <c r="M37" s="2">
        <f>VALUE(MID(L37,1,FIND("@",L37)-6))</f>
        <v>174</v>
      </c>
      <c r="N37">
        <v>5</v>
      </c>
      <c r="O37" t="str">
        <f>IF(datos_limpios[[#This Row],[Seating Capacity ]]&gt;4,"SI","NO")</f>
        <v>SI</v>
      </c>
      <c r="P37">
        <v>64</v>
      </c>
    </row>
    <row r="38" spans="1:16" x14ac:dyDescent="0.3">
      <c r="A38" s="8" t="s">
        <v>125</v>
      </c>
      <c r="B38" s="8" t="s">
        <v>465</v>
      </c>
      <c r="C38" s="9">
        <v>37</v>
      </c>
      <c r="D38" s="3">
        <v>1798999</v>
      </c>
      <c r="E38" s="1">
        <f>datos_limpios[[#This Row],[Price INR   ]]*0.011</f>
        <v>19788.988999999998</v>
      </c>
      <c r="F38" s="13">
        <v>2016</v>
      </c>
      <c r="G38" s="2">
        <v>84700</v>
      </c>
      <c r="H38" s="8" t="s">
        <v>19</v>
      </c>
      <c r="I38" s="8" t="s">
        <v>40</v>
      </c>
      <c r="J38" s="8" t="s">
        <v>20</v>
      </c>
      <c r="K38" t="s">
        <v>127</v>
      </c>
      <c r="L38" t="s">
        <v>352</v>
      </c>
      <c r="M38" s="2">
        <f>VALUE(MID(L38,1,FIND("@",L38)-6))</f>
        <v>174</v>
      </c>
      <c r="N38">
        <v>5</v>
      </c>
      <c r="O38" t="str">
        <f>IF(datos_limpios[[#This Row],[Seating Capacity ]]&gt;4,"SI","NO")</f>
        <v>SI</v>
      </c>
      <c r="P38">
        <v>64</v>
      </c>
    </row>
    <row r="39" spans="1:16" x14ac:dyDescent="0.3">
      <c r="A39" s="8" t="s">
        <v>125</v>
      </c>
      <c r="B39" s="8" t="s">
        <v>826</v>
      </c>
      <c r="C39" s="9">
        <v>38</v>
      </c>
      <c r="D39" s="3">
        <v>1800000</v>
      </c>
      <c r="E39" s="1">
        <f>datos_limpios[[#This Row],[Price INR   ]]*0.011</f>
        <v>19800</v>
      </c>
      <c r="F39" s="13">
        <v>2014</v>
      </c>
      <c r="G39" s="2">
        <v>76529</v>
      </c>
      <c r="H39" s="8" t="s">
        <v>19</v>
      </c>
      <c r="I39" s="8" t="s">
        <v>40</v>
      </c>
      <c r="J39" s="8" t="s">
        <v>57</v>
      </c>
      <c r="K39" t="s">
        <v>127</v>
      </c>
      <c r="L39" t="s">
        <v>187</v>
      </c>
      <c r="M39" s="2">
        <f>VALUE(MID(L39,1,FIND("@",L39)-6))</f>
        <v>141</v>
      </c>
      <c r="N39">
        <v>5</v>
      </c>
      <c r="O39" t="str">
        <f>IF(datos_limpios[[#This Row],[Seating Capacity ]]&gt;4,"SI","NO")</f>
        <v>SI</v>
      </c>
      <c r="P39">
        <v>50</v>
      </c>
    </row>
    <row r="40" spans="1:16" x14ac:dyDescent="0.3">
      <c r="A40" s="8" t="s">
        <v>125</v>
      </c>
      <c r="B40" s="8" t="s">
        <v>858</v>
      </c>
      <c r="C40" s="9">
        <v>39</v>
      </c>
      <c r="D40" s="3">
        <v>1800000</v>
      </c>
      <c r="E40" s="1">
        <f>datos_limpios[[#This Row],[Price INR   ]]*0.011</f>
        <v>19800</v>
      </c>
      <c r="F40" s="13">
        <v>2014</v>
      </c>
      <c r="G40" s="2">
        <v>19868</v>
      </c>
      <c r="H40" s="8" t="s">
        <v>19</v>
      </c>
      <c r="I40" s="8" t="s">
        <v>40</v>
      </c>
      <c r="J40" s="8" t="s">
        <v>20</v>
      </c>
      <c r="K40" t="s">
        <v>127</v>
      </c>
      <c r="L40" t="s">
        <v>236</v>
      </c>
      <c r="M40" s="2">
        <f>VALUE(MID(L40,1,FIND("@",L40)-6))</f>
        <v>177</v>
      </c>
      <c r="N40">
        <v>5</v>
      </c>
      <c r="O40" t="str">
        <f>IF(datos_limpios[[#This Row],[Seating Capacity ]]&gt;4,"SI","NO")</f>
        <v>SI</v>
      </c>
      <c r="P40">
        <v>65</v>
      </c>
    </row>
    <row r="41" spans="1:16" x14ac:dyDescent="0.3">
      <c r="A41" s="8" t="s">
        <v>125</v>
      </c>
      <c r="B41" s="8" t="s">
        <v>990</v>
      </c>
      <c r="C41" s="9">
        <v>40</v>
      </c>
      <c r="D41" s="3">
        <v>1839000</v>
      </c>
      <c r="E41" s="1">
        <f>datos_limpios[[#This Row],[Price INR   ]]*0.011</f>
        <v>20229</v>
      </c>
      <c r="F41" s="13">
        <v>2017</v>
      </c>
      <c r="G41" s="2">
        <v>110000</v>
      </c>
      <c r="H41" s="8" t="s">
        <v>19</v>
      </c>
      <c r="I41" s="8" t="s">
        <v>40</v>
      </c>
      <c r="J41" s="8" t="s">
        <v>57</v>
      </c>
      <c r="K41" t="s">
        <v>127</v>
      </c>
      <c r="L41" t="s">
        <v>352</v>
      </c>
      <c r="M41" s="2">
        <f>VALUE(MID(L41,1,FIND("@",L41)-6))</f>
        <v>174</v>
      </c>
      <c r="N41">
        <v>5</v>
      </c>
      <c r="O41" t="str">
        <f>IF(datos_limpios[[#This Row],[Seating Capacity ]]&gt;4,"SI","NO")</f>
        <v>SI</v>
      </c>
      <c r="P41">
        <v>64</v>
      </c>
    </row>
    <row r="42" spans="1:16" x14ac:dyDescent="0.3">
      <c r="A42" s="8" t="s">
        <v>125</v>
      </c>
      <c r="B42" s="8" t="s">
        <v>465</v>
      </c>
      <c r="C42" s="9">
        <v>41</v>
      </c>
      <c r="D42" s="3">
        <v>1850000</v>
      </c>
      <c r="E42" s="1">
        <f>datos_limpios[[#This Row],[Price INR   ]]*0.011</f>
        <v>20350</v>
      </c>
      <c r="F42" s="13">
        <v>2015</v>
      </c>
      <c r="G42" s="2">
        <v>71700</v>
      </c>
      <c r="H42" s="8" t="s">
        <v>19</v>
      </c>
      <c r="I42" s="8" t="s">
        <v>40</v>
      </c>
      <c r="J42" s="8" t="s">
        <v>20</v>
      </c>
      <c r="K42" t="s">
        <v>127</v>
      </c>
      <c r="L42" t="s">
        <v>352</v>
      </c>
      <c r="M42" s="2">
        <f>VALUE(MID(L42,1,FIND("@",L42)-6))</f>
        <v>174</v>
      </c>
      <c r="N42">
        <v>5</v>
      </c>
      <c r="O42" t="str">
        <f>IF(datos_limpios[[#This Row],[Seating Capacity ]]&gt;4,"SI","NO")</f>
        <v>SI</v>
      </c>
      <c r="P42">
        <v>64</v>
      </c>
    </row>
    <row r="43" spans="1:16" x14ac:dyDescent="0.3">
      <c r="A43" s="8" t="s">
        <v>125</v>
      </c>
      <c r="B43" s="8" t="s">
        <v>351</v>
      </c>
      <c r="C43" s="9">
        <v>42</v>
      </c>
      <c r="D43" s="3">
        <v>1850000</v>
      </c>
      <c r="E43" s="1">
        <f>datos_limpios[[#This Row],[Price INR   ]]*0.011</f>
        <v>20350</v>
      </c>
      <c r="F43" s="13">
        <v>2013</v>
      </c>
      <c r="G43" s="2">
        <v>44087</v>
      </c>
      <c r="H43" s="8" t="s">
        <v>19</v>
      </c>
      <c r="I43" s="8" t="s">
        <v>40</v>
      </c>
      <c r="J43" s="8" t="s">
        <v>20</v>
      </c>
      <c r="K43" t="s">
        <v>127</v>
      </c>
      <c r="L43" t="s">
        <v>352</v>
      </c>
      <c r="M43" s="2">
        <f>VALUE(MID(L43,1,FIND("@",L43)-6))</f>
        <v>174</v>
      </c>
      <c r="N43">
        <v>5</v>
      </c>
      <c r="O43" t="str">
        <f>IF(datos_limpios[[#This Row],[Seating Capacity ]]&gt;4,"SI","NO")</f>
        <v>SI</v>
      </c>
      <c r="P43">
        <v>64</v>
      </c>
    </row>
    <row r="44" spans="1:16" x14ac:dyDescent="0.3">
      <c r="A44" s="8" t="s">
        <v>125</v>
      </c>
      <c r="B44" s="8" t="s">
        <v>1384</v>
      </c>
      <c r="C44" s="9">
        <v>43</v>
      </c>
      <c r="D44" s="3">
        <v>1875000</v>
      </c>
      <c r="E44" s="1">
        <f>datos_limpios[[#This Row],[Price INR   ]]*0.011</f>
        <v>20625</v>
      </c>
      <c r="F44" s="13">
        <v>2016</v>
      </c>
      <c r="G44" s="2">
        <v>40000</v>
      </c>
      <c r="H44" s="8" t="s">
        <v>19</v>
      </c>
      <c r="I44" s="8" t="s">
        <v>40</v>
      </c>
      <c r="J44" s="8" t="s">
        <v>20</v>
      </c>
      <c r="K44" t="s">
        <v>127</v>
      </c>
      <c r="L44" t="s">
        <v>352</v>
      </c>
      <c r="M44" s="2">
        <f>VALUE(MID(L44,1,FIND("@",L44)-6))</f>
        <v>174</v>
      </c>
      <c r="N44">
        <v>5</v>
      </c>
      <c r="O44" t="str">
        <f>IF(datos_limpios[[#This Row],[Seating Capacity ]]&gt;4,"SI","NO")</f>
        <v>SI</v>
      </c>
      <c r="P44">
        <v>64</v>
      </c>
    </row>
    <row r="45" spans="1:16" x14ac:dyDescent="0.3">
      <c r="A45" s="8" t="s">
        <v>125</v>
      </c>
      <c r="B45" s="8" t="s">
        <v>465</v>
      </c>
      <c r="C45" s="9">
        <v>44</v>
      </c>
      <c r="D45" s="3">
        <v>1950000</v>
      </c>
      <c r="E45" s="1">
        <f>datos_limpios[[#This Row],[Price INR   ]]*0.011</f>
        <v>21450</v>
      </c>
      <c r="F45" s="13">
        <v>2016</v>
      </c>
      <c r="G45" s="2">
        <v>84878</v>
      </c>
      <c r="H45" s="8" t="s">
        <v>19</v>
      </c>
      <c r="I45" s="8" t="s">
        <v>40</v>
      </c>
      <c r="J45" s="8" t="s">
        <v>20</v>
      </c>
      <c r="K45" t="s">
        <v>127</v>
      </c>
      <c r="L45" t="s">
        <v>352</v>
      </c>
      <c r="M45" s="2">
        <f>VALUE(MID(L45,1,FIND("@",L45)-6))</f>
        <v>174</v>
      </c>
      <c r="N45">
        <v>5</v>
      </c>
      <c r="O45" t="str">
        <f>IF(datos_limpios[[#This Row],[Seating Capacity ]]&gt;4,"SI","NO")</f>
        <v>SI</v>
      </c>
      <c r="P45">
        <v>64</v>
      </c>
    </row>
    <row r="46" spans="1:16" x14ac:dyDescent="0.3">
      <c r="A46" s="8" t="s">
        <v>125</v>
      </c>
      <c r="B46" s="8" t="s">
        <v>1303</v>
      </c>
      <c r="C46" s="9">
        <v>45</v>
      </c>
      <c r="D46" s="3">
        <v>1950000</v>
      </c>
      <c r="E46" s="1">
        <f>datos_limpios[[#This Row],[Price INR   ]]*0.011</f>
        <v>21450</v>
      </c>
      <c r="F46" s="13">
        <v>2016</v>
      </c>
      <c r="G46" s="2">
        <v>57057</v>
      </c>
      <c r="H46" s="8" t="s">
        <v>19</v>
      </c>
      <c r="I46" s="8" t="s">
        <v>40</v>
      </c>
      <c r="J46" s="8" t="s">
        <v>20</v>
      </c>
      <c r="K46" t="s">
        <v>127</v>
      </c>
      <c r="L46" t="s">
        <v>128</v>
      </c>
      <c r="M46" s="2">
        <f>VALUE(MID(L46,1,FIND("@",L46)-6))</f>
        <v>177</v>
      </c>
      <c r="N46">
        <v>5</v>
      </c>
      <c r="O46" t="str">
        <f>IF(datos_limpios[[#This Row],[Seating Capacity ]]&gt;4,"SI","NO")</f>
        <v>SI</v>
      </c>
      <c r="P46">
        <v>63</v>
      </c>
    </row>
    <row r="47" spans="1:16" x14ac:dyDescent="0.3">
      <c r="A47" s="8" t="s">
        <v>125</v>
      </c>
      <c r="B47" s="8" t="s">
        <v>973</v>
      </c>
      <c r="C47" s="9">
        <v>46</v>
      </c>
      <c r="D47" s="3">
        <v>1970000</v>
      </c>
      <c r="E47" s="1">
        <f>datos_limpios[[#This Row],[Price INR   ]]*0.011</f>
        <v>21670</v>
      </c>
      <c r="F47" s="13">
        <v>2017</v>
      </c>
      <c r="G47" s="2">
        <v>85000</v>
      </c>
      <c r="H47" s="8" t="s">
        <v>19</v>
      </c>
      <c r="I47" s="8" t="s">
        <v>40</v>
      </c>
      <c r="J47" s="8" t="s">
        <v>57</v>
      </c>
      <c r="K47" t="s">
        <v>127</v>
      </c>
      <c r="L47" t="s">
        <v>357</v>
      </c>
      <c r="M47" s="2">
        <f>VALUE(MID(L47,1,FIND("@",L47)-6))</f>
        <v>150</v>
      </c>
      <c r="N47">
        <v>5</v>
      </c>
      <c r="O47" t="str">
        <f>IF(datos_limpios[[#This Row],[Seating Capacity ]]&gt;4,"SI","NO")</f>
        <v>SI</v>
      </c>
      <c r="P47">
        <v>64</v>
      </c>
    </row>
    <row r="48" spans="1:16" x14ac:dyDescent="0.3">
      <c r="A48" s="8" t="s">
        <v>125</v>
      </c>
      <c r="B48" s="8" t="s">
        <v>285</v>
      </c>
      <c r="C48" s="9">
        <v>47</v>
      </c>
      <c r="D48" s="3">
        <v>1975000</v>
      </c>
      <c r="E48" s="1">
        <f>datos_limpios[[#This Row],[Price INR   ]]*0.011</f>
        <v>21725</v>
      </c>
      <c r="F48" s="13">
        <v>2015</v>
      </c>
      <c r="G48" s="2">
        <v>61000</v>
      </c>
      <c r="H48" s="8" t="s">
        <v>19</v>
      </c>
      <c r="I48" s="8" t="s">
        <v>40</v>
      </c>
      <c r="J48" s="8" t="s">
        <v>20</v>
      </c>
      <c r="K48" t="s">
        <v>127</v>
      </c>
      <c r="L48" t="s">
        <v>286</v>
      </c>
      <c r="M48" s="2">
        <f>VALUE(MID(L48,1,FIND("@",L48)-6))</f>
        <v>190</v>
      </c>
      <c r="N48">
        <v>5</v>
      </c>
      <c r="O48" t="str">
        <f>IF(datos_limpios[[#This Row],[Seating Capacity ]]&gt;4,"SI","NO")</f>
        <v>SI</v>
      </c>
      <c r="P48">
        <v>75</v>
      </c>
    </row>
    <row r="49" spans="1:16" x14ac:dyDescent="0.3">
      <c r="A49" s="8" t="s">
        <v>125</v>
      </c>
      <c r="B49" s="8" t="s">
        <v>1022</v>
      </c>
      <c r="C49" s="9">
        <v>48</v>
      </c>
      <c r="D49" s="3">
        <v>2089999</v>
      </c>
      <c r="E49" s="1">
        <f>datos_limpios[[#This Row],[Price INR   ]]*0.011</f>
        <v>22989.988999999998</v>
      </c>
      <c r="F49" s="13">
        <v>2018</v>
      </c>
      <c r="G49" s="2">
        <v>15600</v>
      </c>
      <c r="H49" s="8" t="s">
        <v>12</v>
      </c>
      <c r="I49" s="8" t="s">
        <v>40</v>
      </c>
      <c r="J49" s="8" t="s">
        <v>20</v>
      </c>
      <c r="K49" t="s">
        <v>744</v>
      </c>
      <c r="L49" t="s">
        <v>745</v>
      </c>
      <c r="M49" s="2">
        <f>VALUE(MID(L49,1,FIND("@",L49)-6))</f>
        <v>148</v>
      </c>
      <c r="N49">
        <v>5</v>
      </c>
      <c r="O49" t="str">
        <f>IF(datos_limpios[[#This Row],[Seating Capacity ]]&gt;4,"SI","NO")</f>
        <v>SI</v>
      </c>
      <c r="P49">
        <v>50</v>
      </c>
    </row>
    <row r="50" spans="1:16" x14ac:dyDescent="0.3">
      <c r="A50" s="8" t="s">
        <v>125</v>
      </c>
      <c r="B50" s="8" t="s">
        <v>204</v>
      </c>
      <c r="C50" s="9">
        <v>49</v>
      </c>
      <c r="D50" s="3">
        <v>2100000</v>
      </c>
      <c r="E50" s="1">
        <f>datos_limpios[[#This Row],[Price INR   ]]*0.011</f>
        <v>23100</v>
      </c>
      <c r="F50" s="13">
        <v>2017</v>
      </c>
      <c r="G50" s="2">
        <v>42000</v>
      </c>
      <c r="H50" s="8" t="s">
        <v>19</v>
      </c>
      <c r="I50" s="8" t="s">
        <v>40</v>
      </c>
      <c r="J50" s="8" t="s">
        <v>77</v>
      </c>
      <c r="K50" t="s">
        <v>127</v>
      </c>
      <c r="L50" t="s">
        <v>205</v>
      </c>
      <c r="M50" s="2">
        <f>VALUE(MID(L50,1,FIND("@",L50)-6))</f>
        <v>184</v>
      </c>
      <c r="N50">
        <v>5</v>
      </c>
      <c r="O50" t="str">
        <f>IF(datos_limpios[[#This Row],[Seating Capacity ]]&gt;4,"SI","NO")</f>
        <v>SI</v>
      </c>
      <c r="P50">
        <v>64</v>
      </c>
    </row>
    <row r="51" spans="1:16" x14ac:dyDescent="0.3">
      <c r="A51" s="8" t="s">
        <v>125</v>
      </c>
      <c r="B51" s="8" t="s">
        <v>1045</v>
      </c>
      <c r="C51" s="9">
        <v>50</v>
      </c>
      <c r="D51" s="3">
        <v>2150000</v>
      </c>
      <c r="E51" s="1">
        <f>datos_limpios[[#This Row],[Price INR   ]]*0.011</f>
        <v>23650</v>
      </c>
      <c r="F51" s="13">
        <v>2016</v>
      </c>
      <c r="G51" s="2">
        <v>95401</v>
      </c>
      <c r="H51" s="8" t="s">
        <v>19</v>
      </c>
      <c r="I51" s="8" t="s">
        <v>40</v>
      </c>
      <c r="J51" s="8" t="s">
        <v>101</v>
      </c>
      <c r="K51" t="s">
        <v>127</v>
      </c>
      <c r="L51" t="s">
        <v>352</v>
      </c>
      <c r="M51" s="2">
        <f>VALUE(MID(L51,1,FIND("@",L51)-6))</f>
        <v>174</v>
      </c>
      <c r="N51">
        <v>5</v>
      </c>
      <c r="O51" t="str">
        <f>IF(datos_limpios[[#This Row],[Seating Capacity ]]&gt;4,"SI","NO")</f>
        <v>SI</v>
      </c>
      <c r="P51">
        <v>64</v>
      </c>
    </row>
    <row r="52" spans="1:16" x14ac:dyDescent="0.3">
      <c r="A52" s="8" t="s">
        <v>125</v>
      </c>
      <c r="B52" s="8" t="s">
        <v>1019</v>
      </c>
      <c r="C52" s="9">
        <v>51</v>
      </c>
      <c r="D52" s="3">
        <v>2175000</v>
      </c>
      <c r="E52" s="1">
        <f>datos_limpios[[#This Row],[Price INR   ]]*0.011</f>
        <v>23925</v>
      </c>
      <c r="F52" s="13">
        <v>2015</v>
      </c>
      <c r="G52" s="2">
        <v>152000</v>
      </c>
      <c r="H52" s="8" t="s">
        <v>19</v>
      </c>
      <c r="I52" s="8" t="s">
        <v>40</v>
      </c>
      <c r="J52" s="8" t="s">
        <v>20</v>
      </c>
      <c r="K52" t="s">
        <v>127</v>
      </c>
      <c r="L52" t="s">
        <v>352</v>
      </c>
      <c r="M52" s="2">
        <f>VALUE(MID(L52,1,FIND("@",L52)-6))</f>
        <v>174</v>
      </c>
      <c r="N52">
        <v>5</v>
      </c>
      <c r="O52" t="str">
        <f>IF(datos_limpios[[#This Row],[Seating Capacity ]]&gt;4,"SI","NO")</f>
        <v>SI</v>
      </c>
      <c r="P52">
        <v>75</v>
      </c>
    </row>
    <row r="53" spans="1:16" x14ac:dyDescent="0.3">
      <c r="A53" s="8" t="s">
        <v>125</v>
      </c>
      <c r="B53" s="8" t="s">
        <v>1022</v>
      </c>
      <c r="C53" s="9">
        <v>52</v>
      </c>
      <c r="D53" s="3">
        <v>2180000</v>
      </c>
      <c r="E53" s="1">
        <f>datos_limpios[[#This Row],[Price INR   ]]*0.011</f>
        <v>23980</v>
      </c>
      <c r="F53" s="13">
        <v>2018</v>
      </c>
      <c r="G53" s="2">
        <v>77590</v>
      </c>
      <c r="H53" s="8" t="s">
        <v>12</v>
      </c>
      <c r="I53" s="8" t="s">
        <v>40</v>
      </c>
      <c r="J53" s="8" t="s">
        <v>57</v>
      </c>
      <c r="K53" t="s">
        <v>744</v>
      </c>
      <c r="L53" t="s">
        <v>745</v>
      </c>
      <c r="M53" s="2">
        <f>VALUE(MID(L53,1,FIND("@",L53)-6))</f>
        <v>148</v>
      </c>
      <c r="N53">
        <v>5</v>
      </c>
      <c r="O53" t="str">
        <f>IF(datos_limpios[[#This Row],[Seating Capacity ]]&gt;4,"SI","NO")</f>
        <v>SI</v>
      </c>
      <c r="P53">
        <v>50</v>
      </c>
    </row>
    <row r="54" spans="1:16" x14ac:dyDescent="0.3">
      <c r="A54" s="8" t="s">
        <v>125</v>
      </c>
      <c r="B54" s="8" t="s">
        <v>409</v>
      </c>
      <c r="C54" s="9">
        <v>53</v>
      </c>
      <c r="D54" s="3">
        <v>2200000</v>
      </c>
      <c r="E54" s="1">
        <f>datos_limpios[[#This Row],[Price INR   ]]*0.011</f>
        <v>24200</v>
      </c>
      <c r="F54" s="13">
        <v>2014</v>
      </c>
      <c r="G54" s="2">
        <v>95000</v>
      </c>
      <c r="H54" s="8" t="s">
        <v>19</v>
      </c>
      <c r="I54" s="8" t="s">
        <v>40</v>
      </c>
      <c r="J54" s="8" t="s">
        <v>20</v>
      </c>
      <c r="K54" t="s">
        <v>269</v>
      </c>
      <c r="L54" t="s">
        <v>340</v>
      </c>
      <c r="M54" s="2">
        <f>VALUE(MID(L54,1,FIND("@",L54)-6))</f>
        <v>241</v>
      </c>
      <c r="N54">
        <v>7</v>
      </c>
      <c r="O54" t="str">
        <f>IF(datos_limpios[[#This Row],[Seating Capacity ]]&gt;4,"SI","NO")</f>
        <v>SI</v>
      </c>
      <c r="P54">
        <v>100</v>
      </c>
    </row>
    <row r="55" spans="1:16" x14ac:dyDescent="0.3">
      <c r="A55" s="8" t="s">
        <v>125</v>
      </c>
      <c r="B55" s="8" t="s">
        <v>1040</v>
      </c>
      <c r="C55" s="9">
        <v>54</v>
      </c>
      <c r="D55" s="3">
        <v>2225000</v>
      </c>
      <c r="E55" s="1">
        <f>datos_limpios[[#This Row],[Price INR   ]]*0.011</f>
        <v>24475</v>
      </c>
      <c r="F55" s="13">
        <v>2016</v>
      </c>
      <c r="G55" s="2">
        <v>40500</v>
      </c>
      <c r="H55" s="8" t="s">
        <v>19</v>
      </c>
      <c r="I55" s="8" t="s">
        <v>40</v>
      </c>
      <c r="J55" s="8" t="s">
        <v>20</v>
      </c>
      <c r="K55" t="s">
        <v>127</v>
      </c>
      <c r="L55" t="s">
        <v>187</v>
      </c>
      <c r="M55" s="2">
        <f>VALUE(MID(L55,1,FIND("@",L55)-6))</f>
        <v>141</v>
      </c>
      <c r="N55">
        <v>5</v>
      </c>
      <c r="O55" t="str">
        <f>IF(datos_limpios[[#This Row],[Seating Capacity ]]&gt;4,"SI","NO")</f>
        <v>SI</v>
      </c>
      <c r="P55">
        <v>50</v>
      </c>
    </row>
    <row r="56" spans="1:16" x14ac:dyDescent="0.3">
      <c r="A56" s="8" t="s">
        <v>125</v>
      </c>
      <c r="B56" s="8" t="s">
        <v>186</v>
      </c>
      <c r="C56" s="9">
        <v>55</v>
      </c>
      <c r="D56" s="3">
        <v>2250000</v>
      </c>
      <c r="E56" s="1">
        <f>datos_limpios[[#This Row],[Price INR   ]]*0.011</f>
        <v>24750</v>
      </c>
      <c r="F56" s="13">
        <v>2016</v>
      </c>
      <c r="G56" s="2">
        <v>40500</v>
      </c>
      <c r="H56" s="8" t="s">
        <v>19</v>
      </c>
      <c r="I56" s="8" t="s">
        <v>40</v>
      </c>
      <c r="J56" s="8" t="s">
        <v>20</v>
      </c>
      <c r="K56" t="s">
        <v>127</v>
      </c>
      <c r="L56" t="s">
        <v>187</v>
      </c>
      <c r="M56" s="2">
        <f>VALUE(MID(L56,1,FIND("@",L56)-6))</f>
        <v>141</v>
      </c>
      <c r="N56">
        <v>5</v>
      </c>
      <c r="O56" t="str">
        <f>IF(datos_limpios[[#This Row],[Seating Capacity ]]&gt;4,"SI","NO")</f>
        <v>SI</v>
      </c>
      <c r="P56">
        <v>50</v>
      </c>
    </row>
    <row r="57" spans="1:16" x14ac:dyDescent="0.3">
      <c r="A57" s="8" t="s">
        <v>125</v>
      </c>
      <c r="B57" s="8" t="s">
        <v>465</v>
      </c>
      <c r="C57" s="9">
        <v>56</v>
      </c>
      <c r="D57" s="3">
        <v>2375000</v>
      </c>
      <c r="E57" s="1">
        <f>datos_limpios[[#This Row],[Price INR   ]]*0.011</f>
        <v>26125</v>
      </c>
      <c r="F57" s="13">
        <v>2017</v>
      </c>
      <c r="G57" s="2">
        <v>61643</v>
      </c>
      <c r="H57" s="8" t="s">
        <v>19</v>
      </c>
      <c r="I57" s="8" t="s">
        <v>40</v>
      </c>
      <c r="J57" s="8" t="s">
        <v>57</v>
      </c>
      <c r="K57" t="s">
        <v>127</v>
      </c>
      <c r="L57" t="s">
        <v>352</v>
      </c>
      <c r="M57" s="2">
        <f>VALUE(MID(L57,1,FIND("@",L57)-6))</f>
        <v>174</v>
      </c>
      <c r="N57">
        <v>5</v>
      </c>
      <c r="O57" t="str">
        <f>IF(datos_limpios[[#This Row],[Seating Capacity ]]&gt;4,"SI","NO")</f>
        <v>SI</v>
      </c>
      <c r="P57">
        <v>64</v>
      </c>
    </row>
    <row r="58" spans="1:16" x14ac:dyDescent="0.3">
      <c r="A58" s="8" t="s">
        <v>125</v>
      </c>
      <c r="B58" s="8" t="s">
        <v>1040</v>
      </c>
      <c r="C58" s="9">
        <v>57</v>
      </c>
      <c r="D58" s="3">
        <v>2380000</v>
      </c>
      <c r="E58" s="1">
        <f>datos_limpios[[#This Row],[Price INR   ]]*0.011</f>
        <v>26180</v>
      </c>
      <c r="F58" s="13">
        <v>2019</v>
      </c>
      <c r="G58" s="2">
        <v>36000</v>
      </c>
      <c r="H58" s="8" t="s">
        <v>19</v>
      </c>
      <c r="I58" s="8" t="s">
        <v>40</v>
      </c>
      <c r="J58" s="8" t="s">
        <v>20</v>
      </c>
      <c r="K58" t="s">
        <v>127</v>
      </c>
      <c r="L58" t="s">
        <v>187</v>
      </c>
      <c r="M58" s="2">
        <f>VALUE(MID(L58,1,FIND("@",L58)-6))</f>
        <v>141</v>
      </c>
      <c r="N58">
        <v>5</v>
      </c>
      <c r="O58" t="str">
        <f>IF(datos_limpios[[#This Row],[Seating Capacity ]]&gt;4,"SI","NO")</f>
        <v>SI</v>
      </c>
      <c r="P58">
        <v>50</v>
      </c>
    </row>
    <row r="59" spans="1:16" x14ac:dyDescent="0.3">
      <c r="A59" s="8" t="s">
        <v>125</v>
      </c>
      <c r="B59" s="8" t="s">
        <v>692</v>
      </c>
      <c r="C59" s="9">
        <v>58</v>
      </c>
      <c r="D59" s="3">
        <v>2400000</v>
      </c>
      <c r="E59" s="1">
        <f>datos_limpios[[#This Row],[Price INR   ]]*0.011</f>
        <v>26400</v>
      </c>
      <c r="F59" s="13">
        <v>2017</v>
      </c>
      <c r="G59" s="2">
        <v>59267</v>
      </c>
      <c r="H59" s="8" t="s">
        <v>19</v>
      </c>
      <c r="I59" s="8" t="s">
        <v>40</v>
      </c>
      <c r="J59" s="8" t="s">
        <v>77</v>
      </c>
      <c r="K59" t="s">
        <v>127</v>
      </c>
      <c r="L59" t="s">
        <v>267</v>
      </c>
      <c r="M59" s="2">
        <f>VALUE(MID(L59,1,FIND("@",L59)-6))</f>
        <v>188</v>
      </c>
      <c r="N59">
        <v>5</v>
      </c>
      <c r="O59" t="str">
        <f>IF(datos_limpios[[#This Row],[Seating Capacity ]]&gt;4,"SI","NO")</f>
        <v>SI</v>
      </c>
      <c r="P59">
        <v>54</v>
      </c>
    </row>
    <row r="60" spans="1:16" x14ac:dyDescent="0.3">
      <c r="A60" s="8" t="s">
        <v>125</v>
      </c>
      <c r="B60" s="8" t="s">
        <v>285</v>
      </c>
      <c r="C60" s="9">
        <v>59</v>
      </c>
      <c r="D60" s="3">
        <v>2400000</v>
      </c>
      <c r="E60" s="1">
        <f>datos_limpios[[#This Row],[Price INR   ]]*0.011</f>
        <v>26400</v>
      </c>
      <c r="F60" s="13">
        <v>2017</v>
      </c>
      <c r="G60" s="2">
        <v>81802</v>
      </c>
      <c r="H60" s="8" t="s">
        <v>19</v>
      </c>
      <c r="I60" s="8" t="s">
        <v>40</v>
      </c>
      <c r="J60" s="8" t="s">
        <v>57</v>
      </c>
      <c r="K60" t="s">
        <v>127</v>
      </c>
      <c r="L60" t="s">
        <v>286</v>
      </c>
      <c r="M60" s="2">
        <f>VALUE(MID(L60,1,FIND("@",L60)-6))</f>
        <v>190</v>
      </c>
      <c r="N60">
        <v>5</v>
      </c>
      <c r="O60" t="str">
        <f>IF(datos_limpios[[#This Row],[Seating Capacity ]]&gt;4,"SI","NO")</f>
        <v>SI</v>
      </c>
      <c r="P60">
        <v>75</v>
      </c>
    </row>
    <row r="61" spans="1:16" x14ac:dyDescent="0.3">
      <c r="A61" s="8" t="s">
        <v>125</v>
      </c>
      <c r="B61" s="8" t="s">
        <v>285</v>
      </c>
      <c r="C61" s="9">
        <v>60</v>
      </c>
      <c r="D61" s="3">
        <v>2400000</v>
      </c>
      <c r="E61" s="1">
        <f>datos_limpios[[#This Row],[Price INR   ]]*0.011</f>
        <v>26400</v>
      </c>
      <c r="F61" s="13">
        <v>2015</v>
      </c>
      <c r="G61" s="2">
        <v>100000</v>
      </c>
      <c r="H61" s="8" t="s">
        <v>19</v>
      </c>
      <c r="I61" s="8" t="s">
        <v>40</v>
      </c>
      <c r="J61" s="8" t="s">
        <v>57</v>
      </c>
      <c r="K61" t="s">
        <v>127</v>
      </c>
      <c r="L61" t="s">
        <v>286</v>
      </c>
      <c r="M61" s="2">
        <f>VALUE(MID(L61,1,FIND("@",L61)-6))</f>
        <v>190</v>
      </c>
      <c r="N61">
        <v>5</v>
      </c>
      <c r="O61" t="str">
        <f>IF(datos_limpios[[#This Row],[Seating Capacity ]]&gt;4,"SI","NO")</f>
        <v>SI</v>
      </c>
      <c r="P61">
        <v>75</v>
      </c>
    </row>
    <row r="62" spans="1:16" x14ac:dyDescent="0.3">
      <c r="A62" s="8" t="s">
        <v>125</v>
      </c>
      <c r="B62" s="8" t="s">
        <v>409</v>
      </c>
      <c r="C62" s="9">
        <v>61</v>
      </c>
      <c r="D62" s="3">
        <v>2400000</v>
      </c>
      <c r="E62" s="1">
        <f>datos_limpios[[#This Row],[Price INR   ]]*0.011</f>
        <v>26400</v>
      </c>
      <c r="F62" s="13">
        <v>2014</v>
      </c>
      <c r="G62" s="2">
        <v>42533</v>
      </c>
      <c r="H62" s="8" t="s">
        <v>19</v>
      </c>
      <c r="I62" s="8" t="s">
        <v>40</v>
      </c>
      <c r="J62" s="8" t="s">
        <v>57</v>
      </c>
      <c r="K62" t="s">
        <v>269</v>
      </c>
      <c r="L62" t="s">
        <v>340</v>
      </c>
      <c r="M62" s="2">
        <f>VALUE(MID(L62,1,FIND("@",L62)-6))</f>
        <v>241</v>
      </c>
      <c r="N62">
        <v>7</v>
      </c>
      <c r="O62" t="str">
        <f>IF(datos_limpios[[#This Row],[Seating Capacity ]]&gt;4,"SI","NO")</f>
        <v>SI</v>
      </c>
      <c r="P62">
        <v>100</v>
      </c>
    </row>
    <row r="63" spans="1:16" x14ac:dyDescent="0.3">
      <c r="A63" s="8" t="s">
        <v>125</v>
      </c>
      <c r="B63" s="8" t="s">
        <v>285</v>
      </c>
      <c r="C63" s="9">
        <v>62</v>
      </c>
      <c r="D63" s="3">
        <v>2425000</v>
      </c>
      <c r="E63" s="1">
        <f>datos_limpios[[#This Row],[Price INR   ]]*0.011</f>
        <v>26675</v>
      </c>
      <c r="F63" s="13">
        <v>2016</v>
      </c>
      <c r="G63" s="2">
        <v>60000</v>
      </c>
      <c r="H63" s="8" t="s">
        <v>19</v>
      </c>
      <c r="I63" s="8" t="s">
        <v>40</v>
      </c>
      <c r="J63" s="8" t="s">
        <v>20</v>
      </c>
      <c r="K63" t="s">
        <v>127</v>
      </c>
      <c r="L63" t="s">
        <v>286</v>
      </c>
      <c r="M63" s="2">
        <f>VALUE(MID(L63,1,FIND("@",L63)-6))</f>
        <v>190</v>
      </c>
      <c r="N63">
        <v>5</v>
      </c>
      <c r="O63" t="str">
        <f>IF(datos_limpios[[#This Row],[Seating Capacity ]]&gt;4,"SI","NO")</f>
        <v>SI</v>
      </c>
      <c r="P63">
        <v>75</v>
      </c>
    </row>
    <row r="64" spans="1:16" x14ac:dyDescent="0.3">
      <c r="A64" s="8" t="s">
        <v>125</v>
      </c>
      <c r="B64" s="8" t="s">
        <v>339</v>
      </c>
      <c r="C64" s="9">
        <v>63</v>
      </c>
      <c r="D64" s="3">
        <v>2450000</v>
      </c>
      <c r="E64" s="1">
        <f>datos_limpios[[#This Row],[Price INR   ]]*0.011</f>
        <v>26950</v>
      </c>
      <c r="F64" s="13">
        <v>2014</v>
      </c>
      <c r="G64" s="2">
        <v>48600</v>
      </c>
      <c r="H64" s="8" t="s">
        <v>19</v>
      </c>
      <c r="I64" s="8" t="s">
        <v>40</v>
      </c>
      <c r="J64" s="8" t="s">
        <v>57</v>
      </c>
      <c r="K64" t="s">
        <v>269</v>
      </c>
      <c r="L64" t="s">
        <v>340</v>
      </c>
      <c r="M64" s="2">
        <f>VALUE(MID(L64,1,FIND("@",L64)-6))</f>
        <v>241</v>
      </c>
      <c r="N64">
        <v>6</v>
      </c>
      <c r="O64" t="str">
        <f>IF(datos_limpios[[#This Row],[Seating Capacity ]]&gt;4,"SI","NO")</f>
        <v>SI</v>
      </c>
      <c r="P64">
        <v>100</v>
      </c>
    </row>
    <row r="65" spans="1:16" x14ac:dyDescent="0.3">
      <c r="A65" s="8" t="s">
        <v>125</v>
      </c>
      <c r="B65" s="8" t="s">
        <v>828</v>
      </c>
      <c r="C65" s="9">
        <v>64</v>
      </c>
      <c r="D65" s="3">
        <v>2450000</v>
      </c>
      <c r="E65" s="1">
        <f>datos_limpios[[#This Row],[Price INR   ]]*0.011</f>
        <v>26950</v>
      </c>
      <c r="F65" s="13">
        <v>2018</v>
      </c>
      <c r="G65" s="2">
        <v>43290</v>
      </c>
      <c r="H65" s="8" t="s">
        <v>12</v>
      </c>
      <c r="I65" s="8" t="s">
        <v>40</v>
      </c>
      <c r="J65" s="8" t="s">
        <v>57</v>
      </c>
      <c r="K65" t="s">
        <v>45</v>
      </c>
      <c r="L65" t="s">
        <v>829</v>
      </c>
      <c r="M65" s="2">
        <f>VALUE(MID(L65,1,FIND("@",L65)-6))</f>
        <v>178</v>
      </c>
      <c r="N65">
        <v>5</v>
      </c>
      <c r="O65" t="str">
        <f>IF(datos_limpios[[#This Row],[Seating Capacity ]]&gt;4,"SI","NO")</f>
        <v>SI</v>
      </c>
      <c r="P65">
        <v>50</v>
      </c>
    </row>
    <row r="66" spans="1:16" x14ac:dyDescent="0.3">
      <c r="A66" s="8" t="s">
        <v>125</v>
      </c>
      <c r="B66" s="8" t="s">
        <v>204</v>
      </c>
      <c r="C66" s="9">
        <v>65</v>
      </c>
      <c r="D66" s="3">
        <v>2475000</v>
      </c>
      <c r="E66" s="1">
        <f>datos_limpios[[#This Row],[Price INR   ]]*0.011</f>
        <v>27225</v>
      </c>
      <c r="F66" s="13">
        <v>2018</v>
      </c>
      <c r="G66" s="2">
        <v>38000</v>
      </c>
      <c r="H66" s="8" t="s">
        <v>19</v>
      </c>
      <c r="I66" s="8" t="s">
        <v>40</v>
      </c>
      <c r="J66" s="8" t="s">
        <v>30</v>
      </c>
      <c r="K66" t="s">
        <v>127</v>
      </c>
      <c r="L66" t="s">
        <v>205</v>
      </c>
      <c r="M66" s="2">
        <f>VALUE(MID(L66,1,FIND("@",L66)-6))</f>
        <v>184</v>
      </c>
      <c r="N66">
        <v>5</v>
      </c>
      <c r="O66" t="str">
        <f>IF(datos_limpios[[#This Row],[Seating Capacity ]]&gt;4,"SI","NO")</f>
        <v>SI</v>
      </c>
      <c r="P66">
        <v>64</v>
      </c>
    </row>
    <row r="67" spans="1:16" x14ac:dyDescent="0.3">
      <c r="A67" s="8" t="s">
        <v>125</v>
      </c>
      <c r="B67" s="8" t="s">
        <v>924</v>
      </c>
      <c r="C67" s="9">
        <v>66</v>
      </c>
      <c r="D67" s="3">
        <v>2475000</v>
      </c>
      <c r="E67" s="1">
        <f>datos_limpios[[#This Row],[Price INR   ]]*0.011</f>
        <v>27225</v>
      </c>
      <c r="F67" s="13">
        <v>2012</v>
      </c>
      <c r="G67" s="2">
        <v>118000</v>
      </c>
      <c r="H67" s="8" t="s">
        <v>19</v>
      </c>
      <c r="I67" s="8" t="s">
        <v>40</v>
      </c>
      <c r="J67" s="8" t="s">
        <v>101</v>
      </c>
      <c r="K67" t="s">
        <v>269</v>
      </c>
      <c r="L67" t="s">
        <v>340</v>
      </c>
      <c r="M67" s="2">
        <f>VALUE(MID(L67,1,FIND("@",L67)-6))</f>
        <v>241</v>
      </c>
      <c r="N67">
        <v>7</v>
      </c>
      <c r="O67" t="str">
        <f>IF(datos_limpios[[#This Row],[Seating Capacity ]]&gt;4,"SI","NO")</f>
        <v>SI</v>
      </c>
      <c r="P67">
        <v>100</v>
      </c>
    </row>
    <row r="68" spans="1:16" x14ac:dyDescent="0.3">
      <c r="A68" s="8" t="s">
        <v>125</v>
      </c>
      <c r="B68" s="8" t="s">
        <v>285</v>
      </c>
      <c r="C68" s="9">
        <v>67</v>
      </c>
      <c r="D68" s="3">
        <v>2550000</v>
      </c>
      <c r="E68" s="1">
        <f>datos_limpios[[#This Row],[Price INR   ]]*0.011</f>
        <v>28050</v>
      </c>
      <c r="F68" s="13">
        <v>2015</v>
      </c>
      <c r="G68" s="2">
        <v>69500</v>
      </c>
      <c r="H68" s="8" t="s">
        <v>19</v>
      </c>
      <c r="I68" s="8" t="s">
        <v>40</v>
      </c>
      <c r="J68" s="8" t="s">
        <v>20</v>
      </c>
      <c r="K68" t="s">
        <v>127</v>
      </c>
      <c r="L68" t="s">
        <v>286</v>
      </c>
      <c r="M68" s="2">
        <f>VALUE(MID(L68,1,FIND("@",L68)-6))</f>
        <v>190</v>
      </c>
      <c r="N68">
        <v>5</v>
      </c>
      <c r="O68" t="str">
        <f>IF(datos_limpios[[#This Row],[Seating Capacity ]]&gt;4,"SI","NO")</f>
        <v>SI</v>
      </c>
      <c r="P68">
        <v>75</v>
      </c>
    </row>
    <row r="69" spans="1:16" x14ac:dyDescent="0.3">
      <c r="A69" s="8" t="s">
        <v>125</v>
      </c>
      <c r="B69" s="8" t="s">
        <v>204</v>
      </c>
      <c r="C69" s="9">
        <v>68</v>
      </c>
      <c r="D69" s="3">
        <v>2550000</v>
      </c>
      <c r="E69" s="1">
        <f>datos_limpios[[#This Row],[Price INR   ]]*0.011</f>
        <v>28050</v>
      </c>
      <c r="F69" s="13">
        <v>2017</v>
      </c>
      <c r="G69" s="2">
        <v>36000</v>
      </c>
      <c r="H69" s="8" t="s">
        <v>19</v>
      </c>
      <c r="I69" s="8" t="s">
        <v>40</v>
      </c>
      <c r="J69" s="8" t="s">
        <v>57</v>
      </c>
      <c r="K69" t="s">
        <v>127</v>
      </c>
      <c r="L69" t="s">
        <v>205</v>
      </c>
      <c r="M69" s="2">
        <f>VALUE(MID(L69,1,FIND("@",L69)-6))</f>
        <v>184</v>
      </c>
      <c r="N69">
        <v>5</v>
      </c>
      <c r="O69" t="str">
        <f>IF(datos_limpios[[#This Row],[Seating Capacity ]]&gt;4,"SI","NO")</f>
        <v>SI</v>
      </c>
      <c r="P69">
        <v>64</v>
      </c>
    </row>
    <row r="70" spans="1:16" x14ac:dyDescent="0.3">
      <c r="A70" s="8" t="s">
        <v>125</v>
      </c>
      <c r="B70" s="8" t="s">
        <v>821</v>
      </c>
      <c r="C70" s="9">
        <v>69</v>
      </c>
      <c r="D70" s="3">
        <v>2590000</v>
      </c>
      <c r="E70" s="1">
        <f>datos_limpios[[#This Row],[Price INR   ]]*0.011</f>
        <v>28490</v>
      </c>
      <c r="F70" s="13">
        <v>2020</v>
      </c>
      <c r="G70" s="2">
        <v>36978</v>
      </c>
      <c r="H70" s="8" t="s">
        <v>19</v>
      </c>
      <c r="I70" s="8" t="s">
        <v>40</v>
      </c>
      <c r="J70" s="8" t="s">
        <v>57</v>
      </c>
      <c r="K70" t="s">
        <v>127</v>
      </c>
      <c r="L70" t="s">
        <v>187</v>
      </c>
      <c r="M70" s="2">
        <f>VALUE(MID(L70,1,FIND("@",L70)-6))</f>
        <v>141</v>
      </c>
      <c r="N70">
        <v>5</v>
      </c>
      <c r="O70" t="str">
        <f>IF(datos_limpios[[#This Row],[Seating Capacity ]]&gt;4,"SI","NO")</f>
        <v>SI</v>
      </c>
      <c r="P70">
        <v>50</v>
      </c>
    </row>
    <row r="71" spans="1:16" x14ac:dyDescent="0.3">
      <c r="A71" s="8" t="s">
        <v>125</v>
      </c>
      <c r="B71" s="8" t="s">
        <v>826</v>
      </c>
      <c r="C71" s="9">
        <v>70</v>
      </c>
      <c r="D71" s="3">
        <v>2600000</v>
      </c>
      <c r="E71" s="1">
        <f>datos_limpios[[#This Row],[Price INR   ]]*0.011</f>
        <v>28600</v>
      </c>
      <c r="F71" s="13">
        <v>2017</v>
      </c>
      <c r="G71" s="2">
        <v>64000</v>
      </c>
      <c r="H71" s="8" t="s">
        <v>19</v>
      </c>
      <c r="I71" s="8" t="s">
        <v>40</v>
      </c>
      <c r="J71" s="8" t="s">
        <v>57</v>
      </c>
      <c r="K71" t="s">
        <v>127</v>
      </c>
      <c r="L71" t="s">
        <v>187</v>
      </c>
      <c r="M71" s="2">
        <f>VALUE(MID(L71,1,FIND("@",L71)-6))</f>
        <v>141</v>
      </c>
      <c r="N71">
        <v>5</v>
      </c>
      <c r="O71" t="str">
        <f>IF(datos_limpios[[#This Row],[Seating Capacity ]]&gt;4,"SI","NO")</f>
        <v>SI</v>
      </c>
      <c r="P71">
        <v>50</v>
      </c>
    </row>
    <row r="72" spans="1:16" x14ac:dyDescent="0.3">
      <c r="A72" s="8" t="s">
        <v>125</v>
      </c>
      <c r="B72" s="8" t="s">
        <v>409</v>
      </c>
      <c r="C72" s="9">
        <v>71</v>
      </c>
      <c r="D72" s="3">
        <v>2600000</v>
      </c>
      <c r="E72" s="1">
        <f>datos_limpios[[#This Row],[Price INR   ]]*0.011</f>
        <v>28600</v>
      </c>
      <c r="F72" s="13">
        <v>2015</v>
      </c>
      <c r="G72" s="2">
        <v>46000</v>
      </c>
      <c r="H72" s="8" t="s">
        <v>19</v>
      </c>
      <c r="I72" s="8" t="s">
        <v>40</v>
      </c>
      <c r="J72" s="8" t="s">
        <v>101</v>
      </c>
      <c r="K72" t="s">
        <v>269</v>
      </c>
      <c r="L72" t="s">
        <v>340</v>
      </c>
      <c r="M72" s="2">
        <f>VALUE(MID(L72,1,FIND("@",L72)-6))</f>
        <v>241</v>
      </c>
      <c r="N72">
        <v>7</v>
      </c>
      <c r="O72" t="str">
        <f>IF(datos_limpios[[#This Row],[Seating Capacity ]]&gt;4,"SI","NO")</f>
        <v>SI</v>
      </c>
      <c r="P72">
        <v>100</v>
      </c>
    </row>
    <row r="73" spans="1:16" x14ac:dyDescent="0.3">
      <c r="A73" s="8" t="s">
        <v>125</v>
      </c>
      <c r="B73" s="8" t="s">
        <v>979</v>
      </c>
      <c r="C73" s="9">
        <v>72</v>
      </c>
      <c r="D73" s="3">
        <v>2600000</v>
      </c>
      <c r="E73" s="1">
        <f>datos_limpios[[#This Row],[Price INR   ]]*0.011</f>
        <v>28600</v>
      </c>
      <c r="F73" s="13">
        <v>2012</v>
      </c>
      <c r="G73" s="2">
        <v>42000</v>
      </c>
      <c r="H73" s="8" t="s">
        <v>19</v>
      </c>
      <c r="I73" s="8" t="s">
        <v>40</v>
      </c>
      <c r="J73" s="8" t="s">
        <v>20</v>
      </c>
      <c r="K73" t="s">
        <v>269</v>
      </c>
      <c r="L73" t="s">
        <v>980</v>
      </c>
      <c r="M73" s="2">
        <f>VALUE(MID(L73,1,FIND("@",L73)-6))</f>
        <v>241</v>
      </c>
      <c r="N73">
        <v>5</v>
      </c>
      <c r="O73" t="str">
        <f>IF(datos_limpios[[#This Row],[Seating Capacity ]]&gt;4,"SI","NO")</f>
        <v>SI</v>
      </c>
      <c r="P73">
        <v>65</v>
      </c>
    </row>
    <row r="74" spans="1:16" x14ac:dyDescent="0.3">
      <c r="A74" s="8" t="s">
        <v>125</v>
      </c>
      <c r="B74" s="8" t="s">
        <v>1252</v>
      </c>
      <c r="C74" s="9">
        <v>73</v>
      </c>
      <c r="D74" s="3">
        <v>2690000</v>
      </c>
      <c r="E74" s="1">
        <f>datos_limpios[[#This Row],[Price INR   ]]*0.011</f>
        <v>29590</v>
      </c>
      <c r="F74" s="13">
        <v>2016</v>
      </c>
      <c r="G74" s="2">
        <v>57000</v>
      </c>
      <c r="H74" s="8" t="s">
        <v>19</v>
      </c>
      <c r="I74" s="8" t="s">
        <v>40</v>
      </c>
      <c r="J74" s="8" t="s">
        <v>20</v>
      </c>
      <c r="K74" t="s">
        <v>127</v>
      </c>
      <c r="L74" t="s">
        <v>352</v>
      </c>
      <c r="M74" s="2">
        <f>VALUE(MID(L74,1,FIND("@",L74)-6))</f>
        <v>174</v>
      </c>
      <c r="N74">
        <v>5</v>
      </c>
      <c r="O74" t="str">
        <f>IF(datos_limpios[[#This Row],[Seating Capacity ]]&gt;4,"SI","NO")</f>
        <v>SI</v>
      </c>
      <c r="P74">
        <v>75</v>
      </c>
    </row>
    <row r="75" spans="1:16" x14ac:dyDescent="0.3">
      <c r="A75" s="8" t="s">
        <v>125</v>
      </c>
      <c r="B75" s="8" t="s">
        <v>692</v>
      </c>
      <c r="C75" s="9">
        <v>74</v>
      </c>
      <c r="D75" s="3">
        <v>2799000</v>
      </c>
      <c r="E75" s="1">
        <f>datos_limpios[[#This Row],[Price INR   ]]*0.011</f>
        <v>30789</v>
      </c>
      <c r="F75" s="13">
        <v>2017</v>
      </c>
      <c r="G75" s="2">
        <v>72400</v>
      </c>
      <c r="H75" s="8" t="s">
        <v>19</v>
      </c>
      <c r="I75" s="8" t="s">
        <v>40</v>
      </c>
      <c r="J75" s="8" t="s">
        <v>20</v>
      </c>
      <c r="K75" t="s">
        <v>127</v>
      </c>
      <c r="L75" t="s">
        <v>267</v>
      </c>
      <c r="M75" s="2">
        <f>VALUE(MID(L75,1,FIND("@",L75)-6))</f>
        <v>188</v>
      </c>
      <c r="N75">
        <v>5</v>
      </c>
      <c r="O75" t="str">
        <f>IF(datos_limpios[[#This Row],[Seating Capacity ]]&gt;4,"SI","NO")</f>
        <v>SI</v>
      </c>
      <c r="P75">
        <v>54</v>
      </c>
    </row>
    <row r="76" spans="1:16" x14ac:dyDescent="0.3">
      <c r="A76" s="8" t="s">
        <v>125</v>
      </c>
      <c r="B76" s="8" t="s">
        <v>1214</v>
      </c>
      <c r="C76" s="9">
        <v>75</v>
      </c>
      <c r="D76" s="3">
        <v>2850000</v>
      </c>
      <c r="E76" s="1">
        <f>datos_limpios[[#This Row],[Price INR   ]]*0.011</f>
        <v>31350</v>
      </c>
      <c r="F76" s="13">
        <v>2017</v>
      </c>
      <c r="G76" s="2">
        <v>58000</v>
      </c>
      <c r="H76" s="8" t="s">
        <v>12</v>
      </c>
      <c r="I76" s="8" t="s">
        <v>40</v>
      </c>
      <c r="J76" s="8" t="s">
        <v>101</v>
      </c>
      <c r="K76" t="s">
        <v>45</v>
      </c>
      <c r="L76" t="s">
        <v>1215</v>
      </c>
      <c r="M76" s="2">
        <f>VALUE(MID(L76,1,FIND("@",L76)-6))</f>
        <v>190</v>
      </c>
      <c r="N76">
        <v>5</v>
      </c>
      <c r="O76" t="str">
        <f>IF(datos_limpios[[#This Row],[Seating Capacity ]]&gt;4,"SI","NO")</f>
        <v>SI</v>
      </c>
      <c r="P76">
        <v>75</v>
      </c>
    </row>
    <row r="77" spans="1:16" x14ac:dyDescent="0.3">
      <c r="A77" s="8" t="s">
        <v>125</v>
      </c>
      <c r="B77" s="8" t="s">
        <v>204</v>
      </c>
      <c r="C77" s="9">
        <v>76</v>
      </c>
      <c r="D77" s="3">
        <v>2900000</v>
      </c>
      <c r="E77" s="1">
        <f>datos_limpios[[#This Row],[Price INR   ]]*0.011</f>
        <v>31899.999999999996</v>
      </c>
      <c r="F77" s="13">
        <v>2018</v>
      </c>
      <c r="G77" s="2">
        <v>35000</v>
      </c>
      <c r="H77" s="8" t="s">
        <v>19</v>
      </c>
      <c r="I77" s="8" t="s">
        <v>40</v>
      </c>
      <c r="J77" s="8" t="s">
        <v>20</v>
      </c>
      <c r="K77" t="s">
        <v>127</v>
      </c>
      <c r="L77" t="s">
        <v>205</v>
      </c>
      <c r="M77" s="2">
        <f>VALUE(MID(L77,1,FIND("@",L77)-6))</f>
        <v>184</v>
      </c>
      <c r="N77">
        <v>5</v>
      </c>
      <c r="O77" t="str">
        <f>IF(datos_limpios[[#This Row],[Seating Capacity ]]&gt;4,"SI","NO")</f>
        <v>SI</v>
      </c>
      <c r="P77">
        <v>64</v>
      </c>
    </row>
    <row r="78" spans="1:16" x14ac:dyDescent="0.3">
      <c r="A78" s="8" t="s">
        <v>125</v>
      </c>
      <c r="B78" s="8" t="s">
        <v>378</v>
      </c>
      <c r="C78" s="9">
        <v>77</v>
      </c>
      <c r="D78" s="3">
        <v>2900000</v>
      </c>
      <c r="E78" s="1">
        <f>datos_limpios[[#This Row],[Price INR   ]]*0.011</f>
        <v>31899.999999999996</v>
      </c>
      <c r="F78" s="13">
        <v>2011</v>
      </c>
      <c r="G78" s="2">
        <v>56000</v>
      </c>
      <c r="H78" s="8" t="s">
        <v>12</v>
      </c>
      <c r="I78" s="8" t="s">
        <v>40</v>
      </c>
      <c r="J78" s="8" t="s">
        <v>30</v>
      </c>
      <c r="K78" t="s">
        <v>379</v>
      </c>
      <c r="L78" t="s">
        <v>380</v>
      </c>
      <c r="M78" s="2">
        <f>VALUE(MID(L78,1,FIND("@",L78)-6))</f>
        <v>444</v>
      </c>
      <c r="N78">
        <v>5</v>
      </c>
      <c r="O78" t="str">
        <f>IF(datos_limpios[[#This Row],[Seating Capacity ]]&gt;4,"SI","NO")</f>
        <v>SI</v>
      </c>
      <c r="P78">
        <v>64</v>
      </c>
    </row>
    <row r="79" spans="1:16" x14ac:dyDescent="0.3">
      <c r="A79" s="8" t="s">
        <v>125</v>
      </c>
      <c r="B79" s="8" t="s">
        <v>740</v>
      </c>
      <c r="C79" s="9">
        <v>78</v>
      </c>
      <c r="D79" s="3">
        <v>2900000</v>
      </c>
      <c r="E79" s="1">
        <f>datos_limpios[[#This Row],[Price INR   ]]*0.011</f>
        <v>31899.999999999996</v>
      </c>
      <c r="F79" s="13">
        <v>2019</v>
      </c>
      <c r="G79" s="2">
        <v>15530</v>
      </c>
      <c r="H79" s="8" t="s">
        <v>19</v>
      </c>
      <c r="I79" s="8" t="s">
        <v>40</v>
      </c>
      <c r="J79" s="8" t="s">
        <v>20</v>
      </c>
      <c r="K79" t="s">
        <v>127</v>
      </c>
      <c r="L79" t="s">
        <v>187</v>
      </c>
      <c r="M79" s="2">
        <f>VALUE(MID(L79,1,FIND("@",L79)-6))</f>
        <v>141</v>
      </c>
      <c r="N79">
        <v>5</v>
      </c>
      <c r="O79" t="str">
        <f>IF(datos_limpios[[#This Row],[Seating Capacity ]]&gt;4,"SI","NO")</f>
        <v>SI</v>
      </c>
      <c r="P79">
        <v>50</v>
      </c>
    </row>
    <row r="80" spans="1:16" x14ac:dyDescent="0.3">
      <c r="A80" s="8" t="s">
        <v>125</v>
      </c>
      <c r="B80" s="8" t="s">
        <v>973</v>
      </c>
      <c r="C80" s="9">
        <v>79</v>
      </c>
      <c r="D80" s="3">
        <v>2900000</v>
      </c>
      <c r="E80" s="1">
        <f>datos_limpios[[#This Row],[Price INR   ]]*0.011</f>
        <v>31899.999999999996</v>
      </c>
      <c r="F80" s="13">
        <v>2017</v>
      </c>
      <c r="G80" s="2">
        <v>64000</v>
      </c>
      <c r="H80" s="8" t="s">
        <v>19</v>
      </c>
      <c r="I80" s="8" t="s">
        <v>40</v>
      </c>
      <c r="J80" s="8" t="s">
        <v>20</v>
      </c>
      <c r="K80" t="s">
        <v>127</v>
      </c>
      <c r="L80" t="s">
        <v>357</v>
      </c>
      <c r="M80" s="2">
        <f>VALUE(MID(L80,1,FIND("@",L80)-6))</f>
        <v>150</v>
      </c>
      <c r="N80">
        <v>5</v>
      </c>
      <c r="O80" t="str">
        <f>IF(datos_limpios[[#This Row],[Seating Capacity ]]&gt;4,"SI","NO")</f>
        <v>SI</v>
      </c>
      <c r="P80">
        <v>64</v>
      </c>
    </row>
    <row r="81" spans="1:16" x14ac:dyDescent="0.3">
      <c r="A81" s="8" t="s">
        <v>125</v>
      </c>
      <c r="B81" s="8" t="s">
        <v>826</v>
      </c>
      <c r="C81" s="9">
        <v>80</v>
      </c>
      <c r="D81" s="3">
        <v>2900000</v>
      </c>
      <c r="E81" s="1">
        <f>datos_limpios[[#This Row],[Price INR   ]]*0.011</f>
        <v>31899.999999999996</v>
      </c>
      <c r="F81" s="13">
        <v>2019</v>
      </c>
      <c r="G81" s="2">
        <v>15529</v>
      </c>
      <c r="H81" s="8" t="s">
        <v>19</v>
      </c>
      <c r="I81" s="8" t="s">
        <v>40</v>
      </c>
      <c r="J81" s="8" t="s">
        <v>20</v>
      </c>
      <c r="K81" t="s">
        <v>127</v>
      </c>
      <c r="L81" t="s">
        <v>187</v>
      </c>
      <c r="M81" s="2">
        <f>VALUE(MID(L81,1,FIND("@",L81)-6))</f>
        <v>141</v>
      </c>
      <c r="N81">
        <v>5</v>
      </c>
      <c r="O81" t="str">
        <f>IF(datos_limpios[[#This Row],[Seating Capacity ]]&gt;4,"SI","NO")</f>
        <v>SI</v>
      </c>
      <c r="P81">
        <v>50</v>
      </c>
    </row>
    <row r="82" spans="1:16" x14ac:dyDescent="0.3">
      <c r="A82" s="8" t="s">
        <v>125</v>
      </c>
      <c r="B82" s="8" t="s">
        <v>265</v>
      </c>
      <c r="C82" s="9">
        <v>81</v>
      </c>
      <c r="D82" s="3">
        <v>2950000</v>
      </c>
      <c r="E82" s="1">
        <f>datos_limpios[[#This Row],[Price INR   ]]*0.011</f>
        <v>32449.999999999996</v>
      </c>
      <c r="F82" s="13">
        <v>2020</v>
      </c>
      <c r="G82" s="2">
        <v>10700</v>
      </c>
      <c r="H82" s="8" t="s">
        <v>12</v>
      </c>
      <c r="I82" s="8" t="s">
        <v>40</v>
      </c>
      <c r="J82" s="8" t="s">
        <v>20</v>
      </c>
      <c r="K82" t="s">
        <v>266</v>
      </c>
      <c r="L82" t="s">
        <v>267</v>
      </c>
      <c r="M82" s="2">
        <f>VALUE(MID(L82,1,FIND("@",L82)-6))</f>
        <v>188</v>
      </c>
      <c r="N82">
        <v>5</v>
      </c>
      <c r="O82" t="str">
        <f>IF(datos_limpios[[#This Row],[Seating Capacity ]]&gt;4,"SI","NO")</f>
        <v>SI</v>
      </c>
      <c r="P82">
        <v>55</v>
      </c>
    </row>
    <row r="83" spans="1:16" x14ac:dyDescent="0.3">
      <c r="A83" s="8" t="s">
        <v>125</v>
      </c>
      <c r="B83" s="8" t="s">
        <v>826</v>
      </c>
      <c r="C83" s="9">
        <v>82</v>
      </c>
      <c r="D83" s="3">
        <v>2950000</v>
      </c>
      <c r="E83" s="1">
        <f>datos_limpios[[#This Row],[Price INR   ]]*0.011</f>
        <v>32449.999999999996</v>
      </c>
      <c r="F83" s="13">
        <v>2020</v>
      </c>
      <c r="G83" s="2">
        <v>11000</v>
      </c>
      <c r="H83" s="8" t="s">
        <v>19</v>
      </c>
      <c r="I83" s="8" t="s">
        <v>40</v>
      </c>
      <c r="J83" s="8" t="s">
        <v>20</v>
      </c>
      <c r="K83" t="s">
        <v>127</v>
      </c>
      <c r="L83" t="s">
        <v>187</v>
      </c>
      <c r="M83" s="2">
        <f>VALUE(MID(L83,1,FIND("@",L83)-6))</f>
        <v>141</v>
      </c>
      <c r="N83">
        <v>5</v>
      </c>
      <c r="O83" t="str">
        <f>IF(datos_limpios[[#This Row],[Seating Capacity ]]&gt;4,"SI","NO")</f>
        <v>SI</v>
      </c>
      <c r="P83">
        <v>50</v>
      </c>
    </row>
    <row r="84" spans="1:16" x14ac:dyDescent="0.3">
      <c r="A84" s="8" t="s">
        <v>125</v>
      </c>
      <c r="B84" s="8" t="s">
        <v>1040</v>
      </c>
      <c r="C84" s="9">
        <v>83</v>
      </c>
      <c r="D84" s="3">
        <v>2950000</v>
      </c>
      <c r="E84" s="1">
        <f>datos_limpios[[#This Row],[Price INR   ]]*0.011</f>
        <v>32449.999999999996</v>
      </c>
      <c r="F84" s="13">
        <v>2018</v>
      </c>
      <c r="G84" s="2">
        <v>17300</v>
      </c>
      <c r="H84" s="8" t="s">
        <v>19</v>
      </c>
      <c r="I84" s="8" t="s">
        <v>40</v>
      </c>
      <c r="J84" s="8" t="s">
        <v>30</v>
      </c>
      <c r="K84" t="s">
        <v>127</v>
      </c>
      <c r="L84" t="s">
        <v>187</v>
      </c>
      <c r="M84" s="2">
        <f>VALUE(MID(L84,1,FIND("@",L84)-6))</f>
        <v>141</v>
      </c>
      <c r="N84">
        <v>5</v>
      </c>
      <c r="O84" t="str">
        <f>IF(datos_limpios[[#This Row],[Seating Capacity ]]&gt;4,"SI","NO")</f>
        <v>SI</v>
      </c>
      <c r="P84">
        <v>50</v>
      </c>
    </row>
    <row r="85" spans="1:16" x14ac:dyDescent="0.3">
      <c r="A85" s="8" t="s">
        <v>125</v>
      </c>
      <c r="B85" s="8" t="s">
        <v>743</v>
      </c>
      <c r="C85" s="9">
        <v>84</v>
      </c>
      <c r="D85" s="3">
        <v>3000000</v>
      </c>
      <c r="E85" s="1">
        <f>datos_limpios[[#This Row],[Price INR   ]]*0.011</f>
        <v>33000</v>
      </c>
      <c r="F85" s="13">
        <v>2017</v>
      </c>
      <c r="G85" s="2">
        <v>42000</v>
      </c>
      <c r="H85" s="8" t="s">
        <v>12</v>
      </c>
      <c r="I85" s="8" t="s">
        <v>40</v>
      </c>
      <c r="J85" s="8" t="s">
        <v>20</v>
      </c>
      <c r="K85" t="s">
        <v>744</v>
      </c>
      <c r="L85" t="s">
        <v>745</v>
      </c>
      <c r="M85" s="2">
        <f>VALUE(MID(L85,1,FIND("@",L85)-6))</f>
        <v>148</v>
      </c>
      <c r="N85">
        <v>5</v>
      </c>
      <c r="O85" t="str">
        <f>IF(datos_limpios[[#This Row],[Seating Capacity ]]&gt;4,"SI","NO")</f>
        <v>SI</v>
      </c>
      <c r="P85">
        <v>54</v>
      </c>
    </row>
    <row r="86" spans="1:16" x14ac:dyDescent="0.3">
      <c r="A86" s="8" t="s">
        <v>125</v>
      </c>
      <c r="B86" s="8" t="s">
        <v>186</v>
      </c>
      <c r="C86" s="9">
        <v>85</v>
      </c>
      <c r="D86" s="3">
        <v>3050000</v>
      </c>
      <c r="E86" s="1">
        <f>datos_limpios[[#This Row],[Price INR   ]]*0.011</f>
        <v>33550</v>
      </c>
      <c r="F86" s="13">
        <v>2020</v>
      </c>
      <c r="G86" s="2">
        <v>40910</v>
      </c>
      <c r="H86" s="8" t="s">
        <v>19</v>
      </c>
      <c r="I86" s="8" t="s">
        <v>40</v>
      </c>
      <c r="J86" s="8" t="s">
        <v>20</v>
      </c>
      <c r="K86" t="s">
        <v>127</v>
      </c>
      <c r="L86" t="s">
        <v>187</v>
      </c>
      <c r="M86" s="2">
        <f>VALUE(MID(L86,1,FIND("@",L86)-6))</f>
        <v>141</v>
      </c>
      <c r="N86">
        <v>5</v>
      </c>
      <c r="O86" t="str">
        <f>IF(datos_limpios[[#This Row],[Seating Capacity ]]&gt;4,"SI","NO")</f>
        <v>SI</v>
      </c>
      <c r="P86">
        <v>50</v>
      </c>
    </row>
    <row r="87" spans="1:16" x14ac:dyDescent="0.3">
      <c r="A87" s="8" t="s">
        <v>125</v>
      </c>
      <c r="B87" s="8" t="s">
        <v>285</v>
      </c>
      <c r="C87" s="9">
        <v>86</v>
      </c>
      <c r="D87" s="3">
        <v>3075000</v>
      </c>
      <c r="E87" s="1">
        <f>datos_limpios[[#This Row],[Price INR   ]]*0.011</f>
        <v>33825</v>
      </c>
      <c r="F87" s="13">
        <v>2017</v>
      </c>
      <c r="G87" s="2">
        <v>17000</v>
      </c>
      <c r="H87" s="8" t="s">
        <v>19</v>
      </c>
      <c r="I87" s="8" t="s">
        <v>40</v>
      </c>
      <c r="J87" s="8" t="s">
        <v>20</v>
      </c>
      <c r="K87" t="s">
        <v>127</v>
      </c>
      <c r="L87" t="s">
        <v>286</v>
      </c>
      <c r="M87" s="2">
        <f>VALUE(MID(L87,1,FIND("@",L87)-6))</f>
        <v>190</v>
      </c>
      <c r="N87">
        <v>5</v>
      </c>
      <c r="O87" t="str">
        <f>IF(datos_limpios[[#This Row],[Seating Capacity ]]&gt;4,"SI","NO")</f>
        <v>SI</v>
      </c>
      <c r="P87">
        <v>75</v>
      </c>
    </row>
    <row r="88" spans="1:16" x14ac:dyDescent="0.3">
      <c r="A88" s="8" t="s">
        <v>125</v>
      </c>
      <c r="B88" s="8" t="s">
        <v>802</v>
      </c>
      <c r="C88" s="9">
        <v>87</v>
      </c>
      <c r="D88" s="3">
        <v>3125000</v>
      </c>
      <c r="E88" s="1">
        <f>datos_limpios[[#This Row],[Price INR   ]]*0.011</f>
        <v>34375</v>
      </c>
      <c r="F88" s="13">
        <v>2020</v>
      </c>
      <c r="G88" s="2">
        <v>28600</v>
      </c>
      <c r="H88" s="8" t="s">
        <v>12</v>
      </c>
      <c r="I88" s="8" t="s">
        <v>40</v>
      </c>
      <c r="J88" s="8" t="s">
        <v>20</v>
      </c>
      <c r="K88" t="s">
        <v>45</v>
      </c>
      <c r="L88" t="s">
        <v>803</v>
      </c>
      <c r="M88" s="2">
        <f>VALUE(MID(L88,1,FIND("@",L88)-6))</f>
        <v>170</v>
      </c>
      <c r="N88">
        <v>5</v>
      </c>
      <c r="O88" t="str">
        <f>IF(datos_limpios[[#This Row],[Seating Capacity ]]&gt;4,"SI","NO")</f>
        <v>SI</v>
      </c>
      <c r="P88">
        <v>63</v>
      </c>
    </row>
    <row r="89" spans="1:16" x14ac:dyDescent="0.3">
      <c r="A89" s="8" t="s">
        <v>125</v>
      </c>
      <c r="B89" s="8" t="s">
        <v>1058</v>
      </c>
      <c r="C89" s="9">
        <v>88</v>
      </c>
      <c r="D89" s="3">
        <v>3250000</v>
      </c>
      <c r="E89" s="1">
        <f>datos_limpios[[#This Row],[Price INR   ]]*0.011</f>
        <v>35750</v>
      </c>
      <c r="F89" s="13">
        <v>2019</v>
      </c>
      <c r="G89" s="2">
        <v>41000</v>
      </c>
      <c r="H89" s="8" t="s">
        <v>19</v>
      </c>
      <c r="I89" s="8" t="s">
        <v>40</v>
      </c>
      <c r="J89" s="8" t="s">
        <v>20</v>
      </c>
      <c r="K89" t="s">
        <v>127</v>
      </c>
      <c r="L89" t="s">
        <v>205</v>
      </c>
      <c r="M89" s="2">
        <f>VALUE(MID(L89,1,FIND("@",L89)-6))</f>
        <v>184</v>
      </c>
      <c r="N89">
        <v>5</v>
      </c>
      <c r="O89" t="str">
        <f>IF(datos_limpios[[#This Row],[Seating Capacity ]]&gt;4,"SI","NO")</f>
        <v>SI</v>
      </c>
      <c r="P89">
        <v>64</v>
      </c>
    </row>
    <row r="90" spans="1:16" x14ac:dyDescent="0.3">
      <c r="A90" s="8" t="s">
        <v>125</v>
      </c>
      <c r="B90" s="8" t="s">
        <v>1169</v>
      </c>
      <c r="C90" s="9">
        <v>89</v>
      </c>
      <c r="D90" s="3">
        <v>3300000</v>
      </c>
      <c r="E90" s="1">
        <f>datos_limpios[[#This Row],[Price INR   ]]*0.011</f>
        <v>36300</v>
      </c>
      <c r="F90" s="13">
        <v>2014</v>
      </c>
      <c r="G90" s="2">
        <v>25000</v>
      </c>
      <c r="H90" s="8" t="s">
        <v>19</v>
      </c>
      <c r="I90" s="8" t="s">
        <v>40</v>
      </c>
      <c r="J90" s="8" t="s">
        <v>82</v>
      </c>
      <c r="K90" t="s">
        <v>269</v>
      </c>
      <c r="L90" t="s">
        <v>340</v>
      </c>
      <c r="M90" s="2">
        <f>VALUE(MID(L90,1,FIND("@",L90)-6))</f>
        <v>241</v>
      </c>
      <c r="N90">
        <v>6</v>
      </c>
      <c r="O90" t="str">
        <f>IF(datos_limpios[[#This Row],[Seating Capacity ]]&gt;4,"SI","NO")</f>
        <v>SI</v>
      </c>
      <c r="P90">
        <v>100</v>
      </c>
    </row>
    <row r="91" spans="1:16" x14ac:dyDescent="0.3">
      <c r="A91" s="8" t="s">
        <v>125</v>
      </c>
      <c r="B91" s="8" t="s">
        <v>285</v>
      </c>
      <c r="C91" s="9">
        <v>90</v>
      </c>
      <c r="D91" s="3">
        <v>3400000</v>
      </c>
      <c r="E91" s="1">
        <f>datos_limpios[[#This Row],[Price INR   ]]*0.011</f>
        <v>37400</v>
      </c>
      <c r="F91" s="13">
        <v>2018</v>
      </c>
      <c r="G91" s="2">
        <v>51000</v>
      </c>
      <c r="H91" s="8" t="s">
        <v>19</v>
      </c>
      <c r="I91" s="8" t="s">
        <v>40</v>
      </c>
      <c r="J91" s="8" t="s">
        <v>30</v>
      </c>
      <c r="K91" t="s">
        <v>127</v>
      </c>
      <c r="L91" t="s">
        <v>286</v>
      </c>
      <c r="M91" s="2">
        <f>VALUE(MID(L91,1,FIND("@",L91)-6))</f>
        <v>190</v>
      </c>
      <c r="N91">
        <v>5</v>
      </c>
      <c r="O91" t="str">
        <f>IF(datos_limpios[[#This Row],[Seating Capacity ]]&gt;4,"SI","NO")</f>
        <v>SI</v>
      </c>
      <c r="P91">
        <v>75</v>
      </c>
    </row>
    <row r="92" spans="1:16" x14ac:dyDescent="0.3">
      <c r="A92" s="8" t="s">
        <v>125</v>
      </c>
      <c r="B92" s="8" t="s">
        <v>1357</v>
      </c>
      <c r="C92" s="9">
        <v>91</v>
      </c>
      <c r="D92" s="3">
        <v>3400000</v>
      </c>
      <c r="E92" s="1">
        <f>datos_limpios[[#This Row],[Price INR   ]]*0.011</f>
        <v>37400</v>
      </c>
      <c r="F92" s="13">
        <v>2019</v>
      </c>
      <c r="G92" s="2">
        <v>48000</v>
      </c>
      <c r="H92" s="8" t="s">
        <v>19</v>
      </c>
      <c r="I92" s="8" t="s">
        <v>40</v>
      </c>
      <c r="J92" s="8" t="s">
        <v>20</v>
      </c>
      <c r="K92" t="s">
        <v>127</v>
      </c>
      <c r="L92" t="s">
        <v>267</v>
      </c>
      <c r="M92" s="2">
        <f>VALUE(MID(L92,1,FIND("@",L92)-6))</f>
        <v>188</v>
      </c>
      <c r="N92">
        <v>5</v>
      </c>
      <c r="O92" t="str">
        <f>IF(datos_limpios[[#This Row],[Seating Capacity ]]&gt;4,"SI","NO")</f>
        <v>SI</v>
      </c>
      <c r="P92">
        <v>54</v>
      </c>
    </row>
    <row r="93" spans="1:16" x14ac:dyDescent="0.3">
      <c r="A93" s="8" t="s">
        <v>125</v>
      </c>
      <c r="B93" s="8" t="s">
        <v>1255</v>
      </c>
      <c r="C93" s="9">
        <v>92</v>
      </c>
      <c r="D93" s="3">
        <v>3450000</v>
      </c>
      <c r="E93" s="1">
        <f>datos_limpios[[#This Row],[Price INR   ]]*0.011</f>
        <v>37950</v>
      </c>
      <c r="F93" s="13">
        <v>2022</v>
      </c>
      <c r="G93" s="2">
        <v>4600</v>
      </c>
      <c r="H93" s="8" t="s">
        <v>12</v>
      </c>
      <c r="I93" s="8" t="s">
        <v>40</v>
      </c>
      <c r="J93" s="8" t="s">
        <v>57</v>
      </c>
      <c r="K93" t="s">
        <v>266</v>
      </c>
      <c r="L93" t="s">
        <v>267</v>
      </c>
      <c r="M93" s="2">
        <f>VALUE(MID(L93,1,FIND("@",L93)-6))</f>
        <v>188</v>
      </c>
      <c r="N93">
        <v>5</v>
      </c>
      <c r="O93" t="str">
        <f>IF(datos_limpios[[#This Row],[Seating Capacity ]]&gt;4,"SI","NO")</f>
        <v>SI</v>
      </c>
      <c r="P93">
        <v>55</v>
      </c>
    </row>
    <row r="94" spans="1:16" x14ac:dyDescent="0.3">
      <c r="A94" s="8" t="s">
        <v>125</v>
      </c>
      <c r="B94" s="8" t="s">
        <v>743</v>
      </c>
      <c r="C94" s="9">
        <v>93</v>
      </c>
      <c r="D94" s="3">
        <v>3500000</v>
      </c>
      <c r="E94" s="1">
        <f>datos_limpios[[#This Row],[Price INR   ]]*0.011</f>
        <v>38500</v>
      </c>
      <c r="F94" s="13">
        <v>2018</v>
      </c>
      <c r="G94" s="2">
        <v>18000</v>
      </c>
      <c r="H94" s="8" t="s">
        <v>12</v>
      </c>
      <c r="I94" s="8" t="s">
        <v>40</v>
      </c>
      <c r="J94" s="8" t="s">
        <v>20</v>
      </c>
      <c r="K94" t="s">
        <v>744</v>
      </c>
      <c r="L94" t="s">
        <v>745</v>
      </c>
      <c r="M94" s="2">
        <f>VALUE(MID(L94,1,FIND("@",L94)-6))</f>
        <v>148</v>
      </c>
      <c r="N94">
        <v>5</v>
      </c>
      <c r="O94" t="str">
        <f>IF(datos_limpios[[#This Row],[Seating Capacity ]]&gt;4,"SI","NO")</f>
        <v>SI</v>
      </c>
      <c r="P94">
        <v>54</v>
      </c>
    </row>
    <row r="95" spans="1:16" x14ac:dyDescent="0.3">
      <c r="A95" s="8" t="s">
        <v>125</v>
      </c>
      <c r="B95" s="8" t="s">
        <v>378</v>
      </c>
      <c r="C95" s="9">
        <v>94</v>
      </c>
      <c r="D95" s="3">
        <v>3650000</v>
      </c>
      <c r="E95" s="1">
        <f>datos_limpios[[#This Row],[Price INR   ]]*0.011</f>
        <v>40150</v>
      </c>
      <c r="F95" s="13">
        <v>2012</v>
      </c>
      <c r="G95" s="2">
        <v>25500</v>
      </c>
      <c r="H95" s="8" t="s">
        <v>12</v>
      </c>
      <c r="I95" s="8" t="s">
        <v>40</v>
      </c>
      <c r="J95" s="8" t="s">
        <v>57</v>
      </c>
      <c r="K95" t="s">
        <v>379</v>
      </c>
      <c r="L95" t="s">
        <v>380</v>
      </c>
      <c r="M95" s="2">
        <f>VALUE(MID(L95,1,FIND("@",L95)-6))</f>
        <v>444</v>
      </c>
      <c r="N95">
        <v>5</v>
      </c>
      <c r="O95" t="str">
        <f>IF(datos_limpios[[#This Row],[Seating Capacity ]]&gt;4,"SI","NO")</f>
        <v>SI</v>
      </c>
      <c r="P95">
        <v>64</v>
      </c>
    </row>
    <row r="96" spans="1:16" x14ac:dyDescent="0.3">
      <c r="A96" s="8" t="s">
        <v>125</v>
      </c>
      <c r="B96" s="8" t="s">
        <v>285</v>
      </c>
      <c r="C96" s="9">
        <v>95</v>
      </c>
      <c r="D96" s="3">
        <v>3675000</v>
      </c>
      <c r="E96" s="1">
        <f>datos_limpios[[#This Row],[Price INR   ]]*0.011</f>
        <v>40425</v>
      </c>
      <c r="F96" s="13">
        <v>2019</v>
      </c>
      <c r="G96" s="2">
        <v>34000</v>
      </c>
      <c r="H96" s="8" t="s">
        <v>19</v>
      </c>
      <c r="I96" s="8" t="s">
        <v>40</v>
      </c>
      <c r="J96" s="8" t="s">
        <v>101</v>
      </c>
      <c r="K96" t="s">
        <v>127</v>
      </c>
      <c r="L96" t="s">
        <v>286</v>
      </c>
      <c r="M96" s="2">
        <f>VALUE(MID(L96,1,FIND("@",L96)-6))</f>
        <v>190</v>
      </c>
      <c r="N96">
        <v>5</v>
      </c>
      <c r="O96" t="str">
        <f>IF(datos_limpios[[#This Row],[Seating Capacity ]]&gt;4,"SI","NO")</f>
        <v>SI</v>
      </c>
      <c r="P96">
        <v>75</v>
      </c>
    </row>
    <row r="97" spans="1:16" x14ac:dyDescent="0.3">
      <c r="A97" s="8" t="s">
        <v>125</v>
      </c>
      <c r="B97" s="8" t="s">
        <v>919</v>
      </c>
      <c r="C97" s="9">
        <v>96</v>
      </c>
      <c r="D97" s="3">
        <v>3750000</v>
      </c>
      <c r="E97" s="1">
        <f>datos_limpios[[#This Row],[Price INR   ]]*0.011</f>
        <v>41250</v>
      </c>
      <c r="F97" s="13">
        <v>2016</v>
      </c>
      <c r="G97" s="2">
        <v>88000</v>
      </c>
      <c r="H97" s="8" t="s">
        <v>19</v>
      </c>
      <c r="I97" s="8" t="s">
        <v>40</v>
      </c>
      <c r="J97" s="8" t="s">
        <v>20</v>
      </c>
      <c r="K97" t="s">
        <v>269</v>
      </c>
      <c r="L97" t="s">
        <v>270</v>
      </c>
      <c r="M97" s="2">
        <f>VALUE(MID(L97,1,FIND("@",L97)-6))</f>
        <v>245</v>
      </c>
      <c r="N97">
        <v>7</v>
      </c>
      <c r="O97" t="str">
        <f>IF(datos_limpios[[#This Row],[Seating Capacity ]]&gt;4,"SI","NO")</f>
        <v>SI</v>
      </c>
      <c r="P97">
        <v>75</v>
      </c>
    </row>
    <row r="98" spans="1:16" x14ac:dyDescent="0.3">
      <c r="A98" s="8" t="s">
        <v>125</v>
      </c>
      <c r="B98" s="8" t="s">
        <v>285</v>
      </c>
      <c r="C98" s="9">
        <v>97</v>
      </c>
      <c r="D98" s="3">
        <v>3900000</v>
      </c>
      <c r="E98" s="1">
        <f>datos_limpios[[#This Row],[Price INR   ]]*0.011</f>
        <v>42900</v>
      </c>
      <c r="F98" s="13">
        <v>2018</v>
      </c>
      <c r="G98" s="2">
        <v>48945</v>
      </c>
      <c r="H98" s="8" t="s">
        <v>19</v>
      </c>
      <c r="I98" s="8" t="s">
        <v>40</v>
      </c>
      <c r="J98" s="8" t="s">
        <v>101</v>
      </c>
      <c r="K98" t="s">
        <v>127</v>
      </c>
      <c r="L98" t="s">
        <v>286</v>
      </c>
      <c r="M98" s="2">
        <f>VALUE(MID(L98,1,FIND("@",L98)-6))</f>
        <v>190</v>
      </c>
      <c r="N98">
        <v>5</v>
      </c>
      <c r="O98" t="str">
        <f>IF(datos_limpios[[#This Row],[Seating Capacity ]]&gt;4,"SI","NO")</f>
        <v>SI</v>
      </c>
      <c r="P98">
        <v>75</v>
      </c>
    </row>
    <row r="99" spans="1:16" x14ac:dyDescent="0.3">
      <c r="A99" s="8" t="s">
        <v>125</v>
      </c>
      <c r="B99" s="8" t="s">
        <v>535</v>
      </c>
      <c r="C99" s="9">
        <v>98</v>
      </c>
      <c r="D99" s="3">
        <v>4000000</v>
      </c>
      <c r="E99" s="1">
        <f>datos_limpios[[#This Row],[Price INR   ]]*0.011</f>
        <v>44000</v>
      </c>
      <c r="F99" s="13">
        <v>2014</v>
      </c>
      <c r="G99" s="2">
        <v>39394</v>
      </c>
      <c r="H99" s="8" t="s">
        <v>12</v>
      </c>
      <c r="I99" s="8" t="s">
        <v>40</v>
      </c>
      <c r="J99" s="8" t="s">
        <v>20</v>
      </c>
      <c r="K99" t="s">
        <v>266</v>
      </c>
      <c r="L99" t="s">
        <v>536</v>
      </c>
      <c r="M99" s="2">
        <f>VALUE(MID(L99,1,FIND("@",L99)-6))</f>
        <v>208</v>
      </c>
      <c r="N99">
        <v>2</v>
      </c>
      <c r="O99" t="str">
        <f>IF(datos_limpios[[#This Row],[Seating Capacity ]]&gt;4,"SI","NO")</f>
        <v>NO</v>
      </c>
      <c r="P99">
        <v>60</v>
      </c>
    </row>
    <row r="100" spans="1:16" x14ac:dyDescent="0.3">
      <c r="A100" s="8" t="s">
        <v>125</v>
      </c>
      <c r="B100" s="8" t="s">
        <v>921</v>
      </c>
      <c r="C100" s="9">
        <v>99</v>
      </c>
      <c r="D100" s="3">
        <v>4150000</v>
      </c>
      <c r="E100" s="1">
        <f>datos_limpios[[#This Row],[Price INR   ]]*0.011</f>
        <v>45650</v>
      </c>
      <c r="F100" s="13">
        <v>2022</v>
      </c>
      <c r="G100" s="2">
        <v>22000</v>
      </c>
      <c r="H100" s="8" t="s">
        <v>12</v>
      </c>
      <c r="I100" s="8" t="s">
        <v>40</v>
      </c>
      <c r="J100" s="8" t="s">
        <v>20</v>
      </c>
      <c r="K100" t="s">
        <v>266</v>
      </c>
      <c r="L100" t="s">
        <v>267</v>
      </c>
      <c r="M100" s="2">
        <f>VALUE(MID(L100,1,FIND("@",L100)-6))</f>
        <v>188</v>
      </c>
      <c r="N100">
        <v>5</v>
      </c>
      <c r="O100" t="str">
        <f>IF(datos_limpios[[#This Row],[Seating Capacity ]]&gt;4,"SI","NO")</f>
        <v>SI</v>
      </c>
      <c r="P100">
        <v>54</v>
      </c>
    </row>
    <row r="101" spans="1:16" x14ac:dyDescent="0.3">
      <c r="A101" s="8" t="s">
        <v>125</v>
      </c>
      <c r="B101" s="8" t="s">
        <v>921</v>
      </c>
      <c r="C101" s="9">
        <v>100</v>
      </c>
      <c r="D101" s="3">
        <v>4151000</v>
      </c>
      <c r="E101" s="1">
        <f>datos_limpios[[#This Row],[Price INR   ]]*0.011</f>
        <v>45661</v>
      </c>
      <c r="F101" s="13">
        <v>2022</v>
      </c>
      <c r="G101" s="2">
        <v>1</v>
      </c>
      <c r="H101" s="8" t="s">
        <v>12</v>
      </c>
      <c r="I101" s="8" t="s">
        <v>40</v>
      </c>
      <c r="J101" s="8" t="s">
        <v>101</v>
      </c>
      <c r="K101" t="s">
        <v>266</v>
      </c>
      <c r="L101" t="s">
        <v>267</v>
      </c>
      <c r="M101" s="2">
        <f>VALUE(MID(L101,1,FIND("@",L101)-6))</f>
        <v>188</v>
      </c>
      <c r="N101">
        <v>5</v>
      </c>
      <c r="O101" t="str">
        <f>IF(datos_limpios[[#This Row],[Seating Capacity ]]&gt;4,"SI","NO")</f>
        <v>SI</v>
      </c>
      <c r="P101">
        <v>54</v>
      </c>
    </row>
    <row r="102" spans="1:16" x14ac:dyDescent="0.3">
      <c r="A102" s="8" t="s">
        <v>125</v>
      </c>
      <c r="B102" s="8" t="s">
        <v>921</v>
      </c>
      <c r="C102" s="9">
        <v>101</v>
      </c>
      <c r="D102" s="3">
        <v>4200000</v>
      </c>
      <c r="E102" s="1">
        <f>datos_limpios[[#This Row],[Price INR   ]]*0.011</f>
        <v>46200</v>
      </c>
      <c r="F102" s="13">
        <v>2021</v>
      </c>
      <c r="G102" s="2">
        <v>12321</v>
      </c>
      <c r="H102" s="8" t="s">
        <v>12</v>
      </c>
      <c r="I102" s="8" t="s">
        <v>40</v>
      </c>
      <c r="J102" s="8" t="s">
        <v>101</v>
      </c>
      <c r="K102" t="s">
        <v>266</v>
      </c>
      <c r="L102" t="s">
        <v>267</v>
      </c>
      <c r="M102" s="2">
        <f>VALUE(MID(L102,1,FIND("@",L102)-6))</f>
        <v>188</v>
      </c>
      <c r="N102">
        <v>5</v>
      </c>
      <c r="O102" t="str">
        <f>IF(datos_limpios[[#This Row],[Seating Capacity ]]&gt;4,"SI","NO")</f>
        <v>SI</v>
      </c>
      <c r="P102">
        <v>54</v>
      </c>
    </row>
    <row r="103" spans="1:16" x14ac:dyDescent="0.3">
      <c r="A103" s="8" t="s">
        <v>125</v>
      </c>
      <c r="B103" s="8" t="s">
        <v>802</v>
      </c>
      <c r="C103" s="9">
        <v>102</v>
      </c>
      <c r="D103" s="3">
        <v>4250000</v>
      </c>
      <c r="E103" s="1">
        <f>datos_limpios[[#This Row],[Price INR   ]]*0.011</f>
        <v>46750</v>
      </c>
      <c r="F103" s="13">
        <v>2021</v>
      </c>
      <c r="G103" s="2">
        <v>17000</v>
      </c>
      <c r="H103" s="8" t="s">
        <v>12</v>
      </c>
      <c r="I103" s="8" t="s">
        <v>40</v>
      </c>
      <c r="J103" s="8" t="s">
        <v>20</v>
      </c>
      <c r="K103" t="s">
        <v>45</v>
      </c>
      <c r="L103" t="s">
        <v>803</v>
      </c>
      <c r="M103" s="2">
        <f>VALUE(MID(L103,1,FIND("@",L103)-6))</f>
        <v>170</v>
      </c>
      <c r="N103">
        <v>5</v>
      </c>
      <c r="O103" t="str">
        <f>IF(datos_limpios[[#This Row],[Seating Capacity ]]&gt;4,"SI","NO")</f>
        <v>SI</v>
      </c>
      <c r="P103">
        <v>63</v>
      </c>
    </row>
    <row r="104" spans="1:16" x14ac:dyDescent="0.3">
      <c r="A104" s="8" t="s">
        <v>125</v>
      </c>
      <c r="B104" s="8" t="s">
        <v>869</v>
      </c>
      <c r="C104" s="9">
        <v>103</v>
      </c>
      <c r="D104" s="3">
        <v>4250000</v>
      </c>
      <c r="E104" s="1">
        <f>datos_limpios[[#This Row],[Price INR   ]]*0.011</f>
        <v>46750</v>
      </c>
      <c r="F104" s="13">
        <v>2020</v>
      </c>
      <c r="G104" s="2">
        <v>17000</v>
      </c>
      <c r="H104" s="8" t="s">
        <v>12</v>
      </c>
      <c r="I104" s="8" t="s">
        <v>40</v>
      </c>
      <c r="J104" s="8" t="s">
        <v>20</v>
      </c>
      <c r="K104" t="s">
        <v>744</v>
      </c>
      <c r="L104" t="s">
        <v>745</v>
      </c>
      <c r="M104" s="2">
        <f>VALUE(MID(L104,1,FIND("@",L104)-6))</f>
        <v>148</v>
      </c>
      <c r="N104">
        <v>5</v>
      </c>
      <c r="O104" t="str">
        <f>IF(datos_limpios[[#This Row],[Seating Capacity ]]&gt;4,"SI","NO")</f>
        <v>SI</v>
      </c>
      <c r="P104">
        <v>54</v>
      </c>
    </row>
    <row r="105" spans="1:16" x14ac:dyDescent="0.3">
      <c r="A105" s="8" t="s">
        <v>125</v>
      </c>
      <c r="B105" s="8" t="s">
        <v>285</v>
      </c>
      <c r="C105" s="9">
        <v>104</v>
      </c>
      <c r="D105" s="3">
        <v>4351000</v>
      </c>
      <c r="E105" s="1">
        <f>datos_limpios[[#This Row],[Price INR   ]]*0.011</f>
        <v>47861</v>
      </c>
      <c r="F105" s="13">
        <v>2018</v>
      </c>
      <c r="G105" s="2">
        <v>36000</v>
      </c>
      <c r="H105" s="8" t="s">
        <v>19</v>
      </c>
      <c r="I105" s="8" t="s">
        <v>40</v>
      </c>
      <c r="J105" s="8" t="s">
        <v>20</v>
      </c>
      <c r="K105" t="s">
        <v>127</v>
      </c>
      <c r="L105" t="s">
        <v>286</v>
      </c>
      <c r="M105" s="2">
        <f>VALUE(MID(L105,1,FIND("@",L105)-6))</f>
        <v>190</v>
      </c>
      <c r="N105">
        <v>5</v>
      </c>
      <c r="O105" t="str">
        <f>IF(datos_limpios[[#This Row],[Seating Capacity ]]&gt;4,"SI","NO")</f>
        <v>SI</v>
      </c>
      <c r="P105">
        <v>75</v>
      </c>
    </row>
    <row r="106" spans="1:16" x14ac:dyDescent="0.3">
      <c r="A106" s="8" t="s">
        <v>125</v>
      </c>
      <c r="B106" s="8" t="s">
        <v>1209</v>
      </c>
      <c r="C106" s="9">
        <v>105</v>
      </c>
      <c r="D106" s="3">
        <v>4475000</v>
      </c>
      <c r="E106" s="1">
        <f>datos_limpios[[#This Row],[Price INR   ]]*0.011</f>
        <v>49225</v>
      </c>
      <c r="F106" s="13">
        <v>2020</v>
      </c>
      <c r="G106" s="2">
        <v>18000</v>
      </c>
      <c r="H106" s="8" t="s">
        <v>19</v>
      </c>
      <c r="I106" s="8" t="s">
        <v>40</v>
      </c>
      <c r="J106" s="8" t="s">
        <v>20</v>
      </c>
      <c r="K106" t="s">
        <v>127</v>
      </c>
      <c r="L106" t="s">
        <v>1210</v>
      </c>
      <c r="M106" s="2">
        <f>VALUE(MID(L106,1,FIND("@",L106)-6))</f>
        <v>188</v>
      </c>
      <c r="N106">
        <v>5</v>
      </c>
      <c r="O106" t="str">
        <f>IF(datos_limpios[[#This Row],[Seating Capacity ]]&gt;4,"SI","NO")</f>
        <v>SI</v>
      </c>
      <c r="P106">
        <v>70</v>
      </c>
    </row>
    <row r="107" spans="1:16" x14ac:dyDescent="0.3">
      <c r="A107" s="8" t="s">
        <v>125</v>
      </c>
      <c r="B107" s="8" t="s">
        <v>268</v>
      </c>
      <c r="C107" s="9">
        <v>106</v>
      </c>
      <c r="D107" s="3">
        <v>4900000</v>
      </c>
      <c r="E107" s="1">
        <f>datos_limpios[[#This Row],[Price INR   ]]*0.011</f>
        <v>53900</v>
      </c>
      <c r="F107" s="13">
        <v>2018</v>
      </c>
      <c r="G107" s="2">
        <v>78000</v>
      </c>
      <c r="H107" s="8" t="s">
        <v>19</v>
      </c>
      <c r="I107" s="8" t="s">
        <v>40</v>
      </c>
      <c r="J107" s="8" t="s">
        <v>101</v>
      </c>
      <c r="K107" t="s">
        <v>269</v>
      </c>
      <c r="L107" t="s">
        <v>270</v>
      </c>
      <c r="M107" s="2">
        <f>VALUE(MID(L107,1,FIND("@",L107)-6))</f>
        <v>245</v>
      </c>
      <c r="N107">
        <v>7</v>
      </c>
      <c r="O107" t="str">
        <f>IF(datos_limpios[[#This Row],[Seating Capacity ]]&gt;4,"SI","NO")</f>
        <v>SI</v>
      </c>
      <c r="P107">
        <v>75</v>
      </c>
    </row>
    <row r="108" spans="1:16" x14ac:dyDescent="0.3">
      <c r="A108" s="8" t="s">
        <v>125</v>
      </c>
      <c r="B108" s="8" t="s">
        <v>1165</v>
      </c>
      <c r="C108" s="9">
        <v>107</v>
      </c>
      <c r="D108" s="3">
        <v>4900000</v>
      </c>
      <c r="E108" s="1">
        <f>datos_limpios[[#This Row],[Price INR   ]]*0.011</f>
        <v>53900</v>
      </c>
      <c r="F108" s="13">
        <v>2015</v>
      </c>
      <c r="G108" s="2">
        <v>32000</v>
      </c>
      <c r="H108" s="8" t="s">
        <v>19</v>
      </c>
      <c r="I108" s="8" t="s">
        <v>40</v>
      </c>
      <c r="J108" s="8" t="s">
        <v>57</v>
      </c>
      <c r="K108" t="s">
        <v>269</v>
      </c>
      <c r="L108" t="s">
        <v>1166</v>
      </c>
      <c r="M108" s="2">
        <f>VALUE(MID(L108,1,FIND("@",L108)-6))</f>
        <v>247</v>
      </c>
      <c r="N108">
        <v>4</v>
      </c>
      <c r="O108" t="str">
        <f>IF(datos_limpios[[#This Row],[Seating Capacity ]]&gt;4,"SI","NO")</f>
        <v>NO</v>
      </c>
      <c r="P108">
        <v>90</v>
      </c>
    </row>
    <row r="109" spans="1:16" x14ac:dyDescent="0.3">
      <c r="A109" s="8" t="s">
        <v>125</v>
      </c>
      <c r="B109" s="8" t="s">
        <v>268</v>
      </c>
      <c r="C109" s="9">
        <v>108</v>
      </c>
      <c r="D109" s="3">
        <v>5175000</v>
      </c>
      <c r="E109" s="1">
        <f>datos_limpios[[#This Row],[Price INR   ]]*0.011</f>
        <v>56925</v>
      </c>
      <c r="F109" s="13">
        <v>2016</v>
      </c>
      <c r="G109" s="2">
        <v>65000</v>
      </c>
      <c r="H109" s="8" t="s">
        <v>19</v>
      </c>
      <c r="I109" s="8" t="s">
        <v>40</v>
      </c>
      <c r="J109" s="8" t="s">
        <v>57</v>
      </c>
      <c r="K109" t="s">
        <v>269</v>
      </c>
      <c r="L109" t="s">
        <v>270</v>
      </c>
      <c r="M109" s="2">
        <f>VALUE(MID(L109,1,FIND("@",L109)-6))</f>
        <v>245</v>
      </c>
      <c r="N109">
        <v>7</v>
      </c>
      <c r="O109" t="str">
        <f>IF(datos_limpios[[#This Row],[Seating Capacity ]]&gt;4,"SI","NO")</f>
        <v>SI</v>
      </c>
      <c r="P109">
        <v>75</v>
      </c>
    </row>
    <row r="110" spans="1:16" x14ac:dyDescent="0.3">
      <c r="A110" s="8" t="s">
        <v>125</v>
      </c>
      <c r="B110" s="8" t="s">
        <v>919</v>
      </c>
      <c r="C110" s="9">
        <v>109</v>
      </c>
      <c r="D110" s="3">
        <v>5200000</v>
      </c>
      <c r="E110" s="1">
        <f>datos_limpios[[#This Row],[Price INR   ]]*0.011</f>
        <v>57200</v>
      </c>
      <c r="F110" s="13">
        <v>2017</v>
      </c>
      <c r="G110" s="2">
        <v>45000</v>
      </c>
      <c r="H110" s="8" t="s">
        <v>19</v>
      </c>
      <c r="I110" s="8" t="s">
        <v>40</v>
      </c>
      <c r="J110" s="8" t="s">
        <v>14</v>
      </c>
      <c r="K110" t="s">
        <v>269</v>
      </c>
      <c r="L110" t="s">
        <v>270</v>
      </c>
      <c r="M110" s="2">
        <f>VALUE(MID(L110,1,FIND("@",L110)-6))</f>
        <v>245</v>
      </c>
      <c r="N110">
        <v>7</v>
      </c>
      <c r="O110" t="str">
        <f>IF(datos_limpios[[#This Row],[Seating Capacity ]]&gt;4,"SI","NO")</f>
        <v>SI</v>
      </c>
      <c r="P110">
        <v>75</v>
      </c>
    </row>
    <row r="111" spans="1:16" x14ac:dyDescent="0.3">
      <c r="A111" s="8" t="s">
        <v>125</v>
      </c>
      <c r="B111" s="8" t="s">
        <v>945</v>
      </c>
      <c r="C111" s="9">
        <v>110</v>
      </c>
      <c r="D111" s="3">
        <v>5300000</v>
      </c>
      <c r="E111" s="1">
        <f>datos_limpios[[#This Row],[Price INR   ]]*0.011</f>
        <v>58300</v>
      </c>
      <c r="F111" s="13">
        <v>2020</v>
      </c>
      <c r="G111" s="2">
        <v>36000</v>
      </c>
      <c r="H111" s="8" t="s">
        <v>12</v>
      </c>
      <c r="I111" s="8" t="s">
        <v>40</v>
      </c>
      <c r="J111" s="8" t="s">
        <v>14</v>
      </c>
      <c r="K111" t="s">
        <v>266</v>
      </c>
      <c r="L111" t="s">
        <v>946</v>
      </c>
      <c r="M111" s="2">
        <f>VALUE(MID(L111,1,FIND("@",L111)-6))</f>
        <v>241</v>
      </c>
      <c r="N111">
        <v>5</v>
      </c>
      <c r="O111" t="str">
        <f>IF(datos_limpios[[#This Row],[Seating Capacity ]]&gt;4,"SI","NO")</f>
        <v>SI</v>
      </c>
      <c r="P111">
        <v>73</v>
      </c>
    </row>
    <row r="112" spans="1:16" x14ac:dyDescent="0.3">
      <c r="A112" s="8" t="s">
        <v>125</v>
      </c>
      <c r="B112" s="8" t="s">
        <v>268</v>
      </c>
      <c r="C112" s="9">
        <v>111</v>
      </c>
      <c r="D112" s="3">
        <v>5500000</v>
      </c>
      <c r="E112" s="1">
        <f>datos_limpios[[#This Row],[Price INR   ]]*0.011</f>
        <v>60500</v>
      </c>
      <c r="F112" s="13">
        <v>2017</v>
      </c>
      <c r="G112" s="2">
        <v>45000</v>
      </c>
      <c r="H112" s="8" t="s">
        <v>19</v>
      </c>
      <c r="I112" s="8" t="s">
        <v>40</v>
      </c>
      <c r="J112" s="8" t="s">
        <v>20</v>
      </c>
      <c r="K112" t="s">
        <v>269</v>
      </c>
      <c r="L112" t="s">
        <v>270</v>
      </c>
      <c r="M112" s="2">
        <f>VALUE(MID(L112,1,FIND("@",L112)-6))</f>
        <v>245</v>
      </c>
      <c r="N112">
        <v>7</v>
      </c>
      <c r="O112" t="str">
        <f>IF(datos_limpios[[#This Row],[Seating Capacity ]]&gt;4,"SI","NO")</f>
        <v>SI</v>
      </c>
      <c r="P112">
        <v>75</v>
      </c>
    </row>
    <row r="113" spans="1:16" x14ac:dyDescent="0.3">
      <c r="A113" s="8" t="s">
        <v>125</v>
      </c>
      <c r="B113" s="8" t="s">
        <v>268</v>
      </c>
      <c r="C113" s="9">
        <v>112</v>
      </c>
      <c r="D113" s="3">
        <v>5500000</v>
      </c>
      <c r="E113" s="1">
        <f>datos_limpios[[#This Row],[Price INR   ]]*0.011</f>
        <v>60500</v>
      </c>
      <c r="F113" s="13">
        <v>2017</v>
      </c>
      <c r="G113" s="2">
        <v>24000</v>
      </c>
      <c r="H113" s="8" t="s">
        <v>19</v>
      </c>
      <c r="I113" s="8" t="s">
        <v>40</v>
      </c>
      <c r="J113" s="8" t="s">
        <v>20</v>
      </c>
      <c r="K113" t="s">
        <v>269</v>
      </c>
      <c r="L113" t="s">
        <v>270</v>
      </c>
      <c r="M113" s="2">
        <f>VALUE(MID(L113,1,FIND("@",L113)-6))</f>
        <v>245</v>
      </c>
      <c r="N113">
        <v>7</v>
      </c>
      <c r="O113" t="str">
        <f>IF(datos_limpios[[#This Row],[Seating Capacity ]]&gt;4,"SI","NO")</f>
        <v>SI</v>
      </c>
      <c r="P113">
        <v>75</v>
      </c>
    </row>
    <row r="114" spans="1:16" x14ac:dyDescent="0.3">
      <c r="A114" s="8" t="s">
        <v>125</v>
      </c>
      <c r="B114" s="8" t="s">
        <v>277</v>
      </c>
      <c r="C114" s="9">
        <v>113</v>
      </c>
      <c r="D114" s="3">
        <v>5651000</v>
      </c>
      <c r="E114" s="1">
        <f>datos_limpios[[#This Row],[Price INR   ]]*0.011</f>
        <v>62161</v>
      </c>
      <c r="F114" s="13">
        <v>2022</v>
      </c>
      <c r="G114" s="2">
        <v>1</v>
      </c>
      <c r="H114" s="8" t="s">
        <v>12</v>
      </c>
      <c r="I114" s="8" t="s">
        <v>40</v>
      </c>
      <c r="J114" s="8" t="s">
        <v>57</v>
      </c>
      <c r="K114" t="s">
        <v>266</v>
      </c>
      <c r="L114" t="s">
        <v>278</v>
      </c>
      <c r="M114" s="2">
        <f>VALUE(MID(L114,1,FIND("@",L114)-6))</f>
        <v>248</v>
      </c>
      <c r="N114">
        <v>5</v>
      </c>
      <c r="O114" t="str">
        <f>IF(datos_limpios[[#This Row],[Seating Capacity ]]&gt;4,"SI","NO")</f>
        <v>SI</v>
      </c>
      <c r="P114">
        <v>70</v>
      </c>
    </row>
    <row r="115" spans="1:16" x14ac:dyDescent="0.3">
      <c r="A115" s="8" t="s">
        <v>125</v>
      </c>
      <c r="B115" s="8" t="s">
        <v>945</v>
      </c>
      <c r="C115" s="9">
        <v>114</v>
      </c>
      <c r="D115" s="3">
        <v>5800000</v>
      </c>
      <c r="E115" s="1">
        <f>datos_limpios[[#This Row],[Price INR   ]]*0.011</f>
        <v>63799.999999999993</v>
      </c>
      <c r="F115" s="13">
        <v>2021</v>
      </c>
      <c r="G115" s="2">
        <v>7935</v>
      </c>
      <c r="H115" s="8" t="s">
        <v>12</v>
      </c>
      <c r="I115" s="8" t="s">
        <v>40</v>
      </c>
      <c r="J115" s="8" t="s">
        <v>82</v>
      </c>
      <c r="K115" t="s">
        <v>266</v>
      </c>
      <c r="L115" t="s">
        <v>946</v>
      </c>
      <c r="M115" s="2">
        <f>VALUE(MID(L115,1,FIND("@",L115)-6))</f>
        <v>241</v>
      </c>
      <c r="N115">
        <v>5</v>
      </c>
      <c r="O115" t="str">
        <f>IF(datos_limpios[[#This Row],[Seating Capacity ]]&gt;4,"SI","NO")</f>
        <v>SI</v>
      </c>
      <c r="P115">
        <v>73</v>
      </c>
    </row>
    <row r="116" spans="1:16" x14ac:dyDescent="0.3">
      <c r="A116" s="8" t="s">
        <v>125</v>
      </c>
      <c r="B116" s="8" t="s">
        <v>919</v>
      </c>
      <c r="C116" s="9">
        <v>115</v>
      </c>
      <c r="D116" s="3">
        <v>5900000</v>
      </c>
      <c r="E116" s="1">
        <f>datos_limpios[[#This Row],[Price INR   ]]*0.011</f>
        <v>64899.999999999993</v>
      </c>
      <c r="F116" s="13">
        <v>2018</v>
      </c>
      <c r="G116" s="2">
        <v>47000</v>
      </c>
      <c r="H116" s="8" t="s">
        <v>19</v>
      </c>
      <c r="I116" s="8" t="s">
        <v>40</v>
      </c>
      <c r="J116" s="8" t="s">
        <v>57</v>
      </c>
      <c r="K116" t="s">
        <v>269</v>
      </c>
      <c r="L116" t="s">
        <v>270</v>
      </c>
      <c r="M116" s="2">
        <f>VALUE(MID(L116,1,FIND("@",L116)-6))</f>
        <v>245</v>
      </c>
      <c r="N116">
        <v>7</v>
      </c>
      <c r="O116" t="str">
        <f>IF(datos_limpios[[#This Row],[Seating Capacity ]]&gt;4,"SI","NO")</f>
        <v>SI</v>
      </c>
      <c r="P116">
        <v>75</v>
      </c>
    </row>
    <row r="117" spans="1:16" x14ac:dyDescent="0.3">
      <c r="A117" s="8" t="s">
        <v>125</v>
      </c>
      <c r="B117" s="8" t="s">
        <v>919</v>
      </c>
      <c r="C117" s="9">
        <v>116</v>
      </c>
      <c r="D117" s="3">
        <v>6700000</v>
      </c>
      <c r="E117" s="1">
        <f>datos_limpios[[#This Row],[Price INR   ]]*0.011</f>
        <v>73700</v>
      </c>
      <c r="F117" s="13">
        <v>2018</v>
      </c>
      <c r="G117" s="2">
        <v>39850</v>
      </c>
      <c r="H117" s="8" t="s">
        <v>19</v>
      </c>
      <c r="I117" s="8" t="s">
        <v>40</v>
      </c>
      <c r="J117" s="8" t="s">
        <v>57</v>
      </c>
      <c r="K117" t="s">
        <v>269</v>
      </c>
      <c r="L117" t="s">
        <v>270</v>
      </c>
      <c r="M117" s="2">
        <f>VALUE(MID(L117,1,FIND("@",L117)-6))</f>
        <v>245</v>
      </c>
      <c r="N117">
        <v>7</v>
      </c>
      <c r="O117" t="str">
        <f>IF(datos_limpios[[#This Row],[Seating Capacity ]]&gt;4,"SI","NO")</f>
        <v>SI</v>
      </c>
      <c r="P117">
        <v>75</v>
      </c>
    </row>
    <row r="118" spans="1:16" x14ac:dyDescent="0.3">
      <c r="A118" s="8" t="s">
        <v>125</v>
      </c>
      <c r="B118" s="8" t="s">
        <v>389</v>
      </c>
      <c r="C118" s="9">
        <v>117</v>
      </c>
      <c r="D118" s="3">
        <v>7200000</v>
      </c>
      <c r="E118" s="1">
        <f>datos_limpios[[#This Row],[Price INR   ]]*0.011</f>
        <v>79200</v>
      </c>
      <c r="F118" s="13">
        <v>2021</v>
      </c>
      <c r="G118" s="2">
        <v>20000</v>
      </c>
      <c r="H118" s="8" t="s">
        <v>12</v>
      </c>
      <c r="I118" s="8" t="s">
        <v>40</v>
      </c>
      <c r="J118" s="8" t="s">
        <v>20</v>
      </c>
      <c r="K118" t="s">
        <v>266</v>
      </c>
      <c r="L118" t="s">
        <v>390</v>
      </c>
      <c r="M118" s="2">
        <f>VALUE(MID(L118,1,FIND("@",L118)-6))</f>
        <v>180</v>
      </c>
      <c r="N118">
        <v>5</v>
      </c>
      <c r="O118" t="str">
        <f>IF(datos_limpios[[#This Row],[Seating Capacity ]]&gt;4,"SI","NO")</f>
        <v>SI</v>
      </c>
      <c r="P118">
        <v>75</v>
      </c>
    </row>
    <row r="119" spans="1:16" x14ac:dyDescent="0.3">
      <c r="A119" s="8" t="s">
        <v>125</v>
      </c>
      <c r="B119" s="8" t="s">
        <v>765</v>
      </c>
      <c r="C119" s="9">
        <v>118</v>
      </c>
      <c r="D119" s="3">
        <v>9400000</v>
      </c>
      <c r="E119" s="1">
        <f>datos_limpios[[#This Row],[Price INR   ]]*0.011</f>
        <v>103400</v>
      </c>
      <c r="F119" s="13">
        <v>2022</v>
      </c>
      <c r="G119" s="2">
        <v>4500</v>
      </c>
      <c r="H119" s="8" t="s">
        <v>12</v>
      </c>
      <c r="I119" s="8" t="s">
        <v>40</v>
      </c>
      <c r="J119" s="8" t="s">
        <v>101</v>
      </c>
      <c r="K119" t="s">
        <v>224</v>
      </c>
      <c r="L119" t="s">
        <v>766</v>
      </c>
      <c r="M119" s="2">
        <f>VALUE(MID(L119,1,FIND("@",L119)-6))</f>
        <v>335</v>
      </c>
      <c r="N119">
        <v>7</v>
      </c>
      <c r="O119" t="str">
        <f>IF(datos_limpios[[#This Row],[Seating Capacity ]]&gt;4,"SI","NO")</f>
        <v>SI</v>
      </c>
      <c r="P119">
        <v>85</v>
      </c>
    </row>
    <row r="120" spans="1:16" x14ac:dyDescent="0.3">
      <c r="A120" s="8" t="s">
        <v>125</v>
      </c>
      <c r="B120" s="8" t="s">
        <v>1094</v>
      </c>
      <c r="C120" s="9">
        <v>119</v>
      </c>
      <c r="D120" s="3">
        <v>9900000</v>
      </c>
      <c r="E120" s="1">
        <f>datos_limpios[[#This Row],[Price INR   ]]*0.011</f>
        <v>108900</v>
      </c>
      <c r="F120" s="13">
        <v>2021</v>
      </c>
      <c r="G120" s="2">
        <v>28000</v>
      </c>
      <c r="H120" s="8" t="s">
        <v>12</v>
      </c>
      <c r="I120" s="8" t="s">
        <v>40</v>
      </c>
      <c r="J120" s="8" t="s">
        <v>77</v>
      </c>
      <c r="K120" t="s">
        <v>224</v>
      </c>
      <c r="L120" t="s">
        <v>1095</v>
      </c>
      <c r="M120" s="2">
        <f>VALUE(MID(L120,1,FIND("@",L120)-6))</f>
        <v>335</v>
      </c>
      <c r="N120">
        <v>5</v>
      </c>
      <c r="O120" t="str">
        <f>IF(datos_limpios[[#This Row],[Seating Capacity ]]&gt;4,"SI","NO")</f>
        <v>SI</v>
      </c>
      <c r="P120">
        <v>85</v>
      </c>
    </row>
    <row r="121" spans="1:16" x14ac:dyDescent="0.3">
      <c r="A121" s="8" t="s">
        <v>38</v>
      </c>
      <c r="B121" s="8" t="s">
        <v>944</v>
      </c>
      <c r="C121" s="9">
        <v>120</v>
      </c>
      <c r="D121" s="3">
        <v>750000</v>
      </c>
      <c r="E121" s="1">
        <f>datos_limpios[[#This Row],[Price INR   ]]*0.011</f>
        <v>8250</v>
      </c>
      <c r="F121" s="13">
        <v>2010</v>
      </c>
      <c r="G121" s="2">
        <v>112000</v>
      </c>
      <c r="H121" s="8" t="s">
        <v>19</v>
      </c>
      <c r="I121" s="8" t="s">
        <v>40</v>
      </c>
      <c r="J121" s="8" t="s">
        <v>57</v>
      </c>
      <c r="K121" t="s">
        <v>41</v>
      </c>
      <c r="L121" t="s">
        <v>1510</v>
      </c>
      <c r="M121" s="2">
        <f>VALUE(MID(L121,1,FIND("@",L121)-6))</f>
        <v>177</v>
      </c>
      <c r="N121">
        <v>5</v>
      </c>
      <c r="O121" t="str">
        <f>IF(datos_limpios[[#This Row],[Seating Capacity ]]&gt;4,"SI","NO")</f>
        <v>SI</v>
      </c>
      <c r="P121">
        <v>70</v>
      </c>
    </row>
    <row r="122" spans="1:16" x14ac:dyDescent="0.3">
      <c r="A122" s="8" t="s">
        <v>38</v>
      </c>
      <c r="B122" s="8" t="s">
        <v>174</v>
      </c>
      <c r="C122" s="9">
        <v>121</v>
      </c>
      <c r="D122" s="3">
        <v>1090000</v>
      </c>
      <c r="E122" s="1">
        <f>datos_limpios[[#This Row],[Price INR   ]]*0.011</f>
        <v>11990</v>
      </c>
      <c r="F122" s="13">
        <v>2012</v>
      </c>
      <c r="G122" s="2">
        <v>65000</v>
      </c>
      <c r="H122" s="8" t="s">
        <v>19</v>
      </c>
      <c r="I122" s="8" t="s">
        <v>40</v>
      </c>
      <c r="J122" s="8" t="s">
        <v>77</v>
      </c>
      <c r="K122" t="s">
        <v>41</v>
      </c>
      <c r="L122" t="s">
        <v>175</v>
      </c>
      <c r="M122" s="2">
        <f>VALUE(MID(L122,1,FIND("@",L122)-6))</f>
        <v>184</v>
      </c>
      <c r="N122">
        <v>5</v>
      </c>
      <c r="O122" t="str">
        <f>IF(datos_limpios[[#This Row],[Seating Capacity ]]&gt;4,"SI","NO")</f>
        <v>SI</v>
      </c>
      <c r="P122">
        <v>67</v>
      </c>
    </row>
    <row r="123" spans="1:16" x14ac:dyDescent="0.3">
      <c r="A123" s="8" t="s">
        <v>38</v>
      </c>
      <c r="B123" s="8" t="s">
        <v>445</v>
      </c>
      <c r="C123" s="9">
        <v>122</v>
      </c>
      <c r="D123" s="3">
        <v>1195000</v>
      </c>
      <c r="E123" s="1">
        <f>datos_limpios[[#This Row],[Price INR   ]]*0.011</f>
        <v>13145</v>
      </c>
      <c r="F123" s="13">
        <v>2010</v>
      </c>
      <c r="G123" s="2">
        <v>74000</v>
      </c>
      <c r="H123" s="8" t="s">
        <v>19</v>
      </c>
      <c r="I123" s="8" t="s">
        <v>40</v>
      </c>
      <c r="J123" s="8" t="s">
        <v>77</v>
      </c>
      <c r="K123" t="s">
        <v>446</v>
      </c>
      <c r="L123" t="s">
        <v>1531</v>
      </c>
      <c r="M123" s="2">
        <f>VALUE(MID(L123,1,FIND("@",L123)-6))</f>
        <v>177</v>
      </c>
      <c r="N123">
        <v>5</v>
      </c>
      <c r="O123" t="str">
        <f>IF(datos_limpios[[#This Row],[Seating Capacity ]]&gt;4,"SI","NO")</f>
        <v>SI</v>
      </c>
      <c r="P123">
        <v>70</v>
      </c>
    </row>
    <row r="124" spans="1:16" x14ac:dyDescent="0.3">
      <c r="A124" s="8" t="s">
        <v>38</v>
      </c>
      <c r="B124" s="8" t="s">
        <v>330</v>
      </c>
      <c r="C124" s="9">
        <v>123</v>
      </c>
      <c r="D124" s="3">
        <v>1375000</v>
      </c>
      <c r="E124" s="1">
        <f>datos_limpios[[#This Row],[Price INR   ]]*0.011</f>
        <v>15125</v>
      </c>
      <c r="F124" s="13">
        <v>2013</v>
      </c>
      <c r="G124" s="2">
        <v>102000</v>
      </c>
      <c r="H124" s="8" t="s">
        <v>19</v>
      </c>
      <c r="I124" s="8" t="s">
        <v>40</v>
      </c>
      <c r="J124" s="8" t="s">
        <v>20</v>
      </c>
      <c r="K124" t="s">
        <v>41</v>
      </c>
      <c r="L124" t="s">
        <v>42</v>
      </c>
      <c r="M124" s="2">
        <f>VALUE(MID(L124,1,FIND("@",L124)-6))</f>
        <v>188</v>
      </c>
      <c r="N124">
        <v>5</v>
      </c>
      <c r="O124" t="str">
        <f>IF(datos_limpios[[#This Row],[Seating Capacity ]]&gt;4,"SI","NO")</f>
        <v>SI</v>
      </c>
      <c r="P124">
        <v>57</v>
      </c>
    </row>
    <row r="125" spans="1:16" x14ac:dyDescent="0.3">
      <c r="A125" s="8" t="s">
        <v>38</v>
      </c>
      <c r="B125" s="8" t="s">
        <v>330</v>
      </c>
      <c r="C125" s="9">
        <v>124</v>
      </c>
      <c r="D125" s="3">
        <v>1395000</v>
      </c>
      <c r="E125" s="1">
        <f>datos_limpios[[#This Row],[Price INR   ]]*0.011</f>
        <v>15345</v>
      </c>
      <c r="F125" s="13">
        <v>2013</v>
      </c>
      <c r="G125" s="2">
        <v>65000</v>
      </c>
      <c r="H125" s="8" t="s">
        <v>19</v>
      </c>
      <c r="I125" s="8" t="s">
        <v>40</v>
      </c>
      <c r="J125" s="8" t="s">
        <v>101</v>
      </c>
      <c r="K125" t="s">
        <v>41</v>
      </c>
      <c r="L125" t="s">
        <v>42</v>
      </c>
      <c r="M125" s="2">
        <f>VALUE(MID(L125,1,FIND("@",L125)-6))</f>
        <v>188</v>
      </c>
      <c r="N125">
        <v>5</v>
      </c>
      <c r="O125" t="str">
        <f>IF(datos_limpios[[#This Row],[Seating Capacity ]]&gt;4,"SI","NO")</f>
        <v>SI</v>
      </c>
      <c r="P125">
        <v>57</v>
      </c>
    </row>
    <row r="126" spans="1:16" x14ac:dyDescent="0.3">
      <c r="A126" s="8" t="s">
        <v>38</v>
      </c>
      <c r="B126" s="8" t="s">
        <v>636</v>
      </c>
      <c r="C126" s="9">
        <v>125</v>
      </c>
      <c r="D126" s="3">
        <v>1400000</v>
      </c>
      <c r="E126" s="1">
        <f>datos_limpios[[#This Row],[Price INR   ]]*0.011</f>
        <v>15400</v>
      </c>
      <c r="F126" s="13">
        <v>2014</v>
      </c>
      <c r="G126" s="2">
        <v>35000</v>
      </c>
      <c r="H126" s="8" t="s">
        <v>19</v>
      </c>
      <c r="I126" s="8" t="s">
        <v>40</v>
      </c>
      <c r="J126" s="8" t="s">
        <v>82</v>
      </c>
      <c r="K126" t="s">
        <v>41</v>
      </c>
      <c r="L126" t="s">
        <v>175</v>
      </c>
      <c r="M126" s="2">
        <f>VALUE(MID(L126,1,FIND("@",L126)-6))</f>
        <v>184</v>
      </c>
      <c r="N126">
        <v>5</v>
      </c>
      <c r="O126" t="str">
        <f>IF(datos_limpios[[#This Row],[Seating Capacity ]]&gt;4,"SI","NO")</f>
        <v>SI</v>
      </c>
      <c r="P126">
        <v>60</v>
      </c>
    </row>
    <row r="127" spans="1:16" x14ac:dyDescent="0.3">
      <c r="A127" s="8" t="s">
        <v>38</v>
      </c>
      <c r="B127" s="8" t="s">
        <v>917</v>
      </c>
      <c r="C127" s="9">
        <v>126</v>
      </c>
      <c r="D127" s="3">
        <v>1400000</v>
      </c>
      <c r="E127" s="1">
        <f>datos_limpios[[#This Row],[Price INR   ]]*0.011</f>
        <v>15400</v>
      </c>
      <c r="F127" s="13">
        <v>2009</v>
      </c>
      <c r="G127" s="2">
        <v>115000</v>
      </c>
      <c r="H127" s="8" t="s">
        <v>19</v>
      </c>
      <c r="I127" s="8" t="s">
        <v>40</v>
      </c>
      <c r="J127" s="8" t="s">
        <v>288</v>
      </c>
      <c r="K127" t="s">
        <v>359</v>
      </c>
      <c r="L127" t="s">
        <v>1519</v>
      </c>
      <c r="M127" s="2">
        <f>VALUE(MID(L127,1,FIND("@",L127)-6))</f>
        <v>218</v>
      </c>
      <c r="N127">
        <v>5</v>
      </c>
      <c r="O127" t="str">
        <f>IF(datos_limpios[[#This Row],[Seating Capacity ]]&gt;4,"SI","NO")</f>
        <v>SI</v>
      </c>
      <c r="P127">
        <v>85</v>
      </c>
    </row>
    <row r="128" spans="1:16" x14ac:dyDescent="0.3">
      <c r="A128" s="8" t="s">
        <v>38</v>
      </c>
      <c r="B128" s="8" t="s">
        <v>636</v>
      </c>
      <c r="C128" s="9">
        <v>127</v>
      </c>
      <c r="D128" s="3">
        <v>1450000</v>
      </c>
      <c r="E128" s="1">
        <f>datos_limpios[[#This Row],[Price INR   ]]*0.011</f>
        <v>15949.999999999998</v>
      </c>
      <c r="F128" s="13">
        <v>2013</v>
      </c>
      <c r="G128" s="2">
        <v>70000</v>
      </c>
      <c r="H128" s="8" t="s">
        <v>19</v>
      </c>
      <c r="I128" s="8" t="s">
        <v>40</v>
      </c>
      <c r="J128" s="8" t="s">
        <v>57</v>
      </c>
      <c r="K128" t="s">
        <v>41</v>
      </c>
      <c r="L128" t="s">
        <v>175</v>
      </c>
      <c r="M128" s="2">
        <f>VALUE(MID(L128,1,FIND("@",L128)-6))</f>
        <v>184</v>
      </c>
      <c r="N128">
        <v>5</v>
      </c>
      <c r="O128" t="str">
        <f>IF(datos_limpios[[#This Row],[Seating Capacity ]]&gt;4,"SI","NO")</f>
        <v>SI</v>
      </c>
      <c r="P128">
        <v>60</v>
      </c>
    </row>
    <row r="129" spans="1:16" x14ac:dyDescent="0.3">
      <c r="A129" s="8" t="s">
        <v>38</v>
      </c>
      <c r="B129" s="8" t="s">
        <v>330</v>
      </c>
      <c r="C129" s="9">
        <v>128</v>
      </c>
      <c r="D129" s="3">
        <v>1550000</v>
      </c>
      <c r="E129" s="1">
        <f>datos_limpios[[#This Row],[Price INR   ]]*0.011</f>
        <v>17050</v>
      </c>
      <c r="F129" s="13">
        <v>2013</v>
      </c>
      <c r="G129" s="2">
        <v>104264</v>
      </c>
      <c r="H129" s="8" t="s">
        <v>19</v>
      </c>
      <c r="I129" s="8" t="s">
        <v>40</v>
      </c>
      <c r="J129" s="8" t="s">
        <v>30</v>
      </c>
      <c r="K129" t="s">
        <v>41</v>
      </c>
      <c r="L129" t="s">
        <v>42</v>
      </c>
      <c r="M129" s="2">
        <f>VALUE(MID(L129,1,FIND("@",L129)-6))</f>
        <v>188</v>
      </c>
      <c r="N129">
        <v>5</v>
      </c>
      <c r="O129" t="str">
        <f>IF(datos_limpios[[#This Row],[Seating Capacity ]]&gt;4,"SI","NO")</f>
        <v>SI</v>
      </c>
      <c r="P129">
        <v>57</v>
      </c>
    </row>
    <row r="130" spans="1:16" x14ac:dyDescent="0.3">
      <c r="A130" s="8" t="s">
        <v>38</v>
      </c>
      <c r="B130" s="8" t="s">
        <v>358</v>
      </c>
      <c r="C130" s="9">
        <v>129</v>
      </c>
      <c r="D130" s="3">
        <v>1600000</v>
      </c>
      <c r="E130" s="1">
        <f>datos_limpios[[#This Row],[Price INR   ]]*0.011</f>
        <v>17600</v>
      </c>
      <c r="F130" s="13">
        <v>2013</v>
      </c>
      <c r="G130" s="2">
        <v>80000</v>
      </c>
      <c r="H130" s="8" t="s">
        <v>19</v>
      </c>
      <c r="I130" s="8" t="s">
        <v>40</v>
      </c>
      <c r="J130" s="8" t="s">
        <v>57</v>
      </c>
      <c r="K130" t="s">
        <v>359</v>
      </c>
      <c r="L130" t="s">
        <v>360</v>
      </c>
      <c r="M130" s="2">
        <f>VALUE(MID(L130,1,FIND("@",L130)-6))</f>
        <v>258</v>
      </c>
      <c r="N130">
        <v>5</v>
      </c>
      <c r="O130" t="str">
        <f>IF(datos_limpios[[#This Row],[Seating Capacity ]]&gt;4,"SI","NO")</f>
        <v>SI</v>
      </c>
      <c r="P130">
        <v>65</v>
      </c>
    </row>
    <row r="131" spans="1:16" x14ac:dyDescent="0.3">
      <c r="A131" s="8" t="s">
        <v>38</v>
      </c>
      <c r="B131" s="8" t="s">
        <v>962</v>
      </c>
      <c r="C131" s="9">
        <v>130</v>
      </c>
      <c r="D131" s="3">
        <v>1679000</v>
      </c>
      <c r="E131" s="1">
        <f>datos_limpios[[#This Row],[Price INR   ]]*0.011</f>
        <v>18469</v>
      </c>
      <c r="F131" s="13">
        <v>2016</v>
      </c>
      <c r="G131" s="2">
        <v>46000</v>
      </c>
      <c r="H131" s="8" t="s">
        <v>19</v>
      </c>
      <c r="I131" s="8" t="s">
        <v>40</v>
      </c>
      <c r="J131" s="8" t="s">
        <v>57</v>
      </c>
      <c r="K131" t="s">
        <v>41</v>
      </c>
      <c r="L131" t="s">
        <v>42</v>
      </c>
      <c r="M131" s="2">
        <f>VALUE(MID(L131,1,FIND("@",L131)-6))</f>
        <v>188</v>
      </c>
      <c r="N131">
        <v>5</v>
      </c>
      <c r="O131" t="str">
        <f>IF(datos_limpios[[#This Row],[Seating Capacity ]]&gt;4,"SI","NO")</f>
        <v>SI</v>
      </c>
      <c r="P131">
        <v>57</v>
      </c>
    </row>
    <row r="132" spans="1:16" x14ac:dyDescent="0.3">
      <c r="A132" s="8" t="s">
        <v>38</v>
      </c>
      <c r="B132" s="8" t="s">
        <v>330</v>
      </c>
      <c r="C132" s="9">
        <v>131</v>
      </c>
      <c r="D132" s="3">
        <v>1689999</v>
      </c>
      <c r="E132" s="1">
        <f>datos_limpios[[#This Row],[Price INR   ]]*0.011</f>
        <v>18589.988999999998</v>
      </c>
      <c r="F132" s="13">
        <v>2015</v>
      </c>
      <c r="G132" s="2">
        <v>82000</v>
      </c>
      <c r="H132" s="8" t="s">
        <v>19</v>
      </c>
      <c r="I132" s="8" t="s">
        <v>40</v>
      </c>
      <c r="J132" s="8" t="s">
        <v>20</v>
      </c>
      <c r="K132" t="s">
        <v>41</v>
      </c>
      <c r="L132" t="s">
        <v>42</v>
      </c>
      <c r="M132" s="2">
        <f>VALUE(MID(L132,1,FIND("@",L132)-6))</f>
        <v>188</v>
      </c>
      <c r="N132">
        <v>5</v>
      </c>
      <c r="O132" t="str">
        <f>IF(datos_limpios[[#This Row],[Seating Capacity ]]&gt;4,"SI","NO")</f>
        <v>SI</v>
      </c>
      <c r="P132">
        <v>57</v>
      </c>
    </row>
    <row r="133" spans="1:16" x14ac:dyDescent="0.3">
      <c r="A133" s="8" t="s">
        <v>38</v>
      </c>
      <c r="B133" s="8" t="s">
        <v>699</v>
      </c>
      <c r="C133" s="9">
        <v>132</v>
      </c>
      <c r="D133" s="3">
        <v>1750000</v>
      </c>
      <c r="E133" s="1">
        <f>datos_limpios[[#This Row],[Price INR   ]]*0.011</f>
        <v>19250</v>
      </c>
      <c r="F133" s="13">
        <v>2014</v>
      </c>
      <c r="G133" s="2">
        <v>69000</v>
      </c>
      <c r="H133" s="8" t="s">
        <v>19</v>
      </c>
      <c r="I133" s="8" t="s">
        <v>40</v>
      </c>
      <c r="J133" s="8" t="s">
        <v>20</v>
      </c>
      <c r="K133" t="s">
        <v>41</v>
      </c>
      <c r="L133" t="s">
        <v>153</v>
      </c>
      <c r="M133" s="2">
        <f>VALUE(MID(L133,1,FIND("@",L133)-6))</f>
        <v>190</v>
      </c>
      <c r="N133">
        <v>5</v>
      </c>
      <c r="O133" t="str">
        <f>IF(datos_limpios[[#This Row],[Seating Capacity ]]&gt;4,"SI","NO")</f>
        <v>SI</v>
      </c>
      <c r="P133">
        <v>65</v>
      </c>
    </row>
    <row r="134" spans="1:16" x14ac:dyDescent="0.3">
      <c r="A134" s="8" t="s">
        <v>38</v>
      </c>
      <c r="B134" s="8" t="s">
        <v>174</v>
      </c>
      <c r="C134" s="9">
        <v>133</v>
      </c>
      <c r="D134" s="3">
        <v>1800000</v>
      </c>
      <c r="E134" s="1">
        <f>datos_limpios[[#This Row],[Price INR   ]]*0.011</f>
        <v>19800</v>
      </c>
      <c r="F134" s="13">
        <v>2012</v>
      </c>
      <c r="G134" s="2">
        <v>74073</v>
      </c>
      <c r="H134" s="8" t="s">
        <v>19</v>
      </c>
      <c r="I134" s="8" t="s">
        <v>40</v>
      </c>
      <c r="J134" s="8" t="s">
        <v>101</v>
      </c>
      <c r="K134" t="s">
        <v>41</v>
      </c>
      <c r="L134" t="s">
        <v>175</v>
      </c>
      <c r="M134" s="2">
        <f>VALUE(MID(L134,1,FIND("@",L134)-6))</f>
        <v>184</v>
      </c>
      <c r="N134">
        <v>5</v>
      </c>
      <c r="O134" t="str">
        <f>IF(datos_limpios[[#This Row],[Seating Capacity ]]&gt;4,"SI","NO")</f>
        <v>SI</v>
      </c>
      <c r="P134">
        <v>67</v>
      </c>
    </row>
    <row r="135" spans="1:16" x14ac:dyDescent="0.3">
      <c r="A135" s="8" t="s">
        <v>38</v>
      </c>
      <c r="B135" s="8" t="s">
        <v>174</v>
      </c>
      <c r="C135" s="9">
        <v>134</v>
      </c>
      <c r="D135" s="3">
        <v>1950000</v>
      </c>
      <c r="E135" s="1">
        <f>datos_limpios[[#This Row],[Price INR   ]]*0.011</f>
        <v>21450</v>
      </c>
      <c r="F135" s="13">
        <v>2014</v>
      </c>
      <c r="G135" s="2">
        <v>82000</v>
      </c>
      <c r="H135" s="8" t="s">
        <v>19</v>
      </c>
      <c r="I135" s="8" t="s">
        <v>40</v>
      </c>
      <c r="J135" s="8" t="s">
        <v>20</v>
      </c>
      <c r="K135" t="s">
        <v>41</v>
      </c>
      <c r="L135" t="s">
        <v>175</v>
      </c>
      <c r="M135" s="2">
        <f>VALUE(MID(L135,1,FIND("@",L135)-6))</f>
        <v>184</v>
      </c>
      <c r="N135">
        <v>5</v>
      </c>
      <c r="O135" t="str">
        <f>IF(datos_limpios[[#This Row],[Seating Capacity ]]&gt;4,"SI","NO")</f>
        <v>SI</v>
      </c>
      <c r="P135">
        <v>67</v>
      </c>
    </row>
    <row r="136" spans="1:16" x14ac:dyDescent="0.3">
      <c r="A136" s="8" t="s">
        <v>38</v>
      </c>
      <c r="B136" s="8" t="s">
        <v>469</v>
      </c>
      <c r="C136" s="9">
        <v>135</v>
      </c>
      <c r="D136" s="3">
        <v>2149000</v>
      </c>
      <c r="E136" s="1">
        <f>datos_limpios[[#This Row],[Price INR   ]]*0.011</f>
        <v>23639</v>
      </c>
      <c r="F136" s="13">
        <v>2015</v>
      </c>
      <c r="G136" s="2">
        <v>69000</v>
      </c>
      <c r="H136" s="8" t="s">
        <v>19</v>
      </c>
      <c r="I136" s="8" t="s">
        <v>40</v>
      </c>
      <c r="J136" s="8" t="s">
        <v>77</v>
      </c>
      <c r="K136" t="s">
        <v>41</v>
      </c>
      <c r="L136" t="s">
        <v>42</v>
      </c>
      <c r="M136" s="2">
        <f>VALUE(MID(L136,1,FIND("@",L136)-6))</f>
        <v>188</v>
      </c>
      <c r="N136">
        <v>5</v>
      </c>
      <c r="O136" t="str">
        <f>IF(datos_limpios[[#This Row],[Seating Capacity ]]&gt;4,"SI","NO")</f>
        <v>SI</v>
      </c>
      <c r="P136">
        <v>65</v>
      </c>
    </row>
    <row r="137" spans="1:16" x14ac:dyDescent="0.3">
      <c r="A137" s="8" t="s">
        <v>38</v>
      </c>
      <c r="B137" s="8" t="s">
        <v>207</v>
      </c>
      <c r="C137" s="9">
        <v>136</v>
      </c>
      <c r="D137" s="3">
        <v>2199000</v>
      </c>
      <c r="E137" s="1">
        <f>datos_limpios[[#This Row],[Price INR   ]]*0.011</f>
        <v>24189</v>
      </c>
      <c r="F137" s="13">
        <v>2016</v>
      </c>
      <c r="G137" s="2">
        <v>77000</v>
      </c>
      <c r="H137" s="8" t="s">
        <v>19</v>
      </c>
      <c r="I137" s="8" t="s">
        <v>40</v>
      </c>
      <c r="J137" s="8" t="s">
        <v>101</v>
      </c>
      <c r="K137" t="s">
        <v>41</v>
      </c>
      <c r="L137" t="s">
        <v>175</v>
      </c>
      <c r="M137" s="2">
        <f>VALUE(MID(L137,1,FIND("@",L137)-6))</f>
        <v>184</v>
      </c>
      <c r="N137">
        <v>5</v>
      </c>
      <c r="O137" t="str">
        <f>IF(datos_limpios[[#This Row],[Seating Capacity ]]&gt;4,"SI","NO")</f>
        <v>SI</v>
      </c>
      <c r="P137">
        <v>63</v>
      </c>
    </row>
    <row r="138" spans="1:16" x14ac:dyDescent="0.3">
      <c r="A138" s="8" t="s">
        <v>38</v>
      </c>
      <c r="B138" s="8" t="s">
        <v>636</v>
      </c>
      <c r="C138" s="9">
        <v>137</v>
      </c>
      <c r="D138" s="3">
        <v>2275000</v>
      </c>
      <c r="E138" s="1">
        <f>datos_limpios[[#This Row],[Price INR   ]]*0.011</f>
        <v>25025</v>
      </c>
      <c r="F138" s="13">
        <v>2015</v>
      </c>
      <c r="G138" s="2">
        <v>78362</v>
      </c>
      <c r="H138" s="8" t="s">
        <v>19</v>
      </c>
      <c r="I138" s="8" t="s">
        <v>40</v>
      </c>
      <c r="J138" s="8" t="s">
        <v>30</v>
      </c>
      <c r="K138" t="s">
        <v>41</v>
      </c>
      <c r="L138" t="s">
        <v>175</v>
      </c>
      <c r="M138" s="2">
        <f>VALUE(MID(L138,1,FIND("@",L138)-6))</f>
        <v>184</v>
      </c>
      <c r="N138">
        <v>5</v>
      </c>
      <c r="O138" t="str">
        <f>IF(datos_limpios[[#This Row],[Seating Capacity ]]&gt;4,"SI","NO")</f>
        <v>SI</v>
      </c>
      <c r="P138">
        <v>60</v>
      </c>
    </row>
    <row r="139" spans="1:16" x14ac:dyDescent="0.3">
      <c r="A139" s="8" t="s">
        <v>38</v>
      </c>
      <c r="B139" s="8" t="s">
        <v>432</v>
      </c>
      <c r="C139" s="9">
        <v>138</v>
      </c>
      <c r="D139" s="3">
        <v>2385000</v>
      </c>
      <c r="E139" s="1">
        <f>datos_limpios[[#This Row],[Price INR   ]]*0.011</f>
        <v>26235</v>
      </c>
      <c r="F139" s="13">
        <v>2017</v>
      </c>
      <c r="G139" s="2">
        <v>22120</v>
      </c>
      <c r="H139" s="8" t="s">
        <v>19</v>
      </c>
      <c r="I139" s="8" t="s">
        <v>40</v>
      </c>
      <c r="J139" s="8" t="s">
        <v>20</v>
      </c>
      <c r="K139" t="s">
        <v>41</v>
      </c>
      <c r="L139" t="s">
        <v>42</v>
      </c>
      <c r="M139" s="2">
        <f>VALUE(MID(L139,1,FIND("@",L139)-6))</f>
        <v>188</v>
      </c>
      <c r="N139">
        <v>5</v>
      </c>
      <c r="O139" t="str">
        <f>IF(datos_limpios[[#This Row],[Seating Capacity ]]&gt;4,"SI","NO")</f>
        <v>SI</v>
      </c>
      <c r="P139">
        <v>51</v>
      </c>
    </row>
    <row r="140" spans="1:16" x14ac:dyDescent="0.3">
      <c r="A140" s="8" t="s">
        <v>38</v>
      </c>
      <c r="B140" s="8" t="s">
        <v>699</v>
      </c>
      <c r="C140" s="9">
        <v>139</v>
      </c>
      <c r="D140" s="3">
        <v>2550000</v>
      </c>
      <c r="E140" s="1">
        <f>datos_limpios[[#This Row],[Price INR   ]]*0.011</f>
        <v>28050</v>
      </c>
      <c r="F140" s="13">
        <v>2015</v>
      </c>
      <c r="G140" s="2">
        <v>70000</v>
      </c>
      <c r="H140" s="8" t="s">
        <v>19</v>
      </c>
      <c r="I140" s="8" t="s">
        <v>40</v>
      </c>
      <c r="J140" s="8" t="s">
        <v>57</v>
      </c>
      <c r="K140" t="s">
        <v>41</v>
      </c>
      <c r="L140" t="s">
        <v>153</v>
      </c>
      <c r="M140" s="2">
        <f>VALUE(MID(L140,1,FIND("@",L140)-6))</f>
        <v>190</v>
      </c>
      <c r="N140">
        <v>5</v>
      </c>
      <c r="O140" t="str">
        <f>IF(datos_limpios[[#This Row],[Seating Capacity ]]&gt;4,"SI","NO")</f>
        <v>SI</v>
      </c>
      <c r="P140">
        <v>65</v>
      </c>
    </row>
    <row r="141" spans="1:16" x14ac:dyDescent="0.3">
      <c r="A141" s="8" t="s">
        <v>38</v>
      </c>
      <c r="B141" s="8" t="s">
        <v>432</v>
      </c>
      <c r="C141" s="9">
        <v>140</v>
      </c>
      <c r="D141" s="3">
        <v>2600000</v>
      </c>
      <c r="E141" s="1">
        <f>datos_limpios[[#This Row],[Price INR   ]]*0.011</f>
        <v>28600</v>
      </c>
      <c r="F141" s="13">
        <v>2017</v>
      </c>
      <c r="G141" s="2">
        <v>41000</v>
      </c>
      <c r="H141" s="8" t="s">
        <v>19</v>
      </c>
      <c r="I141" s="8" t="s">
        <v>40</v>
      </c>
      <c r="J141" s="8" t="s">
        <v>57</v>
      </c>
      <c r="K141" t="s">
        <v>41</v>
      </c>
      <c r="L141" t="s">
        <v>42</v>
      </c>
      <c r="M141" s="2">
        <f>VALUE(MID(L141,1,FIND("@",L141)-6))</f>
        <v>188</v>
      </c>
      <c r="N141">
        <v>5</v>
      </c>
      <c r="O141" t="str">
        <f>IF(datos_limpios[[#This Row],[Seating Capacity ]]&gt;4,"SI","NO")</f>
        <v>SI</v>
      </c>
      <c r="P141">
        <v>51</v>
      </c>
    </row>
    <row r="142" spans="1:16" x14ac:dyDescent="0.3">
      <c r="A142" s="8" t="s">
        <v>38</v>
      </c>
      <c r="B142" s="8" t="s">
        <v>522</v>
      </c>
      <c r="C142" s="9">
        <v>141</v>
      </c>
      <c r="D142" s="3">
        <v>2600000</v>
      </c>
      <c r="E142" s="1">
        <f>datos_limpios[[#This Row],[Price INR   ]]*0.011</f>
        <v>28600</v>
      </c>
      <c r="F142" s="13">
        <v>2016</v>
      </c>
      <c r="G142" s="2">
        <v>39000</v>
      </c>
      <c r="H142" s="8" t="s">
        <v>19</v>
      </c>
      <c r="I142" s="8" t="s">
        <v>40</v>
      </c>
      <c r="J142" s="8" t="s">
        <v>20</v>
      </c>
      <c r="K142" t="s">
        <v>41</v>
      </c>
      <c r="L142" t="s">
        <v>153</v>
      </c>
      <c r="M142" s="2">
        <f>VALUE(MID(L142,1,FIND("@",L142)-6))</f>
        <v>190</v>
      </c>
      <c r="N142">
        <v>5</v>
      </c>
      <c r="O142" t="str">
        <f>IF(datos_limpios[[#This Row],[Seating Capacity ]]&gt;4,"SI","NO")</f>
        <v>SI</v>
      </c>
      <c r="P142">
        <v>65</v>
      </c>
    </row>
    <row r="143" spans="1:16" x14ac:dyDescent="0.3">
      <c r="A143" s="8" t="s">
        <v>38</v>
      </c>
      <c r="B143" s="8" t="s">
        <v>39</v>
      </c>
      <c r="C143" s="9">
        <v>142</v>
      </c>
      <c r="D143" s="3">
        <v>2650000</v>
      </c>
      <c r="E143" s="1">
        <f>datos_limpios[[#This Row],[Price INR   ]]*0.011</f>
        <v>29150</v>
      </c>
      <c r="F143" s="13">
        <v>2017</v>
      </c>
      <c r="G143" s="2">
        <v>75000</v>
      </c>
      <c r="H143" s="8" t="s">
        <v>19</v>
      </c>
      <c r="I143" s="8" t="s">
        <v>40</v>
      </c>
      <c r="J143" s="8" t="s">
        <v>20</v>
      </c>
      <c r="K143" t="s">
        <v>41</v>
      </c>
      <c r="L143" t="s">
        <v>42</v>
      </c>
      <c r="M143" s="2">
        <f>VALUE(MID(L143,1,FIND("@",L143)-6))</f>
        <v>188</v>
      </c>
      <c r="N143">
        <v>5</v>
      </c>
      <c r="O143" t="str">
        <f>IF(datos_limpios[[#This Row],[Seating Capacity ]]&gt;4,"SI","NO")</f>
        <v>SI</v>
      </c>
      <c r="P143">
        <v>51</v>
      </c>
    </row>
    <row r="144" spans="1:16" x14ac:dyDescent="0.3">
      <c r="A144" s="8" t="s">
        <v>38</v>
      </c>
      <c r="B144" s="8" t="s">
        <v>207</v>
      </c>
      <c r="C144" s="9">
        <v>143</v>
      </c>
      <c r="D144" s="3">
        <v>2650000</v>
      </c>
      <c r="E144" s="1">
        <f>datos_limpios[[#This Row],[Price INR   ]]*0.011</f>
        <v>29150</v>
      </c>
      <c r="F144" s="13">
        <v>2018</v>
      </c>
      <c r="G144" s="2">
        <v>50000</v>
      </c>
      <c r="H144" s="8" t="s">
        <v>19</v>
      </c>
      <c r="I144" s="8" t="s">
        <v>40</v>
      </c>
      <c r="J144" s="8" t="s">
        <v>57</v>
      </c>
      <c r="K144" t="s">
        <v>41</v>
      </c>
      <c r="L144" t="s">
        <v>175</v>
      </c>
      <c r="M144" s="2">
        <f>VALUE(MID(L144,1,FIND("@",L144)-6))</f>
        <v>184</v>
      </c>
      <c r="N144">
        <v>5</v>
      </c>
      <c r="O144" t="str">
        <f>IF(datos_limpios[[#This Row],[Seating Capacity ]]&gt;4,"SI","NO")</f>
        <v>SI</v>
      </c>
      <c r="P144">
        <v>63</v>
      </c>
    </row>
    <row r="145" spans="1:16" x14ac:dyDescent="0.3">
      <c r="A145" s="8" t="s">
        <v>38</v>
      </c>
      <c r="B145" s="8" t="s">
        <v>207</v>
      </c>
      <c r="C145" s="9">
        <v>144</v>
      </c>
      <c r="D145" s="3">
        <v>2650000</v>
      </c>
      <c r="E145" s="1">
        <f>datos_limpios[[#This Row],[Price INR   ]]*0.011</f>
        <v>29150</v>
      </c>
      <c r="F145" s="13">
        <v>2018</v>
      </c>
      <c r="G145" s="2">
        <v>53000</v>
      </c>
      <c r="H145" s="8" t="s">
        <v>19</v>
      </c>
      <c r="I145" s="8" t="s">
        <v>40</v>
      </c>
      <c r="J145" s="8" t="s">
        <v>57</v>
      </c>
      <c r="K145" t="s">
        <v>41</v>
      </c>
      <c r="L145" t="s">
        <v>175</v>
      </c>
      <c r="M145" s="2">
        <f>VALUE(MID(L145,1,FIND("@",L145)-6))</f>
        <v>184</v>
      </c>
      <c r="N145">
        <v>5</v>
      </c>
      <c r="O145" t="str">
        <f>IF(datos_limpios[[#This Row],[Seating Capacity ]]&gt;4,"SI","NO")</f>
        <v>SI</v>
      </c>
      <c r="P145">
        <v>63</v>
      </c>
    </row>
    <row r="146" spans="1:16" x14ac:dyDescent="0.3">
      <c r="A146" s="8" t="s">
        <v>38</v>
      </c>
      <c r="B146" s="8" t="s">
        <v>962</v>
      </c>
      <c r="C146" s="9">
        <v>145</v>
      </c>
      <c r="D146" s="3">
        <v>2690000</v>
      </c>
      <c r="E146" s="1">
        <f>datos_limpios[[#This Row],[Price INR   ]]*0.011</f>
        <v>29590</v>
      </c>
      <c r="F146" s="13">
        <v>2019</v>
      </c>
      <c r="G146" s="2">
        <v>15500</v>
      </c>
      <c r="H146" s="8" t="s">
        <v>19</v>
      </c>
      <c r="I146" s="8" t="s">
        <v>40</v>
      </c>
      <c r="J146" s="8" t="s">
        <v>57</v>
      </c>
      <c r="K146" t="s">
        <v>41</v>
      </c>
      <c r="L146" t="s">
        <v>42</v>
      </c>
      <c r="M146" s="2">
        <f>VALUE(MID(L146,1,FIND("@",L146)-6))</f>
        <v>188</v>
      </c>
      <c r="N146">
        <v>5</v>
      </c>
      <c r="O146" t="str">
        <f>IF(datos_limpios[[#This Row],[Seating Capacity ]]&gt;4,"SI","NO")</f>
        <v>SI</v>
      </c>
      <c r="P146">
        <v>57</v>
      </c>
    </row>
    <row r="147" spans="1:16" x14ac:dyDescent="0.3">
      <c r="A147" s="8" t="s">
        <v>38</v>
      </c>
      <c r="B147" s="8" t="s">
        <v>469</v>
      </c>
      <c r="C147" s="9">
        <v>146</v>
      </c>
      <c r="D147" s="3">
        <v>2750000</v>
      </c>
      <c r="E147" s="1">
        <f>datos_limpios[[#This Row],[Price INR   ]]*0.011</f>
        <v>30250</v>
      </c>
      <c r="F147" s="13">
        <v>2017</v>
      </c>
      <c r="G147" s="2">
        <v>51800</v>
      </c>
      <c r="H147" s="8" t="s">
        <v>19</v>
      </c>
      <c r="I147" s="8" t="s">
        <v>40</v>
      </c>
      <c r="J147" s="8" t="s">
        <v>101</v>
      </c>
      <c r="K147" t="s">
        <v>41</v>
      </c>
      <c r="L147" t="s">
        <v>42</v>
      </c>
      <c r="M147" s="2">
        <f>VALUE(MID(L147,1,FIND("@",L147)-6))</f>
        <v>188</v>
      </c>
      <c r="N147">
        <v>5</v>
      </c>
      <c r="O147" t="str">
        <f>IF(datos_limpios[[#This Row],[Seating Capacity ]]&gt;4,"SI","NO")</f>
        <v>SI</v>
      </c>
      <c r="P147">
        <v>65</v>
      </c>
    </row>
    <row r="148" spans="1:16" x14ac:dyDescent="0.3">
      <c r="A148" s="8" t="s">
        <v>38</v>
      </c>
      <c r="B148" s="8" t="s">
        <v>330</v>
      </c>
      <c r="C148" s="9">
        <v>147</v>
      </c>
      <c r="D148" s="3">
        <v>2775000</v>
      </c>
      <c r="E148" s="1">
        <f>datos_limpios[[#This Row],[Price INR   ]]*0.011</f>
        <v>30525</v>
      </c>
      <c r="F148" s="13">
        <v>2018</v>
      </c>
      <c r="G148" s="2">
        <v>68189</v>
      </c>
      <c r="H148" s="8" t="s">
        <v>19</v>
      </c>
      <c r="I148" s="8" t="s">
        <v>40</v>
      </c>
      <c r="J148" s="8" t="s">
        <v>82</v>
      </c>
      <c r="K148" t="s">
        <v>41</v>
      </c>
      <c r="L148" t="s">
        <v>42</v>
      </c>
      <c r="M148" s="2">
        <f>VALUE(MID(L148,1,FIND("@",L148)-6))</f>
        <v>188</v>
      </c>
      <c r="N148">
        <v>5</v>
      </c>
      <c r="O148" t="str">
        <f>IF(datos_limpios[[#This Row],[Seating Capacity ]]&gt;4,"SI","NO")</f>
        <v>SI</v>
      </c>
      <c r="P148">
        <v>57</v>
      </c>
    </row>
    <row r="149" spans="1:16" x14ac:dyDescent="0.3">
      <c r="A149" s="8" t="s">
        <v>38</v>
      </c>
      <c r="B149" s="8" t="s">
        <v>432</v>
      </c>
      <c r="C149" s="9">
        <v>148</v>
      </c>
      <c r="D149" s="3">
        <v>2790000</v>
      </c>
      <c r="E149" s="1">
        <f>datos_limpios[[#This Row],[Price INR   ]]*0.011</f>
        <v>30690</v>
      </c>
      <c r="F149" s="13">
        <v>2018</v>
      </c>
      <c r="G149" s="2">
        <v>25000</v>
      </c>
      <c r="H149" s="8" t="s">
        <v>19</v>
      </c>
      <c r="I149" s="8" t="s">
        <v>40</v>
      </c>
      <c r="J149" s="8" t="s">
        <v>20</v>
      </c>
      <c r="K149" t="s">
        <v>41</v>
      </c>
      <c r="L149" t="s">
        <v>42</v>
      </c>
      <c r="M149" s="2">
        <f>VALUE(MID(L149,1,FIND("@",L149)-6))</f>
        <v>188</v>
      </c>
      <c r="N149">
        <v>5</v>
      </c>
      <c r="O149" t="str">
        <f>IF(datos_limpios[[#This Row],[Seating Capacity ]]&gt;4,"SI","NO")</f>
        <v>SI</v>
      </c>
      <c r="P149">
        <v>51</v>
      </c>
    </row>
    <row r="150" spans="1:16" x14ac:dyDescent="0.3">
      <c r="A150" s="8" t="s">
        <v>38</v>
      </c>
      <c r="B150" s="8" t="s">
        <v>161</v>
      </c>
      <c r="C150" s="9">
        <v>149</v>
      </c>
      <c r="D150" s="3">
        <v>2800000</v>
      </c>
      <c r="E150" s="1">
        <f>datos_limpios[[#This Row],[Price INR   ]]*0.011</f>
        <v>30800</v>
      </c>
      <c r="F150" s="13">
        <v>2017</v>
      </c>
      <c r="G150" s="2">
        <v>15900</v>
      </c>
      <c r="H150" s="8" t="s">
        <v>12</v>
      </c>
      <c r="I150" s="8" t="s">
        <v>40</v>
      </c>
      <c r="J150" s="8" t="s">
        <v>20</v>
      </c>
      <c r="K150" t="s">
        <v>162</v>
      </c>
      <c r="L150" t="s">
        <v>163</v>
      </c>
      <c r="M150" s="2">
        <f>VALUE(MID(L150,1,FIND("@",L150)-6))</f>
        <v>181</v>
      </c>
      <c r="N150">
        <v>5</v>
      </c>
      <c r="O150" t="str">
        <f>IF(datos_limpios[[#This Row],[Seating Capacity ]]&gt;4,"SI","NO")</f>
        <v>SI</v>
      </c>
      <c r="P150">
        <v>57</v>
      </c>
    </row>
    <row r="151" spans="1:16" x14ac:dyDescent="0.3">
      <c r="A151" s="8" t="s">
        <v>38</v>
      </c>
      <c r="B151" s="8" t="s">
        <v>207</v>
      </c>
      <c r="C151" s="9">
        <v>150</v>
      </c>
      <c r="D151" s="3">
        <v>2800000</v>
      </c>
      <c r="E151" s="1">
        <f>datos_limpios[[#This Row],[Price INR   ]]*0.011</f>
        <v>30800</v>
      </c>
      <c r="F151" s="13">
        <v>2017</v>
      </c>
      <c r="G151" s="2">
        <v>29000</v>
      </c>
      <c r="H151" s="8" t="s">
        <v>19</v>
      </c>
      <c r="I151" s="8" t="s">
        <v>40</v>
      </c>
      <c r="J151" s="8" t="s">
        <v>82</v>
      </c>
      <c r="K151" t="s">
        <v>41</v>
      </c>
      <c r="L151" t="s">
        <v>175</v>
      </c>
      <c r="M151" s="2">
        <f>VALUE(MID(L151,1,FIND("@",L151)-6))</f>
        <v>184</v>
      </c>
      <c r="N151">
        <v>5</v>
      </c>
      <c r="O151" t="str">
        <f>IF(datos_limpios[[#This Row],[Seating Capacity ]]&gt;4,"SI","NO")</f>
        <v>SI</v>
      </c>
      <c r="P151">
        <v>63</v>
      </c>
    </row>
    <row r="152" spans="1:16" x14ac:dyDescent="0.3">
      <c r="A152" s="8" t="s">
        <v>38</v>
      </c>
      <c r="B152" s="8" t="s">
        <v>207</v>
      </c>
      <c r="C152" s="9">
        <v>151</v>
      </c>
      <c r="D152" s="3">
        <v>2900000</v>
      </c>
      <c r="E152" s="1">
        <f>datos_limpios[[#This Row],[Price INR   ]]*0.011</f>
        <v>31899.999999999996</v>
      </c>
      <c r="F152" s="13">
        <v>2019</v>
      </c>
      <c r="G152" s="2">
        <v>25000</v>
      </c>
      <c r="H152" s="8" t="s">
        <v>19</v>
      </c>
      <c r="I152" s="8" t="s">
        <v>40</v>
      </c>
      <c r="J152" s="8" t="s">
        <v>20</v>
      </c>
      <c r="K152" t="s">
        <v>41</v>
      </c>
      <c r="L152" t="s">
        <v>175</v>
      </c>
      <c r="M152" s="2">
        <f>VALUE(MID(L152,1,FIND("@",L152)-6))</f>
        <v>184</v>
      </c>
      <c r="N152">
        <v>5</v>
      </c>
      <c r="O152" t="str">
        <f>IF(datos_limpios[[#This Row],[Seating Capacity ]]&gt;4,"SI","NO")</f>
        <v>SI</v>
      </c>
      <c r="P152">
        <v>63</v>
      </c>
    </row>
    <row r="153" spans="1:16" x14ac:dyDescent="0.3">
      <c r="A153" s="8" t="s">
        <v>38</v>
      </c>
      <c r="B153" s="8" t="s">
        <v>330</v>
      </c>
      <c r="C153" s="9">
        <v>152</v>
      </c>
      <c r="D153" s="3">
        <v>2950000</v>
      </c>
      <c r="E153" s="1">
        <f>datos_limpios[[#This Row],[Price INR   ]]*0.011</f>
        <v>32449.999999999996</v>
      </c>
      <c r="F153" s="13">
        <v>2018</v>
      </c>
      <c r="G153" s="2">
        <v>75000</v>
      </c>
      <c r="H153" s="8" t="s">
        <v>19</v>
      </c>
      <c r="I153" s="8" t="s">
        <v>40</v>
      </c>
      <c r="J153" s="8" t="s">
        <v>20</v>
      </c>
      <c r="K153" t="s">
        <v>41</v>
      </c>
      <c r="L153" t="s">
        <v>42</v>
      </c>
      <c r="M153" s="2">
        <f>VALUE(MID(L153,1,FIND("@",L153)-6))</f>
        <v>188</v>
      </c>
      <c r="N153">
        <v>5</v>
      </c>
      <c r="O153" t="str">
        <f>IF(datos_limpios[[#This Row],[Seating Capacity ]]&gt;4,"SI","NO")</f>
        <v>SI</v>
      </c>
      <c r="P153">
        <v>57</v>
      </c>
    </row>
    <row r="154" spans="1:16" x14ac:dyDescent="0.3">
      <c r="A154" s="8" t="s">
        <v>38</v>
      </c>
      <c r="B154" s="8" t="s">
        <v>207</v>
      </c>
      <c r="C154" s="9">
        <v>153</v>
      </c>
      <c r="D154" s="3">
        <v>2990000</v>
      </c>
      <c r="E154" s="1">
        <f>datos_limpios[[#This Row],[Price INR   ]]*0.011</f>
        <v>32890</v>
      </c>
      <c r="F154" s="13">
        <v>2018</v>
      </c>
      <c r="G154" s="2">
        <v>34000</v>
      </c>
      <c r="H154" s="8" t="s">
        <v>19</v>
      </c>
      <c r="I154" s="8" t="s">
        <v>40</v>
      </c>
      <c r="J154" s="8" t="s">
        <v>20</v>
      </c>
      <c r="K154" t="s">
        <v>41</v>
      </c>
      <c r="L154" t="s">
        <v>175</v>
      </c>
      <c r="M154" s="2">
        <f>VALUE(MID(L154,1,FIND("@",L154)-6))</f>
        <v>184</v>
      </c>
      <c r="N154">
        <v>5</v>
      </c>
      <c r="O154" t="str">
        <f>IF(datos_limpios[[#This Row],[Seating Capacity ]]&gt;4,"SI","NO")</f>
        <v>SI</v>
      </c>
      <c r="P154">
        <v>63</v>
      </c>
    </row>
    <row r="155" spans="1:16" x14ac:dyDescent="0.3">
      <c r="A155" s="8" t="s">
        <v>38</v>
      </c>
      <c r="B155" s="8" t="s">
        <v>925</v>
      </c>
      <c r="C155" s="9">
        <v>154</v>
      </c>
      <c r="D155" s="3">
        <v>2990000</v>
      </c>
      <c r="E155" s="1">
        <f>datos_limpios[[#This Row],[Price INR   ]]*0.011</f>
        <v>32890</v>
      </c>
      <c r="F155" s="13">
        <v>2017</v>
      </c>
      <c r="G155" s="2">
        <v>44000</v>
      </c>
      <c r="H155" s="8" t="s">
        <v>19</v>
      </c>
      <c r="I155" s="8" t="s">
        <v>40</v>
      </c>
      <c r="J155" s="8" t="s">
        <v>20</v>
      </c>
      <c r="K155" t="s">
        <v>41</v>
      </c>
      <c r="L155" t="s">
        <v>42</v>
      </c>
      <c r="M155" s="2">
        <f>VALUE(MID(L155,1,FIND("@",L155)-6))</f>
        <v>188</v>
      </c>
      <c r="N155">
        <v>5</v>
      </c>
      <c r="O155" t="str">
        <f>IF(datos_limpios[[#This Row],[Seating Capacity ]]&gt;4,"SI","NO")</f>
        <v>SI</v>
      </c>
      <c r="P155">
        <v>57</v>
      </c>
    </row>
    <row r="156" spans="1:16" x14ac:dyDescent="0.3">
      <c r="A156" s="8" t="s">
        <v>38</v>
      </c>
      <c r="B156" s="8" t="s">
        <v>207</v>
      </c>
      <c r="C156" s="9">
        <v>155</v>
      </c>
      <c r="D156" s="3">
        <v>3025000</v>
      </c>
      <c r="E156" s="1">
        <f>datos_limpios[[#This Row],[Price INR   ]]*0.011</f>
        <v>33275</v>
      </c>
      <c r="F156" s="13">
        <v>2019</v>
      </c>
      <c r="G156" s="2">
        <v>59000</v>
      </c>
      <c r="H156" s="8" t="s">
        <v>19</v>
      </c>
      <c r="I156" s="8" t="s">
        <v>40</v>
      </c>
      <c r="J156" s="8" t="s">
        <v>57</v>
      </c>
      <c r="K156" t="s">
        <v>41</v>
      </c>
      <c r="L156" t="s">
        <v>175</v>
      </c>
      <c r="M156" s="2">
        <f>VALUE(MID(L156,1,FIND("@",L156)-6))</f>
        <v>184</v>
      </c>
      <c r="N156">
        <v>5</v>
      </c>
      <c r="O156" t="str">
        <f>IF(datos_limpios[[#This Row],[Seating Capacity ]]&gt;4,"SI","NO")</f>
        <v>SI</v>
      </c>
      <c r="P156">
        <v>63</v>
      </c>
    </row>
    <row r="157" spans="1:16" x14ac:dyDescent="0.3">
      <c r="A157" s="8" t="s">
        <v>38</v>
      </c>
      <c r="B157" s="8" t="s">
        <v>207</v>
      </c>
      <c r="C157" s="9">
        <v>156</v>
      </c>
      <c r="D157" s="3">
        <v>3125000</v>
      </c>
      <c r="E157" s="1">
        <f>datos_limpios[[#This Row],[Price INR   ]]*0.011</f>
        <v>34375</v>
      </c>
      <c r="F157" s="13">
        <v>2018</v>
      </c>
      <c r="G157" s="2">
        <v>49000</v>
      </c>
      <c r="H157" s="8" t="s">
        <v>19</v>
      </c>
      <c r="I157" s="8" t="s">
        <v>40</v>
      </c>
      <c r="J157" s="8" t="s">
        <v>57</v>
      </c>
      <c r="K157" t="s">
        <v>41</v>
      </c>
      <c r="L157" t="s">
        <v>175</v>
      </c>
      <c r="M157" s="2">
        <f>VALUE(MID(L157,1,FIND("@",L157)-6))</f>
        <v>184</v>
      </c>
      <c r="N157">
        <v>5</v>
      </c>
      <c r="O157" t="str">
        <f>IF(datos_limpios[[#This Row],[Seating Capacity ]]&gt;4,"SI","NO")</f>
        <v>SI</v>
      </c>
      <c r="P157">
        <v>63</v>
      </c>
    </row>
    <row r="158" spans="1:16" x14ac:dyDescent="0.3">
      <c r="A158" s="8" t="s">
        <v>38</v>
      </c>
      <c r="B158" s="8" t="s">
        <v>1319</v>
      </c>
      <c r="C158" s="9">
        <v>157</v>
      </c>
      <c r="D158" s="3">
        <v>3250000</v>
      </c>
      <c r="E158" s="1">
        <f>datos_limpios[[#This Row],[Price INR   ]]*0.011</f>
        <v>35750</v>
      </c>
      <c r="F158" s="13">
        <v>2020</v>
      </c>
      <c r="G158" s="2">
        <v>32005</v>
      </c>
      <c r="H158" s="8" t="s">
        <v>19</v>
      </c>
      <c r="I158" s="8" t="s">
        <v>40</v>
      </c>
      <c r="J158" s="8" t="s">
        <v>57</v>
      </c>
      <c r="K158" t="s">
        <v>41</v>
      </c>
      <c r="L158" t="s">
        <v>175</v>
      </c>
      <c r="M158" s="2">
        <f>VALUE(MID(L158,1,FIND("@",L158)-6))</f>
        <v>184</v>
      </c>
      <c r="N158">
        <v>5</v>
      </c>
      <c r="O158" t="str">
        <f>IF(datos_limpios[[#This Row],[Seating Capacity ]]&gt;4,"SI","NO")</f>
        <v>SI</v>
      </c>
      <c r="P158">
        <v>61</v>
      </c>
    </row>
    <row r="159" spans="1:16" x14ac:dyDescent="0.3">
      <c r="A159" s="8" t="s">
        <v>38</v>
      </c>
      <c r="B159" s="8" t="s">
        <v>522</v>
      </c>
      <c r="C159" s="9">
        <v>158</v>
      </c>
      <c r="D159" s="3">
        <v>3300000</v>
      </c>
      <c r="E159" s="1">
        <f>datos_limpios[[#This Row],[Price INR   ]]*0.011</f>
        <v>36300</v>
      </c>
      <c r="F159" s="13">
        <v>2017</v>
      </c>
      <c r="G159" s="2">
        <v>41296</v>
      </c>
      <c r="H159" s="8" t="s">
        <v>19</v>
      </c>
      <c r="I159" s="8" t="s">
        <v>40</v>
      </c>
      <c r="J159" s="8" t="s">
        <v>57</v>
      </c>
      <c r="K159" t="s">
        <v>41</v>
      </c>
      <c r="L159" t="s">
        <v>153</v>
      </c>
      <c r="M159" s="2">
        <f>VALUE(MID(L159,1,FIND("@",L159)-6))</f>
        <v>190</v>
      </c>
      <c r="N159">
        <v>5</v>
      </c>
      <c r="O159" t="str">
        <f>IF(datos_limpios[[#This Row],[Seating Capacity ]]&gt;4,"SI","NO")</f>
        <v>SI</v>
      </c>
      <c r="P159">
        <v>65</v>
      </c>
    </row>
    <row r="160" spans="1:16" x14ac:dyDescent="0.3">
      <c r="A160" s="8" t="s">
        <v>38</v>
      </c>
      <c r="B160" s="8" t="s">
        <v>469</v>
      </c>
      <c r="C160" s="9">
        <v>159</v>
      </c>
      <c r="D160" s="3">
        <v>3400000</v>
      </c>
      <c r="E160" s="1">
        <f>datos_limpios[[#This Row],[Price INR   ]]*0.011</f>
        <v>37400</v>
      </c>
      <c r="F160" s="13">
        <v>2016</v>
      </c>
      <c r="G160" s="2">
        <v>38000</v>
      </c>
      <c r="H160" s="8" t="s">
        <v>19</v>
      </c>
      <c r="I160" s="8" t="s">
        <v>40</v>
      </c>
      <c r="J160" s="8" t="s">
        <v>20</v>
      </c>
      <c r="K160" t="s">
        <v>41</v>
      </c>
      <c r="L160" t="s">
        <v>42</v>
      </c>
      <c r="M160" s="2">
        <f>VALUE(MID(L160,1,FIND("@",L160)-6))</f>
        <v>188</v>
      </c>
      <c r="N160">
        <v>5</v>
      </c>
      <c r="O160" t="str">
        <f>IF(datos_limpios[[#This Row],[Seating Capacity ]]&gt;4,"SI","NO")</f>
        <v>SI</v>
      </c>
      <c r="P160">
        <v>65</v>
      </c>
    </row>
    <row r="161" spans="1:16" x14ac:dyDescent="0.3">
      <c r="A161" s="8" t="s">
        <v>38</v>
      </c>
      <c r="B161" s="8" t="s">
        <v>207</v>
      </c>
      <c r="C161" s="9">
        <v>160</v>
      </c>
      <c r="D161" s="3">
        <v>3400000</v>
      </c>
      <c r="E161" s="1">
        <f>datos_limpios[[#This Row],[Price INR   ]]*0.011</f>
        <v>37400</v>
      </c>
      <c r="F161" s="13">
        <v>2019</v>
      </c>
      <c r="G161" s="2">
        <v>11000</v>
      </c>
      <c r="H161" s="8" t="s">
        <v>19</v>
      </c>
      <c r="I161" s="8" t="s">
        <v>40</v>
      </c>
      <c r="J161" s="8" t="s">
        <v>101</v>
      </c>
      <c r="K161" t="s">
        <v>41</v>
      </c>
      <c r="L161" t="s">
        <v>175</v>
      </c>
      <c r="M161" s="2">
        <f>VALUE(MID(L161,1,FIND("@",L161)-6))</f>
        <v>184</v>
      </c>
      <c r="N161">
        <v>5</v>
      </c>
      <c r="O161" t="str">
        <f>IF(datos_limpios[[#This Row],[Seating Capacity ]]&gt;4,"SI","NO")</f>
        <v>SI</v>
      </c>
      <c r="P161">
        <v>63</v>
      </c>
    </row>
    <row r="162" spans="1:16" x14ac:dyDescent="0.3">
      <c r="A162" s="8" t="s">
        <v>38</v>
      </c>
      <c r="B162" s="8" t="s">
        <v>596</v>
      </c>
      <c r="C162" s="9">
        <v>161</v>
      </c>
      <c r="D162" s="3">
        <v>3650000</v>
      </c>
      <c r="E162" s="1">
        <f>datos_limpios[[#This Row],[Price INR   ]]*0.011</f>
        <v>40150</v>
      </c>
      <c r="F162" s="13">
        <v>2019</v>
      </c>
      <c r="G162" s="2">
        <v>6000</v>
      </c>
      <c r="H162" s="8" t="s">
        <v>12</v>
      </c>
      <c r="I162" s="8" t="s">
        <v>40</v>
      </c>
      <c r="J162" s="8" t="s">
        <v>20</v>
      </c>
      <c r="K162" t="s">
        <v>162</v>
      </c>
      <c r="L162" t="s">
        <v>505</v>
      </c>
      <c r="M162" s="2">
        <f>VALUE(MID(L162,1,FIND("@",L162)-6))</f>
        <v>248</v>
      </c>
      <c r="N162">
        <v>5</v>
      </c>
      <c r="O162" t="str">
        <f>IF(datos_limpios[[#This Row],[Seating Capacity ]]&gt;4,"SI","NO")</f>
        <v>SI</v>
      </c>
      <c r="P162">
        <v>57</v>
      </c>
    </row>
    <row r="163" spans="1:16" x14ac:dyDescent="0.3">
      <c r="A163" s="8" t="s">
        <v>38</v>
      </c>
      <c r="B163" s="8" t="s">
        <v>207</v>
      </c>
      <c r="C163" s="9">
        <v>162</v>
      </c>
      <c r="D163" s="3">
        <v>3675000</v>
      </c>
      <c r="E163" s="1">
        <f>datos_limpios[[#This Row],[Price INR   ]]*0.011</f>
        <v>40425</v>
      </c>
      <c r="F163" s="13">
        <v>2020</v>
      </c>
      <c r="G163" s="2">
        <v>37180</v>
      </c>
      <c r="H163" s="8" t="s">
        <v>19</v>
      </c>
      <c r="I163" s="8" t="s">
        <v>40</v>
      </c>
      <c r="J163" s="8" t="s">
        <v>20</v>
      </c>
      <c r="K163" t="s">
        <v>41</v>
      </c>
      <c r="L163" t="s">
        <v>175</v>
      </c>
      <c r="M163" s="2">
        <f>VALUE(MID(L163,1,FIND("@",L163)-6))</f>
        <v>184</v>
      </c>
      <c r="N163">
        <v>5</v>
      </c>
      <c r="O163" t="str">
        <f>IF(datos_limpios[[#This Row],[Seating Capacity ]]&gt;4,"SI","NO")</f>
        <v>SI</v>
      </c>
      <c r="P163">
        <v>63</v>
      </c>
    </row>
    <row r="164" spans="1:16" x14ac:dyDescent="0.3">
      <c r="A164" s="8" t="s">
        <v>38</v>
      </c>
      <c r="B164" s="8" t="s">
        <v>207</v>
      </c>
      <c r="C164" s="9">
        <v>163</v>
      </c>
      <c r="D164" s="3">
        <v>3775000</v>
      </c>
      <c r="E164" s="1">
        <f>datos_limpios[[#This Row],[Price INR   ]]*0.011</f>
        <v>41525</v>
      </c>
      <c r="F164" s="13">
        <v>2019</v>
      </c>
      <c r="G164" s="2">
        <v>32963</v>
      </c>
      <c r="H164" s="8" t="s">
        <v>19</v>
      </c>
      <c r="I164" s="8" t="s">
        <v>40</v>
      </c>
      <c r="J164" s="8" t="s">
        <v>101</v>
      </c>
      <c r="K164" t="s">
        <v>41</v>
      </c>
      <c r="L164" t="s">
        <v>175</v>
      </c>
      <c r="M164" s="2">
        <f>VALUE(MID(L164,1,FIND("@",L164)-6))</f>
        <v>184</v>
      </c>
      <c r="N164">
        <v>5</v>
      </c>
      <c r="O164" t="str">
        <f>IF(datos_limpios[[#This Row],[Seating Capacity ]]&gt;4,"SI","NO")</f>
        <v>SI</v>
      </c>
      <c r="P164">
        <v>63</v>
      </c>
    </row>
    <row r="165" spans="1:16" x14ac:dyDescent="0.3">
      <c r="A165" s="8" t="s">
        <v>38</v>
      </c>
      <c r="B165" s="8" t="s">
        <v>207</v>
      </c>
      <c r="C165" s="9">
        <v>164</v>
      </c>
      <c r="D165" s="3">
        <v>3785000</v>
      </c>
      <c r="E165" s="1">
        <f>datos_limpios[[#This Row],[Price INR   ]]*0.011</f>
        <v>41635</v>
      </c>
      <c r="F165" s="13">
        <v>2019</v>
      </c>
      <c r="G165" s="2">
        <v>29221</v>
      </c>
      <c r="H165" s="8" t="s">
        <v>19</v>
      </c>
      <c r="I165" s="8" t="s">
        <v>40</v>
      </c>
      <c r="J165" s="8" t="s">
        <v>57</v>
      </c>
      <c r="K165" t="s">
        <v>41</v>
      </c>
      <c r="L165" t="s">
        <v>175</v>
      </c>
      <c r="M165" s="2">
        <f>VALUE(MID(L165,1,FIND("@",L165)-6))</f>
        <v>184</v>
      </c>
      <c r="N165">
        <v>5</v>
      </c>
      <c r="O165" t="str">
        <f>IF(datos_limpios[[#This Row],[Seating Capacity ]]&gt;4,"SI","NO")</f>
        <v>SI</v>
      </c>
      <c r="P165">
        <v>63</v>
      </c>
    </row>
    <row r="166" spans="1:16" x14ac:dyDescent="0.3">
      <c r="A166" s="8" t="s">
        <v>38</v>
      </c>
      <c r="B166" s="8" t="s">
        <v>152</v>
      </c>
      <c r="C166" s="9">
        <v>165</v>
      </c>
      <c r="D166" s="3">
        <v>3800000</v>
      </c>
      <c r="E166" s="1">
        <f>datos_limpios[[#This Row],[Price INR   ]]*0.011</f>
        <v>41800</v>
      </c>
      <c r="F166" s="13">
        <v>2018</v>
      </c>
      <c r="G166" s="2">
        <v>9512</v>
      </c>
      <c r="H166" s="8" t="s">
        <v>19</v>
      </c>
      <c r="I166" s="8" t="s">
        <v>40</v>
      </c>
      <c r="J166" s="8" t="s">
        <v>57</v>
      </c>
      <c r="K166" t="s">
        <v>41</v>
      </c>
      <c r="L166" t="s">
        <v>153</v>
      </c>
      <c r="M166" s="2">
        <f>VALUE(MID(L166,1,FIND("@",L166)-6))</f>
        <v>190</v>
      </c>
      <c r="N166">
        <v>5</v>
      </c>
      <c r="O166" t="str">
        <f>IF(datos_limpios[[#This Row],[Seating Capacity ]]&gt;4,"SI","NO")</f>
        <v>SI</v>
      </c>
      <c r="P166">
        <v>67</v>
      </c>
    </row>
    <row r="167" spans="1:16" x14ac:dyDescent="0.3">
      <c r="A167" s="8" t="s">
        <v>38</v>
      </c>
      <c r="B167" s="8" t="s">
        <v>152</v>
      </c>
      <c r="C167" s="9">
        <v>166</v>
      </c>
      <c r="D167" s="3">
        <v>3800000</v>
      </c>
      <c r="E167" s="1">
        <f>datos_limpios[[#This Row],[Price INR   ]]*0.011</f>
        <v>41800</v>
      </c>
      <c r="F167" s="13">
        <v>2018</v>
      </c>
      <c r="G167" s="2">
        <v>87000</v>
      </c>
      <c r="H167" s="8" t="s">
        <v>19</v>
      </c>
      <c r="I167" s="8" t="s">
        <v>40</v>
      </c>
      <c r="J167" s="8" t="s">
        <v>57</v>
      </c>
      <c r="K167" t="s">
        <v>41</v>
      </c>
      <c r="L167" t="s">
        <v>153</v>
      </c>
      <c r="M167" s="2">
        <f>VALUE(MID(L167,1,FIND("@",L167)-6))</f>
        <v>190</v>
      </c>
      <c r="N167">
        <v>5</v>
      </c>
      <c r="O167" t="str">
        <f>IF(datos_limpios[[#This Row],[Seating Capacity ]]&gt;4,"SI","NO")</f>
        <v>SI</v>
      </c>
      <c r="P167">
        <v>67</v>
      </c>
    </row>
    <row r="168" spans="1:16" x14ac:dyDescent="0.3">
      <c r="A168" s="8" t="s">
        <v>38</v>
      </c>
      <c r="B168" s="8" t="s">
        <v>207</v>
      </c>
      <c r="C168" s="9">
        <v>167</v>
      </c>
      <c r="D168" s="3">
        <v>3900000</v>
      </c>
      <c r="E168" s="1">
        <f>datos_limpios[[#This Row],[Price INR   ]]*0.011</f>
        <v>42900</v>
      </c>
      <c r="F168" s="13">
        <v>2021</v>
      </c>
      <c r="G168" s="2">
        <v>8000</v>
      </c>
      <c r="H168" s="8" t="s">
        <v>19</v>
      </c>
      <c r="I168" s="8" t="s">
        <v>40</v>
      </c>
      <c r="J168" s="8" t="s">
        <v>101</v>
      </c>
      <c r="K168" t="s">
        <v>41</v>
      </c>
      <c r="L168" t="s">
        <v>175</v>
      </c>
      <c r="M168" s="2">
        <f>VALUE(MID(L168,1,FIND("@",L168)-6))</f>
        <v>184</v>
      </c>
      <c r="N168">
        <v>5</v>
      </c>
      <c r="O168" t="str">
        <f>IF(datos_limpios[[#This Row],[Seating Capacity ]]&gt;4,"SI","NO")</f>
        <v>SI</v>
      </c>
      <c r="P168">
        <v>63</v>
      </c>
    </row>
    <row r="169" spans="1:16" x14ac:dyDescent="0.3">
      <c r="A169" s="8" t="s">
        <v>38</v>
      </c>
      <c r="B169" s="8" t="s">
        <v>768</v>
      </c>
      <c r="C169" s="9">
        <v>168</v>
      </c>
      <c r="D169" s="3">
        <v>3990000</v>
      </c>
      <c r="E169" s="1">
        <f>datos_limpios[[#This Row],[Price INR   ]]*0.011</f>
        <v>43890</v>
      </c>
      <c r="F169" s="13">
        <v>2021</v>
      </c>
      <c r="G169" s="2">
        <v>12500</v>
      </c>
      <c r="H169" s="8" t="s">
        <v>12</v>
      </c>
      <c r="I169" s="8" t="s">
        <v>40</v>
      </c>
      <c r="J169" s="8" t="s">
        <v>20</v>
      </c>
      <c r="K169" t="s">
        <v>162</v>
      </c>
      <c r="L169" t="s">
        <v>769</v>
      </c>
      <c r="M169" s="2">
        <f>VALUE(MID(L169,1,FIND("@",L169)-6))</f>
        <v>189</v>
      </c>
      <c r="N169">
        <v>5</v>
      </c>
      <c r="O169" t="str">
        <f>IF(datos_limpios[[#This Row],[Seating Capacity ]]&gt;4,"SI","NO")</f>
        <v>SI</v>
      </c>
      <c r="P169">
        <v>51</v>
      </c>
    </row>
    <row r="170" spans="1:16" x14ac:dyDescent="0.3">
      <c r="A170" s="8" t="s">
        <v>38</v>
      </c>
      <c r="B170" s="8" t="s">
        <v>1077</v>
      </c>
      <c r="C170" s="9">
        <v>169</v>
      </c>
      <c r="D170" s="3">
        <v>4100000</v>
      </c>
      <c r="E170" s="1">
        <f>datos_limpios[[#This Row],[Price INR   ]]*0.011</f>
        <v>45100</v>
      </c>
      <c r="F170" s="13">
        <v>2020</v>
      </c>
      <c r="G170" s="2">
        <v>12136</v>
      </c>
      <c r="H170" s="8" t="s">
        <v>19</v>
      </c>
      <c r="I170" s="8" t="s">
        <v>40</v>
      </c>
      <c r="J170" s="8" t="s">
        <v>57</v>
      </c>
      <c r="K170" t="s">
        <v>41</v>
      </c>
      <c r="L170" t="s">
        <v>42</v>
      </c>
      <c r="M170" s="2">
        <f>VALUE(MID(L170,1,FIND("@",L170)-6))</f>
        <v>188</v>
      </c>
      <c r="N170">
        <v>5</v>
      </c>
      <c r="O170" t="str">
        <f>IF(datos_limpios[[#This Row],[Seating Capacity ]]&gt;4,"SI","NO")</f>
        <v>SI</v>
      </c>
      <c r="P170">
        <v>50</v>
      </c>
    </row>
    <row r="171" spans="1:16" x14ac:dyDescent="0.3">
      <c r="A171" s="8" t="s">
        <v>38</v>
      </c>
      <c r="B171" s="8" t="s">
        <v>330</v>
      </c>
      <c r="C171" s="9">
        <v>170</v>
      </c>
      <c r="D171" s="3">
        <v>4150000</v>
      </c>
      <c r="E171" s="1">
        <f>datos_limpios[[#This Row],[Price INR   ]]*0.011</f>
        <v>45650</v>
      </c>
      <c r="F171" s="13">
        <v>2019</v>
      </c>
      <c r="G171" s="2">
        <v>29000</v>
      </c>
      <c r="H171" s="8" t="s">
        <v>19</v>
      </c>
      <c r="I171" s="8" t="s">
        <v>40</v>
      </c>
      <c r="J171" s="8" t="s">
        <v>57</v>
      </c>
      <c r="K171" t="s">
        <v>41</v>
      </c>
      <c r="L171" t="s">
        <v>42</v>
      </c>
      <c r="M171" s="2">
        <f>VALUE(MID(L171,1,FIND("@",L171)-6))</f>
        <v>188</v>
      </c>
      <c r="N171">
        <v>5</v>
      </c>
      <c r="O171" t="str">
        <f>IF(datos_limpios[[#This Row],[Seating Capacity ]]&gt;4,"SI","NO")</f>
        <v>SI</v>
      </c>
      <c r="P171">
        <v>57</v>
      </c>
    </row>
    <row r="172" spans="1:16" x14ac:dyDescent="0.3">
      <c r="A172" s="8" t="s">
        <v>38</v>
      </c>
      <c r="B172" s="8" t="s">
        <v>1383</v>
      </c>
      <c r="C172" s="9">
        <v>171</v>
      </c>
      <c r="D172" s="3">
        <v>4195000</v>
      </c>
      <c r="E172" s="1">
        <f>datos_limpios[[#This Row],[Price INR   ]]*0.011</f>
        <v>46145</v>
      </c>
      <c r="F172" s="13">
        <v>2017</v>
      </c>
      <c r="G172" s="2">
        <v>63651</v>
      </c>
      <c r="H172" s="8" t="s">
        <v>19</v>
      </c>
      <c r="I172" s="8" t="s">
        <v>40</v>
      </c>
      <c r="J172" s="8" t="s">
        <v>20</v>
      </c>
      <c r="K172" t="s">
        <v>41</v>
      </c>
      <c r="L172" t="s">
        <v>153</v>
      </c>
      <c r="M172" s="2">
        <f>VALUE(MID(L172,1,FIND("@",L172)-6))</f>
        <v>190</v>
      </c>
      <c r="N172">
        <v>5</v>
      </c>
      <c r="O172" t="str">
        <f>IF(datos_limpios[[#This Row],[Seating Capacity ]]&gt;4,"SI","NO")</f>
        <v>SI</v>
      </c>
      <c r="P172">
        <v>67</v>
      </c>
    </row>
    <row r="173" spans="1:16" x14ac:dyDescent="0.3">
      <c r="A173" s="8" t="s">
        <v>38</v>
      </c>
      <c r="B173" s="8" t="s">
        <v>504</v>
      </c>
      <c r="C173" s="9">
        <v>172</v>
      </c>
      <c r="D173" s="3">
        <v>4250000</v>
      </c>
      <c r="E173" s="1">
        <f>datos_limpios[[#This Row],[Price INR   ]]*0.011</f>
        <v>46750</v>
      </c>
      <c r="F173" s="13">
        <v>2018</v>
      </c>
      <c r="G173" s="2">
        <v>32000</v>
      </c>
      <c r="H173" s="8" t="s">
        <v>12</v>
      </c>
      <c r="I173" s="8" t="s">
        <v>40</v>
      </c>
      <c r="J173" s="8" t="s">
        <v>57</v>
      </c>
      <c r="K173" t="s">
        <v>162</v>
      </c>
      <c r="L173" t="s">
        <v>505</v>
      </c>
      <c r="M173" s="2">
        <f>VALUE(MID(L173,1,FIND("@",L173)-6))</f>
        <v>248</v>
      </c>
      <c r="N173">
        <v>5</v>
      </c>
      <c r="O173" t="str">
        <f>IF(datos_limpios[[#This Row],[Seating Capacity ]]&gt;4,"SI","NO")</f>
        <v>SI</v>
      </c>
      <c r="P173">
        <v>57</v>
      </c>
    </row>
    <row r="174" spans="1:16" x14ac:dyDescent="0.3">
      <c r="A174" s="8" t="s">
        <v>38</v>
      </c>
      <c r="B174" s="8" t="s">
        <v>510</v>
      </c>
      <c r="C174" s="9">
        <v>173</v>
      </c>
      <c r="D174" s="3">
        <v>4250000</v>
      </c>
      <c r="E174" s="1">
        <f>datos_limpios[[#This Row],[Price INR   ]]*0.011</f>
        <v>46750</v>
      </c>
      <c r="F174" s="13">
        <v>2017</v>
      </c>
      <c r="G174" s="2">
        <v>80000</v>
      </c>
      <c r="H174" s="8" t="s">
        <v>19</v>
      </c>
      <c r="I174" s="8" t="s">
        <v>40</v>
      </c>
      <c r="J174" s="8" t="s">
        <v>20</v>
      </c>
      <c r="K174" t="s">
        <v>359</v>
      </c>
      <c r="L174" t="s">
        <v>511</v>
      </c>
      <c r="M174" s="2">
        <f>VALUE(MID(L174,1,FIND("@",L174)-6))</f>
        <v>262</v>
      </c>
      <c r="N174">
        <v>5</v>
      </c>
      <c r="O174" t="str">
        <f>IF(datos_limpios[[#This Row],[Seating Capacity ]]&gt;4,"SI","NO")</f>
        <v>SI</v>
      </c>
      <c r="P174">
        <v>80</v>
      </c>
    </row>
    <row r="175" spans="1:16" x14ac:dyDescent="0.3">
      <c r="A175" s="8" t="s">
        <v>38</v>
      </c>
      <c r="B175" s="8" t="s">
        <v>469</v>
      </c>
      <c r="C175" s="9">
        <v>174</v>
      </c>
      <c r="D175" s="3">
        <v>4290000</v>
      </c>
      <c r="E175" s="1">
        <f>datos_limpios[[#This Row],[Price INR   ]]*0.011</f>
        <v>47190</v>
      </c>
      <c r="F175" s="13">
        <v>2018</v>
      </c>
      <c r="G175" s="2">
        <v>60474</v>
      </c>
      <c r="H175" s="8" t="s">
        <v>19</v>
      </c>
      <c r="I175" s="8" t="s">
        <v>40</v>
      </c>
      <c r="J175" s="8" t="s">
        <v>20</v>
      </c>
      <c r="K175" t="s">
        <v>41</v>
      </c>
      <c r="L175" t="s">
        <v>42</v>
      </c>
      <c r="M175" s="2">
        <f>VALUE(MID(L175,1,FIND("@",L175)-6))</f>
        <v>188</v>
      </c>
      <c r="N175">
        <v>5</v>
      </c>
      <c r="O175" t="str">
        <f>IF(datos_limpios[[#This Row],[Seating Capacity ]]&gt;4,"SI","NO")</f>
        <v>SI</v>
      </c>
      <c r="P175">
        <v>65</v>
      </c>
    </row>
    <row r="176" spans="1:16" x14ac:dyDescent="0.3">
      <c r="A176" s="8" t="s">
        <v>38</v>
      </c>
      <c r="B176" s="8" t="s">
        <v>1077</v>
      </c>
      <c r="C176" s="9">
        <v>175</v>
      </c>
      <c r="D176" s="3">
        <v>4300000</v>
      </c>
      <c r="E176" s="1">
        <f>datos_limpios[[#This Row],[Price INR   ]]*0.011</f>
        <v>47300</v>
      </c>
      <c r="F176" s="13">
        <v>2020</v>
      </c>
      <c r="G176" s="2">
        <v>11000</v>
      </c>
      <c r="H176" s="8" t="s">
        <v>19</v>
      </c>
      <c r="I176" s="8" t="s">
        <v>40</v>
      </c>
      <c r="J176" s="8" t="s">
        <v>57</v>
      </c>
      <c r="K176" t="s">
        <v>41</v>
      </c>
      <c r="L176" t="s">
        <v>42</v>
      </c>
      <c r="M176" s="2">
        <f>VALUE(MID(L176,1,FIND("@",L176)-6))</f>
        <v>188</v>
      </c>
      <c r="N176">
        <v>5</v>
      </c>
      <c r="O176" t="str">
        <f>IF(datos_limpios[[#This Row],[Seating Capacity ]]&gt;4,"SI","NO")</f>
        <v>SI</v>
      </c>
      <c r="P176">
        <v>50</v>
      </c>
    </row>
    <row r="177" spans="1:16" x14ac:dyDescent="0.3">
      <c r="A177" s="8" t="s">
        <v>38</v>
      </c>
      <c r="B177" s="8" t="s">
        <v>330</v>
      </c>
      <c r="C177" s="9">
        <v>176</v>
      </c>
      <c r="D177" s="3">
        <v>4390000</v>
      </c>
      <c r="E177" s="1">
        <f>datos_limpios[[#This Row],[Price INR   ]]*0.011</f>
        <v>48290</v>
      </c>
      <c r="F177" s="13">
        <v>2020</v>
      </c>
      <c r="G177" s="2">
        <v>23000</v>
      </c>
      <c r="H177" s="8" t="s">
        <v>19</v>
      </c>
      <c r="I177" s="8" t="s">
        <v>40</v>
      </c>
      <c r="J177" s="8" t="s">
        <v>20</v>
      </c>
      <c r="K177" t="s">
        <v>41</v>
      </c>
      <c r="L177" t="s">
        <v>42</v>
      </c>
      <c r="M177" s="2">
        <f>VALUE(MID(L177,1,FIND("@",L177)-6))</f>
        <v>188</v>
      </c>
      <c r="N177">
        <v>5</v>
      </c>
      <c r="O177" t="str">
        <f>IF(datos_limpios[[#This Row],[Seating Capacity ]]&gt;4,"SI","NO")</f>
        <v>SI</v>
      </c>
      <c r="P177">
        <v>57</v>
      </c>
    </row>
    <row r="178" spans="1:16" x14ac:dyDescent="0.3">
      <c r="A178" s="8" t="s">
        <v>38</v>
      </c>
      <c r="B178" s="8" t="s">
        <v>957</v>
      </c>
      <c r="C178" s="9">
        <v>177</v>
      </c>
      <c r="D178" s="3">
        <v>4400000</v>
      </c>
      <c r="E178" s="1">
        <f>datos_limpios[[#This Row],[Price INR   ]]*0.011</f>
        <v>48400</v>
      </c>
      <c r="F178" s="13">
        <v>2018</v>
      </c>
      <c r="G178" s="2">
        <v>70000</v>
      </c>
      <c r="H178" s="8" t="s">
        <v>19</v>
      </c>
      <c r="I178" s="8" t="s">
        <v>40</v>
      </c>
      <c r="J178" s="8" t="s">
        <v>20</v>
      </c>
      <c r="K178" t="s">
        <v>41</v>
      </c>
      <c r="L178" t="s">
        <v>153</v>
      </c>
      <c r="M178" s="2">
        <f>VALUE(MID(L178,1,FIND("@",L178)-6))</f>
        <v>190</v>
      </c>
      <c r="N178">
        <v>5</v>
      </c>
      <c r="O178" t="str">
        <f>IF(datos_limpios[[#This Row],[Seating Capacity ]]&gt;4,"SI","NO")</f>
        <v>SI</v>
      </c>
      <c r="P178">
        <v>67</v>
      </c>
    </row>
    <row r="179" spans="1:16" x14ac:dyDescent="0.3">
      <c r="A179" s="8" t="s">
        <v>38</v>
      </c>
      <c r="B179" s="8" t="s">
        <v>207</v>
      </c>
      <c r="C179" s="9">
        <v>178</v>
      </c>
      <c r="D179" s="3">
        <v>4475000</v>
      </c>
      <c r="E179" s="1">
        <f>datos_limpios[[#This Row],[Price INR   ]]*0.011</f>
        <v>49225</v>
      </c>
      <c r="F179" s="13">
        <v>2021</v>
      </c>
      <c r="G179" s="2">
        <v>7100</v>
      </c>
      <c r="H179" s="8" t="s">
        <v>19</v>
      </c>
      <c r="I179" s="8" t="s">
        <v>40</v>
      </c>
      <c r="J179" s="8" t="s">
        <v>62</v>
      </c>
      <c r="K179" t="s">
        <v>41</v>
      </c>
      <c r="L179" t="s">
        <v>175</v>
      </c>
      <c r="M179" s="2">
        <f>VALUE(MID(L179,1,FIND("@",L179)-6))</f>
        <v>184</v>
      </c>
      <c r="N179">
        <v>5</v>
      </c>
      <c r="O179" t="str">
        <f>IF(datos_limpios[[#This Row],[Seating Capacity ]]&gt;4,"SI","NO")</f>
        <v>SI</v>
      </c>
      <c r="P179">
        <v>63</v>
      </c>
    </row>
    <row r="180" spans="1:16" x14ac:dyDescent="0.3">
      <c r="A180" s="8" t="s">
        <v>38</v>
      </c>
      <c r="B180" s="8" t="s">
        <v>207</v>
      </c>
      <c r="C180" s="9">
        <v>179</v>
      </c>
      <c r="D180" s="3">
        <v>4500000</v>
      </c>
      <c r="E180" s="1">
        <f>datos_limpios[[#This Row],[Price INR   ]]*0.011</f>
        <v>49500</v>
      </c>
      <c r="F180" s="13">
        <v>2022</v>
      </c>
      <c r="G180" s="2">
        <v>17000</v>
      </c>
      <c r="H180" s="8" t="s">
        <v>19</v>
      </c>
      <c r="I180" s="8" t="s">
        <v>40</v>
      </c>
      <c r="J180" s="8" t="s">
        <v>20</v>
      </c>
      <c r="K180" t="s">
        <v>41</v>
      </c>
      <c r="L180" t="s">
        <v>175</v>
      </c>
      <c r="M180" s="2">
        <f>VALUE(MID(L180,1,FIND("@",L180)-6))</f>
        <v>184</v>
      </c>
      <c r="N180">
        <v>5</v>
      </c>
      <c r="O180" t="str">
        <f>IF(datos_limpios[[#This Row],[Seating Capacity ]]&gt;4,"SI","NO")</f>
        <v>SI</v>
      </c>
      <c r="P180">
        <v>63</v>
      </c>
    </row>
    <row r="181" spans="1:16" x14ac:dyDescent="0.3">
      <c r="A181" s="8" t="s">
        <v>38</v>
      </c>
      <c r="B181" s="8" t="s">
        <v>469</v>
      </c>
      <c r="C181" s="9">
        <v>180</v>
      </c>
      <c r="D181" s="3">
        <v>4500000</v>
      </c>
      <c r="E181" s="1">
        <f>datos_limpios[[#This Row],[Price INR   ]]*0.011</f>
        <v>49500</v>
      </c>
      <c r="F181" s="13">
        <v>2018</v>
      </c>
      <c r="G181" s="2">
        <v>23000</v>
      </c>
      <c r="H181" s="8" t="s">
        <v>19</v>
      </c>
      <c r="I181" s="8" t="s">
        <v>40</v>
      </c>
      <c r="J181" s="8" t="s">
        <v>14</v>
      </c>
      <c r="K181" t="s">
        <v>41</v>
      </c>
      <c r="L181" t="s">
        <v>42</v>
      </c>
      <c r="M181" s="2">
        <f>VALUE(MID(L181,1,FIND("@",L181)-6))</f>
        <v>188</v>
      </c>
      <c r="N181">
        <v>5</v>
      </c>
      <c r="O181" t="str">
        <f>IF(datos_limpios[[#This Row],[Seating Capacity ]]&gt;4,"SI","NO")</f>
        <v>SI</v>
      </c>
      <c r="P181">
        <v>65</v>
      </c>
    </row>
    <row r="182" spans="1:16" x14ac:dyDescent="0.3">
      <c r="A182" s="8" t="s">
        <v>38</v>
      </c>
      <c r="B182" s="8" t="s">
        <v>469</v>
      </c>
      <c r="C182" s="9">
        <v>181</v>
      </c>
      <c r="D182" s="3">
        <v>4500000</v>
      </c>
      <c r="E182" s="1">
        <f>datos_limpios[[#This Row],[Price INR   ]]*0.011</f>
        <v>49500</v>
      </c>
      <c r="F182" s="13">
        <v>2018</v>
      </c>
      <c r="G182" s="2">
        <v>49500</v>
      </c>
      <c r="H182" s="8" t="s">
        <v>19</v>
      </c>
      <c r="I182" s="8" t="s">
        <v>40</v>
      </c>
      <c r="J182" s="8" t="s">
        <v>101</v>
      </c>
      <c r="K182" t="s">
        <v>41</v>
      </c>
      <c r="L182" t="s">
        <v>42</v>
      </c>
      <c r="M182" s="2">
        <f>VALUE(MID(L182,1,FIND("@",L182)-6))</f>
        <v>188</v>
      </c>
      <c r="N182">
        <v>5</v>
      </c>
      <c r="O182" t="str">
        <f>IF(datos_limpios[[#This Row],[Seating Capacity ]]&gt;4,"SI","NO")</f>
        <v>SI</v>
      </c>
      <c r="P182">
        <v>65</v>
      </c>
    </row>
    <row r="183" spans="1:16" x14ac:dyDescent="0.3">
      <c r="A183" s="8" t="s">
        <v>38</v>
      </c>
      <c r="B183" s="8" t="s">
        <v>487</v>
      </c>
      <c r="C183" s="9">
        <v>182</v>
      </c>
      <c r="D183" s="3">
        <v>4550000</v>
      </c>
      <c r="E183" s="1">
        <f>datos_limpios[[#This Row],[Price INR   ]]*0.011</f>
        <v>50050</v>
      </c>
      <c r="F183" s="13">
        <v>2021</v>
      </c>
      <c r="G183" s="2">
        <v>24000</v>
      </c>
      <c r="H183" s="8" t="s">
        <v>19</v>
      </c>
      <c r="I183" s="8" t="s">
        <v>40</v>
      </c>
      <c r="J183" s="8" t="s">
        <v>20</v>
      </c>
      <c r="K183" t="s">
        <v>41</v>
      </c>
      <c r="L183" t="s">
        <v>42</v>
      </c>
      <c r="M183" s="2">
        <f>VALUE(MID(L183,1,FIND("@",L183)-6))</f>
        <v>188</v>
      </c>
      <c r="N183">
        <v>5</v>
      </c>
      <c r="O183" t="str">
        <f>IF(datos_limpios[[#This Row],[Seating Capacity ]]&gt;4,"SI","NO")</f>
        <v>SI</v>
      </c>
      <c r="P183">
        <v>59</v>
      </c>
    </row>
    <row r="184" spans="1:16" x14ac:dyDescent="0.3">
      <c r="A184" s="8" t="s">
        <v>38</v>
      </c>
      <c r="B184" s="8" t="s">
        <v>768</v>
      </c>
      <c r="C184" s="9">
        <v>183</v>
      </c>
      <c r="D184" s="3">
        <v>4700000</v>
      </c>
      <c r="E184" s="1">
        <f>datos_limpios[[#This Row],[Price INR   ]]*0.011</f>
        <v>51700</v>
      </c>
      <c r="F184" s="13">
        <v>2022</v>
      </c>
      <c r="G184" s="2">
        <v>13120</v>
      </c>
      <c r="H184" s="8" t="s">
        <v>12</v>
      </c>
      <c r="I184" s="8" t="s">
        <v>40</v>
      </c>
      <c r="J184" s="8" t="s">
        <v>20</v>
      </c>
      <c r="K184" t="s">
        <v>162</v>
      </c>
      <c r="L184" t="s">
        <v>769</v>
      </c>
      <c r="M184" s="2">
        <f>VALUE(MID(L184,1,FIND("@",L184)-6))</f>
        <v>189</v>
      </c>
      <c r="N184">
        <v>5</v>
      </c>
      <c r="O184" t="str">
        <f>IF(datos_limpios[[#This Row],[Seating Capacity ]]&gt;4,"SI","NO")</f>
        <v>SI</v>
      </c>
      <c r="P184">
        <v>51</v>
      </c>
    </row>
    <row r="185" spans="1:16" x14ac:dyDescent="0.3">
      <c r="A185" s="8" t="s">
        <v>38</v>
      </c>
      <c r="B185" s="8" t="s">
        <v>596</v>
      </c>
      <c r="C185" s="9">
        <v>184</v>
      </c>
      <c r="D185" s="3">
        <v>4749000</v>
      </c>
      <c r="E185" s="1">
        <f>datos_limpios[[#This Row],[Price INR   ]]*0.011</f>
        <v>52239</v>
      </c>
      <c r="F185" s="13">
        <v>2020</v>
      </c>
      <c r="G185" s="2">
        <v>14000</v>
      </c>
      <c r="H185" s="8" t="s">
        <v>12</v>
      </c>
      <c r="I185" s="8" t="s">
        <v>40</v>
      </c>
      <c r="J185" s="8" t="s">
        <v>20</v>
      </c>
      <c r="K185" t="s">
        <v>162</v>
      </c>
      <c r="L185" t="s">
        <v>505</v>
      </c>
      <c r="M185" s="2">
        <f>VALUE(MID(L185,1,FIND("@",L185)-6))</f>
        <v>248</v>
      </c>
      <c r="N185">
        <v>5</v>
      </c>
      <c r="O185" t="str">
        <f>IF(datos_limpios[[#This Row],[Seating Capacity ]]&gt;4,"SI","NO")</f>
        <v>SI</v>
      </c>
      <c r="P185">
        <v>57</v>
      </c>
    </row>
    <row r="186" spans="1:16" x14ac:dyDescent="0.3">
      <c r="A186" s="8" t="s">
        <v>38</v>
      </c>
      <c r="B186" s="8" t="s">
        <v>469</v>
      </c>
      <c r="C186" s="9">
        <v>185</v>
      </c>
      <c r="D186" s="3">
        <v>4800000</v>
      </c>
      <c r="E186" s="1">
        <f>datos_limpios[[#This Row],[Price INR   ]]*0.011</f>
        <v>52800</v>
      </c>
      <c r="F186" s="13">
        <v>2019</v>
      </c>
      <c r="G186" s="2">
        <v>30000</v>
      </c>
      <c r="H186" s="8" t="s">
        <v>19</v>
      </c>
      <c r="I186" s="8" t="s">
        <v>40</v>
      </c>
      <c r="J186" s="8" t="s">
        <v>101</v>
      </c>
      <c r="K186" t="s">
        <v>41</v>
      </c>
      <c r="L186" t="s">
        <v>42</v>
      </c>
      <c r="M186" s="2">
        <f>VALUE(MID(L186,1,FIND("@",L186)-6))</f>
        <v>188</v>
      </c>
      <c r="N186">
        <v>5</v>
      </c>
      <c r="O186" t="str">
        <f>IF(datos_limpios[[#This Row],[Seating Capacity ]]&gt;4,"SI","NO")</f>
        <v>SI</v>
      </c>
      <c r="P186">
        <v>65</v>
      </c>
    </row>
    <row r="187" spans="1:16" x14ac:dyDescent="0.3">
      <c r="A187" s="8" t="s">
        <v>38</v>
      </c>
      <c r="B187" s="8" t="s">
        <v>469</v>
      </c>
      <c r="C187" s="9">
        <v>186</v>
      </c>
      <c r="D187" s="3">
        <v>4800000</v>
      </c>
      <c r="E187" s="1">
        <f>datos_limpios[[#This Row],[Price INR   ]]*0.011</f>
        <v>52800</v>
      </c>
      <c r="F187" s="13">
        <v>2019</v>
      </c>
      <c r="G187" s="2">
        <v>31000</v>
      </c>
      <c r="H187" s="8" t="s">
        <v>19</v>
      </c>
      <c r="I187" s="8" t="s">
        <v>40</v>
      </c>
      <c r="J187" s="8" t="s">
        <v>101</v>
      </c>
      <c r="K187" t="s">
        <v>41</v>
      </c>
      <c r="L187" t="s">
        <v>42</v>
      </c>
      <c r="M187" s="2">
        <f>VALUE(MID(L187,1,FIND("@",L187)-6))</f>
        <v>188</v>
      </c>
      <c r="N187">
        <v>5</v>
      </c>
      <c r="O187" t="str">
        <f>IF(datos_limpios[[#This Row],[Seating Capacity ]]&gt;4,"SI","NO")</f>
        <v>SI</v>
      </c>
      <c r="P187">
        <v>65</v>
      </c>
    </row>
    <row r="188" spans="1:16" x14ac:dyDescent="0.3">
      <c r="A188" s="8" t="s">
        <v>38</v>
      </c>
      <c r="B188" s="8" t="s">
        <v>358</v>
      </c>
      <c r="C188" s="9">
        <v>187</v>
      </c>
      <c r="D188" s="3">
        <v>4900000</v>
      </c>
      <c r="E188" s="1">
        <f>datos_limpios[[#This Row],[Price INR   ]]*0.011</f>
        <v>53900</v>
      </c>
      <c r="F188" s="13">
        <v>2018</v>
      </c>
      <c r="G188" s="2">
        <v>38000</v>
      </c>
      <c r="H188" s="8" t="s">
        <v>19</v>
      </c>
      <c r="I188" s="8" t="s">
        <v>40</v>
      </c>
      <c r="J188" s="8" t="s">
        <v>57</v>
      </c>
      <c r="K188" t="s">
        <v>359</v>
      </c>
      <c r="L188" t="s">
        <v>360</v>
      </c>
      <c r="M188" s="2">
        <f>VALUE(MID(L188,1,FIND("@",L188)-6))</f>
        <v>258</v>
      </c>
      <c r="N188">
        <v>5</v>
      </c>
      <c r="O188" t="str">
        <f>IF(datos_limpios[[#This Row],[Seating Capacity ]]&gt;4,"SI","NO")</f>
        <v>SI</v>
      </c>
      <c r="P188">
        <v>65</v>
      </c>
    </row>
    <row r="189" spans="1:16" x14ac:dyDescent="0.3">
      <c r="A189" s="8" t="s">
        <v>38</v>
      </c>
      <c r="B189" s="8" t="s">
        <v>596</v>
      </c>
      <c r="C189" s="9">
        <v>188</v>
      </c>
      <c r="D189" s="3">
        <v>5100000</v>
      </c>
      <c r="E189" s="1">
        <f>datos_limpios[[#This Row],[Price INR   ]]*0.011</f>
        <v>56100</v>
      </c>
      <c r="F189" s="13">
        <v>2022</v>
      </c>
      <c r="G189" s="2">
        <v>6000</v>
      </c>
      <c r="H189" s="8" t="s">
        <v>12</v>
      </c>
      <c r="I189" s="8" t="s">
        <v>40</v>
      </c>
      <c r="J189" s="8" t="s">
        <v>20</v>
      </c>
      <c r="K189" t="s">
        <v>162</v>
      </c>
      <c r="L189" t="s">
        <v>505</v>
      </c>
      <c r="M189" s="2">
        <f>VALUE(MID(L189,1,FIND("@",L189)-6))</f>
        <v>248</v>
      </c>
      <c r="N189">
        <v>5</v>
      </c>
      <c r="O189" t="str">
        <f>IF(datos_limpios[[#This Row],[Seating Capacity ]]&gt;4,"SI","NO")</f>
        <v>SI</v>
      </c>
      <c r="P189">
        <v>57</v>
      </c>
    </row>
    <row r="190" spans="1:16" x14ac:dyDescent="0.3">
      <c r="A190" s="8" t="s">
        <v>38</v>
      </c>
      <c r="B190" s="8" t="s">
        <v>927</v>
      </c>
      <c r="C190" s="9">
        <v>189</v>
      </c>
      <c r="D190" s="3">
        <v>5100000</v>
      </c>
      <c r="E190" s="1">
        <f>datos_limpios[[#This Row],[Price INR   ]]*0.011</f>
        <v>56100</v>
      </c>
      <c r="F190" s="13">
        <v>2019</v>
      </c>
      <c r="G190" s="2">
        <v>79000</v>
      </c>
      <c r="H190" s="8" t="s">
        <v>19</v>
      </c>
      <c r="I190" s="8" t="s">
        <v>40</v>
      </c>
      <c r="J190" s="8" t="s">
        <v>57</v>
      </c>
      <c r="K190" t="s">
        <v>359</v>
      </c>
      <c r="L190" t="s">
        <v>928</v>
      </c>
      <c r="M190" s="2">
        <f>VALUE(MID(L190,1,FIND("@",L190)-6))</f>
        <v>265</v>
      </c>
      <c r="N190">
        <v>5</v>
      </c>
      <c r="O190" t="str">
        <f>IF(datos_limpios[[#This Row],[Seating Capacity ]]&gt;4,"SI","NO")</f>
        <v>SI</v>
      </c>
      <c r="P190">
        <v>68</v>
      </c>
    </row>
    <row r="191" spans="1:16" x14ac:dyDescent="0.3">
      <c r="A191" s="8" t="s">
        <v>38</v>
      </c>
      <c r="B191" s="8" t="s">
        <v>358</v>
      </c>
      <c r="C191" s="9">
        <v>190</v>
      </c>
      <c r="D191" s="3">
        <v>5250000</v>
      </c>
      <c r="E191" s="1">
        <f>datos_limpios[[#This Row],[Price INR   ]]*0.011</f>
        <v>57750</v>
      </c>
      <c r="F191" s="13">
        <v>2018</v>
      </c>
      <c r="G191" s="2">
        <v>21000</v>
      </c>
      <c r="H191" s="8" t="s">
        <v>19</v>
      </c>
      <c r="I191" s="8" t="s">
        <v>40</v>
      </c>
      <c r="J191" s="8" t="s">
        <v>57</v>
      </c>
      <c r="K191" t="s">
        <v>359</v>
      </c>
      <c r="L191" t="s">
        <v>360</v>
      </c>
      <c r="M191" s="2">
        <f>VALUE(MID(L191,1,FIND("@",L191)-6))</f>
        <v>258</v>
      </c>
      <c r="N191">
        <v>5</v>
      </c>
      <c r="O191" t="str">
        <f>IF(datos_limpios[[#This Row],[Seating Capacity ]]&gt;4,"SI","NO")</f>
        <v>SI</v>
      </c>
      <c r="P191">
        <v>65</v>
      </c>
    </row>
    <row r="192" spans="1:16" x14ac:dyDescent="0.3">
      <c r="A192" s="8" t="s">
        <v>38</v>
      </c>
      <c r="B192" s="8" t="s">
        <v>957</v>
      </c>
      <c r="C192" s="9">
        <v>191</v>
      </c>
      <c r="D192" s="3">
        <v>5300000</v>
      </c>
      <c r="E192" s="1">
        <f>datos_limpios[[#This Row],[Price INR   ]]*0.011</f>
        <v>58300</v>
      </c>
      <c r="F192" s="13">
        <v>2019</v>
      </c>
      <c r="G192" s="2">
        <v>15087</v>
      </c>
      <c r="H192" s="8" t="s">
        <v>19</v>
      </c>
      <c r="I192" s="8" t="s">
        <v>40</v>
      </c>
      <c r="J192" s="8" t="s">
        <v>57</v>
      </c>
      <c r="K192" t="s">
        <v>41</v>
      </c>
      <c r="L192" t="s">
        <v>153</v>
      </c>
      <c r="M192" s="2">
        <f>VALUE(MID(L192,1,FIND("@",L192)-6))</f>
        <v>190</v>
      </c>
      <c r="N192">
        <v>5</v>
      </c>
      <c r="O192" t="str">
        <f>IF(datos_limpios[[#This Row],[Seating Capacity ]]&gt;4,"SI","NO")</f>
        <v>SI</v>
      </c>
      <c r="P192">
        <v>67</v>
      </c>
    </row>
    <row r="193" spans="1:16" x14ac:dyDescent="0.3">
      <c r="A193" s="8" t="s">
        <v>38</v>
      </c>
      <c r="B193" s="8" t="s">
        <v>1381</v>
      </c>
      <c r="C193" s="9">
        <v>192</v>
      </c>
      <c r="D193" s="3">
        <v>5400000</v>
      </c>
      <c r="E193" s="1">
        <f>datos_limpios[[#This Row],[Price INR   ]]*0.011</f>
        <v>59400</v>
      </c>
      <c r="F193" s="13">
        <v>2017</v>
      </c>
      <c r="G193" s="2">
        <v>33000</v>
      </c>
      <c r="H193" s="8" t="s">
        <v>19</v>
      </c>
      <c r="I193" s="8" t="s">
        <v>40</v>
      </c>
      <c r="J193" s="8" t="s">
        <v>20</v>
      </c>
      <c r="K193" t="s">
        <v>359</v>
      </c>
      <c r="L193" t="s">
        <v>1363</v>
      </c>
      <c r="M193" s="2">
        <f>VALUE(MID(L193,1,FIND("@",L193)-6))</f>
        <v>261</v>
      </c>
      <c r="N193">
        <v>4</v>
      </c>
      <c r="O193" t="str">
        <f>IF(datos_limpios[[#This Row],[Seating Capacity ]]&gt;4,"SI","NO")</f>
        <v>NO</v>
      </c>
      <c r="P193">
        <v>78</v>
      </c>
    </row>
    <row r="194" spans="1:16" x14ac:dyDescent="0.3">
      <c r="A194" s="8" t="s">
        <v>38</v>
      </c>
      <c r="B194" s="8" t="s">
        <v>596</v>
      </c>
      <c r="C194" s="9">
        <v>193</v>
      </c>
      <c r="D194" s="3">
        <v>5500000</v>
      </c>
      <c r="E194" s="1">
        <f>datos_limpios[[#This Row],[Price INR   ]]*0.011</f>
        <v>60500</v>
      </c>
      <c r="F194" s="13">
        <v>2020</v>
      </c>
      <c r="G194" s="2">
        <v>19000</v>
      </c>
      <c r="H194" s="8" t="s">
        <v>12</v>
      </c>
      <c r="I194" s="8" t="s">
        <v>40</v>
      </c>
      <c r="J194" s="8" t="s">
        <v>101</v>
      </c>
      <c r="K194" t="s">
        <v>162</v>
      </c>
      <c r="L194" t="s">
        <v>505</v>
      </c>
      <c r="M194" s="2">
        <f>VALUE(MID(L194,1,FIND("@",L194)-6))</f>
        <v>248</v>
      </c>
      <c r="N194">
        <v>5</v>
      </c>
      <c r="O194" t="str">
        <f>IF(datos_limpios[[#This Row],[Seating Capacity ]]&gt;4,"SI","NO")</f>
        <v>SI</v>
      </c>
      <c r="P194">
        <v>57</v>
      </c>
    </row>
    <row r="195" spans="1:16" x14ac:dyDescent="0.3">
      <c r="A195" s="8" t="s">
        <v>38</v>
      </c>
      <c r="B195" s="8" t="s">
        <v>358</v>
      </c>
      <c r="C195" s="9">
        <v>194</v>
      </c>
      <c r="D195" s="3">
        <v>5600000</v>
      </c>
      <c r="E195" s="1">
        <f>datos_limpios[[#This Row],[Price INR   ]]*0.011</f>
        <v>61600</v>
      </c>
      <c r="F195" s="13">
        <v>2018</v>
      </c>
      <c r="G195" s="2">
        <v>40937</v>
      </c>
      <c r="H195" s="8" t="s">
        <v>19</v>
      </c>
      <c r="I195" s="8" t="s">
        <v>40</v>
      </c>
      <c r="J195" s="8" t="s">
        <v>20</v>
      </c>
      <c r="K195" t="s">
        <v>359</v>
      </c>
      <c r="L195" t="s">
        <v>360</v>
      </c>
      <c r="M195" s="2">
        <f>VALUE(MID(L195,1,FIND("@",L195)-6))</f>
        <v>258</v>
      </c>
      <c r="N195">
        <v>5</v>
      </c>
      <c r="O195" t="str">
        <f>IF(datos_limpios[[#This Row],[Seating Capacity ]]&gt;4,"SI","NO")</f>
        <v>SI</v>
      </c>
      <c r="P195">
        <v>65</v>
      </c>
    </row>
    <row r="196" spans="1:16" x14ac:dyDescent="0.3">
      <c r="A196" s="8" t="s">
        <v>38</v>
      </c>
      <c r="B196" s="8" t="s">
        <v>469</v>
      </c>
      <c r="C196" s="9">
        <v>195</v>
      </c>
      <c r="D196" s="3">
        <v>5800000</v>
      </c>
      <c r="E196" s="1">
        <f>datos_limpios[[#This Row],[Price INR   ]]*0.011</f>
        <v>63799.999999999993</v>
      </c>
      <c r="F196" s="13">
        <v>2020</v>
      </c>
      <c r="G196" s="2">
        <v>30000</v>
      </c>
      <c r="H196" s="8" t="s">
        <v>19</v>
      </c>
      <c r="I196" s="8" t="s">
        <v>40</v>
      </c>
      <c r="J196" s="8" t="s">
        <v>101</v>
      </c>
      <c r="K196" t="s">
        <v>41</v>
      </c>
      <c r="L196" t="s">
        <v>42</v>
      </c>
      <c r="M196" s="2">
        <f>VALUE(MID(L196,1,FIND("@",L196)-6))</f>
        <v>188</v>
      </c>
      <c r="N196">
        <v>5</v>
      </c>
      <c r="O196" t="str">
        <f>IF(datos_limpios[[#This Row],[Seating Capacity ]]&gt;4,"SI","NO")</f>
        <v>SI</v>
      </c>
      <c r="P196">
        <v>65</v>
      </c>
    </row>
    <row r="197" spans="1:16" x14ac:dyDescent="0.3">
      <c r="A197" s="8" t="s">
        <v>38</v>
      </c>
      <c r="B197" s="8" t="s">
        <v>891</v>
      </c>
      <c r="C197" s="9">
        <v>196</v>
      </c>
      <c r="D197" s="3">
        <v>5950000</v>
      </c>
      <c r="E197" s="1">
        <f>datos_limpios[[#This Row],[Price INR   ]]*0.011</f>
        <v>65449.999999999993</v>
      </c>
      <c r="F197" s="13">
        <v>2017</v>
      </c>
      <c r="G197" s="2">
        <v>28000</v>
      </c>
      <c r="H197" s="8" t="s">
        <v>19</v>
      </c>
      <c r="I197" s="8" t="s">
        <v>40</v>
      </c>
      <c r="J197" s="8" t="s">
        <v>20</v>
      </c>
      <c r="K197" t="s">
        <v>359</v>
      </c>
      <c r="L197" t="s">
        <v>511</v>
      </c>
      <c r="M197" s="2">
        <f>VALUE(MID(L197,1,FIND("@",L197)-6))</f>
        <v>262</v>
      </c>
      <c r="N197">
        <v>4</v>
      </c>
      <c r="O197" t="str">
        <f>IF(datos_limpios[[#This Row],[Seating Capacity ]]&gt;4,"SI","NO")</f>
        <v>NO</v>
      </c>
      <c r="P197">
        <v>78</v>
      </c>
    </row>
    <row r="198" spans="1:16" x14ac:dyDescent="0.3">
      <c r="A198" s="8" t="s">
        <v>38</v>
      </c>
      <c r="B198" s="8" t="s">
        <v>152</v>
      </c>
      <c r="C198" s="9">
        <v>197</v>
      </c>
      <c r="D198" s="3">
        <v>5975000</v>
      </c>
      <c r="E198" s="1">
        <f>datos_limpios[[#This Row],[Price INR   ]]*0.011</f>
        <v>65725</v>
      </c>
      <c r="F198" s="13">
        <v>2021</v>
      </c>
      <c r="G198" s="2">
        <v>18000</v>
      </c>
      <c r="H198" s="8" t="s">
        <v>19</v>
      </c>
      <c r="I198" s="8" t="s">
        <v>40</v>
      </c>
      <c r="J198" s="8" t="s">
        <v>20</v>
      </c>
      <c r="K198" t="s">
        <v>41</v>
      </c>
      <c r="L198" t="s">
        <v>153</v>
      </c>
      <c r="M198" s="2">
        <f>VALUE(MID(L198,1,FIND("@",L198)-6))</f>
        <v>190</v>
      </c>
      <c r="N198">
        <v>5</v>
      </c>
      <c r="O198" t="str">
        <f>IF(datos_limpios[[#This Row],[Seating Capacity ]]&gt;4,"SI","NO")</f>
        <v>SI</v>
      </c>
      <c r="P198">
        <v>67</v>
      </c>
    </row>
    <row r="199" spans="1:16" x14ac:dyDescent="0.3">
      <c r="A199" s="8" t="s">
        <v>38</v>
      </c>
      <c r="B199" s="8" t="s">
        <v>358</v>
      </c>
      <c r="C199" s="9">
        <v>198</v>
      </c>
      <c r="D199" s="3">
        <v>6000000</v>
      </c>
      <c r="E199" s="1">
        <f>datos_limpios[[#This Row],[Price INR   ]]*0.011</f>
        <v>66000</v>
      </c>
      <c r="F199" s="13">
        <v>2018</v>
      </c>
      <c r="G199" s="2">
        <v>27600</v>
      </c>
      <c r="H199" s="8" t="s">
        <v>19</v>
      </c>
      <c r="I199" s="8" t="s">
        <v>40</v>
      </c>
      <c r="J199" s="8" t="s">
        <v>57</v>
      </c>
      <c r="K199" t="s">
        <v>359</v>
      </c>
      <c r="L199" t="s">
        <v>360</v>
      </c>
      <c r="M199" s="2">
        <f>VALUE(MID(L199,1,FIND("@",L199)-6))</f>
        <v>258</v>
      </c>
      <c r="N199">
        <v>5</v>
      </c>
      <c r="O199" t="str">
        <f>IF(datos_limpios[[#This Row],[Seating Capacity ]]&gt;4,"SI","NO")</f>
        <v>SI</v>
      </c>
      <c r="P199">
        <v>65</v>
      </c>
    </row>
    <row r="200" spans="1:16" x14ac:dyDescent="0.3">
      <c r="A200" s="8" t="s">
        <v>38</v>
      </c>
      <c r="B200" s="8" t="s">
        <v>1096</v>
      </c>
      <c r="C200" s="9">
        <v>199</v>
      </c>
      <c r="D200" s="3">
        <v>6100000</v>
      </c>
      <c r="E200" s="1">
        <f>datos_limpios[[#This Row],[Price INR   ]]*0.011</f>
        <v>67100</v>
      </c>
      <c r="F200" s="13">
        <v>2021</v>
      </c>
      <c r="G200" s="2">
        <v>24500</v>
      </c>
      <c r="H200" s="8" t="s">
        <v>19</v>
      </c>
      <c r="I200" s="8" t="s">
        <v>40</v>
      </c>
      <c r="J200" s="8" t="s">
        <v>30</v>
      </c>
      <c r="K200" t="s">
        <v>359</v>
      </c>
      <c r="L200" t="s">
        <v>1097</v>
      </c>
      <c r="M200" s="2">
        <f>VALUE(MID(L200,1,FIND("@",L200)-6))</f>
        <v>260</v>
      </c>
      <c r="N200">
        <v>5</v>
      </c>
      <c r="O200" t="str">
        <f>IF(datos_limpios[[#This Row],[Seating Capacity ]]&gt;4,"SI","NO")</f>
        <v>SI</v>
      </c>
      <c r="P200">
        <v>68</v>
      </c>
    </row>
    <row r="201" spans="1:16" x14ac:dyDescent="0.3">
      <c r="A201" s="8" t="s">
        <v>38</v>
      </c>
      <c r="B201" s="8" t="s">
        <v>152</v>
      </c>
      <c r="C201" s="9">
        <v>200</v>
      </c>
      <c r="D201" s="3">
        <v>6200000</v>
      </c>
      <c r="E201" s="1">
        <f>datos_limpios[[#This Row],[Price INR   ]]*0.011</f>
        <v>68200</v>
      </c>
      <c r="F201" s="13">
        <v>2021</v>
      </c>
      <c r="G201" s="2">
        <v>39000</v>
      </c>
      <c r="H201" s="8" t="s">
        <v>19</v>
      </c>
      <c r="I201" s="8" t="s">
        <v>40</v>
      </c>
      <c r="J201" s="8" t="s">
        <v>20</v>
      </c>
      <c r="K201" t="s">
        <v>41</v>
      </c>
      <c r="L201" t="s">
        <v>153</v>
      </c>
      <c r="M201" s="2">
        <f>VALUE(MID(L201,1,FIND("@",L201)-6))</f>
        <v>190</v>
      </c>
      <c r="N201">
        <v>5</v>
      </c>
      <c r="O201" t="str">
        <f>IF(datos_limpios[[#This Row],[Seating Capacity ]]&gt;4,"SI","NO")</f>
        <v>SI</v>
      </c>
      <c r="P201">
        <v>67</v>
      </c>
    </row>
    <row r="202" spans="1:16" x14ac:dyDescent="0.3">
      <c r="A202" s="8" t="s">
        <v>38</v>
      </c>
      <c r="B202" s="8" t="s">
        <v>469</v>
      </c>
      <c r="C202" s="9">
        <v>201</v>
      </c>
      <c r="D202" s="3">
        <v>6390000</v>
      </c>
      <c r="E202" s="1">
        <f>datos_limpios[[#This Row],[Price INR   ]]*0.011</f>
        <v>70290</v>
      </c>
      <c r="F202" s="13">
        <v>2022</v>
      </c>
      <c r="G202" s="2">
        <v>6000</v>
      </c>
      <c r="H202" s="8" t="s">
        <v>19</v>
      </c>
      <c r="I202" s="8" t="s">
        <v>40</v>
      </c>
      <c r="J202" s="8" t="s">
        <v>14</v>
      </c>
      <c r="K202" t="s">
        <v>41</v>
      </c>
      <c r="L202" t="s">
        <v>42</v>
      </c>
      <c r="M202" s="2">
        <f>VALUE(MID(L202,1,FIND("@",L202)-6))</f>
        <v>188</v>
      </c>
      <c r="N202">
        <v>5</v>
      </c>
      <c r="O202" t="str">
        <f>IF(datos_limpios[[#This Row],[Seating Capacity ]]&gt;4,"SI","NO")</f>
        <v>SI</v>
      </c>
      <c r="P202">
        <v>65</v>
      </c>
    </row>
    <row r="203" spans="1:16" x14ac:dyDescent="0.3">
      <c r="A203" s="8" t="s">
        <v>38</v>
      </c>
      <c r="B203" s="8" t="s">
        <v>1320</v>
      </c>
      <c r="C203" s="9">
        <v>202</v>
      </c>
      <c r="D203" s="3">
        <v>6680000</v>
      </c>
      <c r="E203" s="1">
        <f>datos_limpios[[#This Row],[Price INR   ]]*0.011</f>
        <v>73480</v>
      </c>
      <c r="F203" s="13">
        <v>2022</v>
      </c>
      <c r="G203" s="2">
        <v>18223</v>
      </c>
      <c r="H203" s="8" t="s">
        <v>12</v>
      </c>
      <c r="I203" s="8" t="s">
        <v>40</v>
      </c>
      <c r="J203" s="8" t="s">
        <v>57</v>
      </c>
      <c r="K203" t="s">
        <v>162</v>
      </c>
      <c r="L203" t="s">
        <v>505</v>
      </c>
      <c r="M203" s="2">
        <f>VALUE(MID(L203,1,FIND("@",L203)-6))</f>
        <v>248</v>
      </c>
      <c r="N203">
        <v>5</v>
      </c>
      <c r="O203" t="str">
        <f>IF(datos_limpios[[#This Row],[Seating Capacity ]]&gt;4,"SI","NO")</f>
        <v>SI</v>
      </c>
      <c r="P203">
        <v>60</v>
      </c>
    </row>
    <row r="204" spans="1:16" x14ac:dyDescent="0.3">
      <c r="A204" s="8" t="s">
        <v>38</v>
      </c>
      <c r="B204" s="8" t="s">
        <v>152</v>
      </c>
      <c r="C204" s="9">
        <v>203</v>
      </c>
      <c r="D204" s="3">
        <v>6800000</v>
      </c>
      <c r="E204" s="1">
        <f>datos_limpios[[#This Row],[Price INR   ]]*0.011</f>
        <v>74800</v>
      </c>
      <c r="F204" s="13">
        <v>2022</v>
      </c>
      <c r="G204" s="2">
        <v>33000</v>
      </c>
      <c r="H204" s="8" t="s">
        <v>19</v>
      </c>
      <c r="I204" s="8" t="s">
        <v>40</v>
      </c>
      <c r="J204" s="8" t="s">
        <v>20</v>
      </c>
      <c r="K204" t="s">
        <v>41</v>
      </c>
      <c r="L204" t="s">
        <v>153</v>
      </c>
      <c r="M204" s="2">
        <f>VALUE(MID(L204,1,FIND("@",L204)-6))</f>
        <v>190</v>
      </c>
      <c r="N204">
        <v>5</v>
      </c>
      <c r="O204" t="str">
        <f>IF(datos_limpios[[#This Row],[Seating Capacity ]]&gt;4,"SI","NO")</f>
        <v>SI</v>
      </c>
      <c r="P204">
        <v>67</v>
      </c>
    </row>
    <row r="205" spans="1:16" x14ac:dyDescent="0.3">
      <c r="A205" s="8" t="s">
        <v>38</v>
      </c>
      <c r="B205" s="8" t="s">
        <v>675</v>
      </c>
      <c r="C205" s="9">
        <v>204</v>
      </c>
      <c r="D205" s="3">
        <v>6900000</v>
      </c>
      <c r="E205" s="1">
        <f>datos_limpios[[#This Row],[Price INR   ]]*0.011</f>
        <v>75900</v>
      </c>
      <c r="F205" s="13">
        <v>2017</v>
      </c>
      <c r="G205" s="2">
        <v>42200</v>
      </c>
      <c r="H205" s="8" t="s">
        <v>19</v>
      </c>
      <c r="I205" s="8" t="s">
        <v>40</v>
      </c>
      <c r="J205" s="8" t="s">
        <v>101</v>
      </c>
      <c r="K205" t="s">
        <v>359</v>
      </c>
      <c r="L205" t="s">
        <v>511</v>
      </c>
      <c r="M205" s="2">
        <f>VALUE(MID(L205,1,FIND("@",L205)-6))</f>
        <v>262</v>
      </c>
      <c r="N205">
        <v>4</v>
      </c>
      <c r="O205" t="str">
        <f>IF(datos_limpios[[#This Row],[Seating Capacity ]]&gt;4,"SI","NO")</f>
        <v>NO</v>
      </c>
      <c r="P205">
        <v>78</v>
      </c>
    </row>
    <row r="206" spans="1:16" x14ac:dyDescent="0.3">
      <c r="A206" s="8" t="s">
        <v>38</v>
      </c>
      <c r="B206" s="8" t="s">
        <v>1362</v>
      </c>
      <c r="C206" s="9">
        <v>205</v>
      </c>
      <c r="D206" s="3">
        <v>7700000</v>
      </c>
      <c r="E206" s="1">
        <f>datos_limpios[[#This Row],[Price INR   ]]*0.011</f>
        <v>84700</v>
      </c>
      <c r="F206" s="13">
        <v>2021</v>
      </c>
      <c r="G206" s="2">
        <v>18703</v>
      </c>
      <c r="H206" s="8" t="s">
        <v>19</v>
      </c>
      <c r="I206" s="8" t="s">
        <v>40</v>
      </c>
      <c r="J206" s="8" t="s">
        <v>20</v>
      </c>
      <c r="K206" t="s">
        <v>359</v>
      </c>
      <c r="L206" t="s">
        <v>1363</v>
      </c>
      <c r="M206" s="2">
        <f>VALUE(MID(L206,1,FIND("@",L206)-6))</f>
        <v>261</v>
      </c>
      <c r="N206">
        <v>5</v>
      </c>
      <c r="O206" t="str">
        <f>IF(datos_limpios[[#This Row],[Seating Capacity ]]&gt;4,"SI","NO")</f>
        <v>SI</v>
      </c>
      <c r="P206">
        <v>66</v>
      </c>
    </row>
    <row r="207" spans="1:16" x14ac:dyDescent="0.3">
      <c r="A207" s="8" t="s">
        <v>38</v>
      </c>
      <c r="B207" s="8" t="s">
        <v>510</v>
      </c>
      <c r="C207" s="9">
        <v>206</v>
      </c>
      <c r="D207" s="3">
        <v>8300000</v>
      </c>
      <c r="E207" s="1">
        <f>datos_limpios[[#This Row],[Price INR   ]]*0.011</f>
        <v>91300</v>
      </c>
      <c r="F207" s="13">
        <v>2020</v>
      </c>
      <c r="G207" s="2">
        <v>29000</v>
      </c>
      <c r="H207" s="8" t="s">
        <v>19</v>
      </c>
      <c r="I207" s="8" t="s">
        <v>40</v>
      </c>
      <c r="J207" s="8" t="s">
        <v>57</v>
      </c>
      <c r="K207" t="s">
        <v>359</v>
      </c>
      <c r="L207" t="s">
        <v>511</v>
      </c>
      <c r="M207" s="2">
        <f>VALUE(MID(L207,1,FIND("@",L207)-6))</f>
        <v>262</v>
      </c>
      <c r="N207">
        <v>5</v>
      </c>
      <c r="O207" t="str">
        <f>IF(datos_limpios[[#This Row],[Seating Capacity ]]&gt;4,"SI","NO")</f>
        <v>SI</v>
      </c>
      <c r="P207">
        <v>80</v>
      </c>
    </row>
    <row r="208" spans="1:16" x14ac:dyDescent="0.3">
      <c r="A208" s="8" t="s">
        <v>38</v>
      </c>
      <c r="B208" s="8" t="s">
        <v>510</v>
      </c>
      <c r="C208" s="9">
        <v>207</v>
      </c>
      <c r="D208" s="3">
        <v>8600000</v>
      </c>
      <c r="E208" s="1">
        <f>datos_limpios[[#This Row],[Price INR   ]]*0.011</f>
        <v>94600</v>
      </c>
      <c r="F208" s="13">
        <v>2020</v>
      </c>
      <c r="G208" s="2">
        <v>21696</v>
      </c>
      <c r="H208" s="8" t="s">
        <v>19</v>
      </c>
      <c r="I208" s="8" t="s">
        <v>40</v>
      </c>
      <c r="J208" s="8" t="s">
        <v>57</v>
      </c>
      <c r="K208" t="s">
        <v>359</v>
      </c>
      <c r="L208" t="s">
        <v>511</v>
      </c>
      <c r="M208" s="2">
        <f>VALUE(MID(L208,1,FIND("@",L208)-6))</f>
        <v>262</v>
      </c>
      <c r="N208">
        <v>5</v>
      </c>
      <c r="O208" t="str">
        <f>IF(datos_limpios[[#This Row],[Seating Capacity ]]&gt;4,"SI","NO")</f>
        <v>SI</v>
      </c>
      <c r="P208">
        <v>80</v>
      </c>
    </row>
    <row r="209" spans="1:16" x14ac:dyDescent="0.3">
      <c r="A209" s="8" t="s">
        <v>38</v>
      </c>
      <c r="B209" s="8" t="s">
        <v>1102</v>
      </c>
      <c r="C209" s="9">
        <v>208</v>
      </c>
      <c r="D209" s="3">
        <v>10800000</v>
      </c>
      <c r="E209" s="1">
        <f>datos_limpios[[#This Row],[Price INR   ]]*0.011</f>
        <v>118800</v>
      </c>
      <c r="F209" s="13">
        <v>2021</v>
      </c>
      <c r="G209" s="2">
        <v>20000</v>
      </c>
      <c r="H209" s="8" t="s">
        <v>12</v>
      </c>
      <c r="I209" s="8" t="s">
        <v>40</v>
      </c>
      <c r="J209" s="8" t="s">
        <v>30</v>
      </c>
      <c r="K209" t="s">
        <v>1103</v>
      </c>
      <c r="L209" t="s">
        <v>1104</v>
      </c>
      <c r="M209" s="2">
        <f>VALUE(MID(L209,1,FIND("@",L209)-6))</f>
        <v>335</v>
      </c>
      <c r="N209">
        <v>5</v>
      </c>
      <c r="O209" t="str">
        <f>IF(datos_limpios[[#This Row],[Seating Capacity ]]&gt;4,"SI","NO")</f>
        <v>SI</v>
      </c>
      <c r="P209">
        <v>83</v>
      </c>
    </row>
    <row r="210" spans="1:16" x14ac:dyDescent="0.3">
      <c r="A210" s="8" t="s">
        <v>38</v>
      </c>
      <c r="B210" s="8" t="s">
        <v>1317</v>
      </c>
      <c r="C210" s="9">
        <v>209</v>
      </c>
      <c r="D210" s="3">
        <v>12500000</v>
      </c>
      <c r="E210" s="1">
        <f>datos_limpios[[#This Row],[Price INR   ]]*0.011</f>
        <v>137500</v>
      </c>
      <c r="F210" s="13">
        <v>2021</v>
      </c>
      <c r="G210" s="2">
        <v>9500</v>
      </c>
      <c r="H210" s="8" t="s">
        <v>12</v>
      </c>
      <c r="I210" s="8" t="s">
        <v>40</v>
      </c>
      <c r="J210" s="8" t="s">
        <v>20</v>
      </c>
      <c r="K210" t="s">
        <v>1103</v>
      </c>
      <c r="L210" t="s">
        <v>1104</v>
      </c>
      <c r="M210" s="2">
        <f>VALUE(MID(L210,1,FIND("@",L210)-6))</f>
        <v>335</v>
      </c>
      <c r="N210">
        <v>6</v>
      </c>
      <c r="O210" t="str">
        <f>IF(datos_limpios[[#This Row],[Seating Capacity ]]&gt;4,"SI","NO")</f>
        <v>SI</v>
      </c>
      <c r="P210">
        <v>83</v>
      </c>
    </row>
    <row r="211" spans="1:16" x14ac:dyDescent="0.3">
      <c r="A211" s="8" t="s">
        <v>804</v>
      </c>
      <c r="B211" s="8" t="s">
        <v>1390</v>
      </c>
      <c r="C211" s="9">
        <v>210</v>
      </c>
      <c r="D211" s="3">
        <v>190000</v>
      </c>
      <c r="E211" s="1">
        <f>datos_limpios[[#This Row],[Price INR   ]]*0.011</f>
        <v>2090</v>
      </c>
      <c r="F211" s="13">
        <v>2013</v>
      </c>
      <c r="G211" s="2">
        <v>66000</v>
      </c>
      <c r="H211" s="8" t="s">
        <v>12</v>
      </c>
      <c r="I211" s="8" t="s">
        <v>13</v>
      </c>
      <c r="J211" s="8" t="s">
        <v>20</v>
      </c>
      <c r="K211" t="s">
        <v>1391</v>
      </c>
      <c r="L211" t="s">
        <v>1392</v>
      </c>
      <c r="M211" s="2">
        <f>VALUE(MID(L211,1,FIND("@",L211)-6))</f>
        <v>62</v>
      </c>
      <c r="N211">
        <v>5</v>
      </c>
      <c r="O211" t="str">
        <f>IF(datos_limpios[[#This Row],[Seating Capacity ]]&gt;4,"SI","NO")</f>
        <v>SI</v>
      </c>
      <c r="P211">
        <v>38</v>
      </c>
    </row>
    <row r="212" spans="1:16" x14ac:dyDescent="0.3">
      <c r="A212" s="8" t="s">
        <v>804</v>
      </c>
      <c r="B212" s="8" t="s">
        <v>1262</v>
      </c>
      <c r="C212" s="9">
        <v>211</v>
      </c>
      <c r="D212" s="3">
        <v>229999</v>
      </c>
      <c r="E212" s="1">
        <f>datos_limpios[[#This Row],[Price INR   ]]*0.011</f>
        <v>2529.989</v>
      </c>
      <c r="F212" s="13">
        <v>2011</v>
      </c>
      <c r="G212" s="2">
        <v>41215</v>
      </c>
      <c r="H212" s="8" t="s">
        <v>19</v>
      </c>
      <c r="I212" s="8" t="s">
        <v>13</v>
      </c>
      <c r="J212" s="8" t="s">
        <v>77</v>
      </c>
      <c r="K212" t="s">
        <v>1263</v>
      </c>
      <c r="L212" t="s">
        <v>1264</v>
      </c>
      <c r="M212" s="2">
        <f>VALUE(MID(L212,1,FIND("@",L212)-6))</f>
        <v>58</v>
      </c>
      <c r="N212">
        <v>5</v>
      </c>
      <c r="O212" t="str">
        <f>IF(datos_limpios[[#This Row],[Seating Capacity ]]&gt;4,"SI","NO")</f>
        <v>SI</v>
      </c>
      <c r="P212">
        <v>35</v>
      </c>
    </row>
    <row r="213" spans="1:16" x14ac:dyDescent="0.3">
      <c r="A213" s="8" t="s">
        <v>804</v>
      </c>
      <c r="B213" s="8" t="s">
        <v>1433</v>
      </c>
      <c r="C213" s="9">
        <v>212</v>
      </c>
      <c r="D213" s="3">
        <v>299000</v>
      </c>
      <c r="E213" s="1">
        <f>datos_limpios[[#This Row],[Price INR   ]]*0.011</f>
        <v>3289</v>
      </c>
      <c r="F213" s="13">
        <v>2014</v>
      </c>
      <c r="G213" s="2">
        <v>32000</v>
      </c>
      <c r="H213" s="8" t="s">
        <v>12</v>
      </c>
      <c r="I213" s="8" t="s">
        <v>13</v>
      </c>
      <c r="J213" s="8" t="s">
        <v>77</v>
      </c>
      <c r="K213" t="s">
        <v>97</v>
      </c>
      <c r="L213" t="s">
        <v>92</v>
      </c>
      <c r="M213" s="2">
        <f>VALUE(MID(L213,1,FIND("@",L213)-6))</f>
        <v>85</v>
      </c>
      <c r="N213">
        <v>5</v>
      </c>
      <c r="O213" t="str">
        <f>IF(datos_limpios[[#This Row],[Seating Capacity ]]&gt;4,"SI","NO")</f>
        <v>SI</v>
      </c>
      <c r="P213">
        <v>42</v>
      </c>
    </row>
    <row r="214" spans="1:16" x14ac:dyDescent="0.3">
      <c r="A214" s="8" t="s">
        <v>804</v>
      </c>
      <c r="B214" s="8" t="s">
        <v>843</v>
      </c>
      <c r="C214" s="9">
        <v>213</v>
      </c>
      <c r="D214" s="3">
        <v>320000</v>
      </c>
      <c r="E214" s="1">
        <f>datos_limpios[[#This Row],[Price INR   ]]*0.011</f>
        <v>3520</v>
      </c>
      <c r="F214" s="13">
        <v>2011</v>
      </c>
      <c r="G214" s="2">
        <v>75000</v>
      </c>
      <c r="H214" s="8" t="s">
        <v>19</v>
      </c>
      <c r="I214" s="8" t="s">
        <v>13</v>
      </c>
      <c r="J214" s="8" t="s">
        <v>615</v>
      </c>
      <c r="K214" t="s">
        <v>227</v>
      </c>
      <c r="L214" t="s">
        <v>1528</v>
      </c>
      <c r="M214" s="2">
        <f>VALUE(MID(L214,1,FIND("@",L214)-6))</f>
        <v>150</v>
      </c>
      <c r="N214">
        <v>5</v>
      </c>
      <c r="O214" t="str">
        <f>IF(datos_limpios[[#This Row],[Seating Capacity ]]&gt;4,"SI","NO")</f>
        <v>SI</v>
      </c>
      <c r="P214">
        <v>60</v>
      </c>
    </row>
    <row r="215" spans="1:16" x14ac:dyDescent="0.3">
      <c r="A215" s="8" t="s">
        <v>804</v>
      </c>
      <c r="B215" s="8" t="s">
        <v>843</v>
      </c>
      <c r="C215" s="9">
        <v>214</v>
      </c>
      <c r="D215" s="3">
        <v>400000</v>
      </c>
      <c r="E215" s="1">
        <f>datos_limpios[[#This Row],[Price INR   ]]*0.011</f>
        <v>4400</v>
      </c>
      <c r="F215" s="13">
        <v>2011</v>
      </c>
      <c r="G215" s="2">
        <v>80000</v>
      </c>
      <c r="H215" s="8" t="s">
        <v>19</v>
      </c>
      <c r="I215" s="8" t="s">
        <v>13</v>
      </c>
      <c r="J215" s="8" t="s">
        <v>77</v>
      </c>
      <c r="K215" t="s">
        <v>227</v>
      </c>
      <c r="L215" t="s">
        <v>1528</v>
      </c>
      <c r="M215" s="2">
        <f>VALUE(MID(L215,1,FIND("@",L215)-6))</f>
        <v>150</v>
      </c>
      <c r="N215">
        <v>5</v>
      </c>
      <c r="O215" t="str">
        <f>IF(datos_limpios[[#This Row],[Seating Capacity ]]&gt;4,"SI","NO")</f>
        <v>SI</v>
      </c>
      <c r="P215">
        <v>60</v>
      </c>
    </row>
    <row r="216" spans="1:16" x14ac:dyDescent="0.3">
      <c r="A216" s="8" t="s">
        <v>804</v>
      </c>
      <c r="B216" s="8" t="s">
        <v>805</v>
      </c>
      <c r="C216" s="9">
        <v>215</v>
      </c>
      <c r="D216" s="3">
        <v>475000</v>
      </c>
      <c r="E216" s="1">
        <f>datos_limpios[[#This Row],[Price INR   ]]*0.011</f>
        <v>5225</v>
      </c>
      <c r="F216" s="13">
        <v>2014</v>
      </c>
      <c r="G216" s="2">
        <v>73265</v>
      </c>
      <c r="H216" s="8" t="s">
        <v>19</v>
      </c>
      <c r="I216" s="8" t="s">
        <v>40</v>
      </c>
      <c r="J216" s="8" t="s">
        <v>20</v>
      </c>
      <c r="K216" t="s">
        <v>162</v>
      </c>
      <c r="L216" t="s">
        <v>806</v>
      </c>
      <c r="M216" s="2">
        <f>VALUE(MID(L216,1,FIND("@",L216)-6))</f>
        <v>164</v>
      </c>
      <c r="N216">
        <v>5</v>
      </c>
      <c r="O216" t="str">
        <f>IF(datos_limpios[[#This Row],[Seating Capacity ]]&gt;4,"SI","NO")</f>
        <v>SI</v>
      </c>
      <c r="P216">
        <v>60</v>
      </c>
    </row>
    <row r="217" spans="1:16" x14ac:dyDescent="0.3">
      <c r="A217" s="8" t="s">
        <v>804</v>
      </c>
      <c r="B217" s="8" t="s">
        <v>1175</v>
      </c>
      <c r="C217" s="9">
        <v>216</v>
      </c>
      <c r="D217" s="3">
        <v>475000</v>
      </c>
      <c r="E217" s="1">
        <f>datos_limpios[[#This Row],[Price INR   ]]*0.011</f>
        <v>5225</v>
      </c>
      <c r="F217" s="13">
        <v>2012</v>
      </c>
      <c r="G217" s="2">
        <v>74000</v>
      </c>
      <c r="H217" s="8" t="s">
        <v>19</v>
      </c>
      <c r="I217" s="8" t="s">
        <v>40</v>
      </c>
      <c r="J217" s="8" t="s">
        <v>20</v>
      </c>
      <c r="K217" t="s">
        <v>227</v>
      </c>
      <c r="L217" t="s">
        <v>1528</v>
      </c>
      <c r="M217" s="2">
        <f>VALUE(MID(L217,1,FIND("@",L217)-6))</f>
        <v>150</v>
      </c>
      <c r="N217">
        <v>7</v>
      </c>
      <c r="O217" t="str">
        <f>IF(datos_limpios[[#This Row],[Seating Capacity ]]&gt;4,"SI","NO")</f>
        <v>SI</v>
      </c>
      <c r="P217">
        <v>65</v>
      </c>
    </row>
    <row r="218" spans="1:16" x14ac:dyDescent="0.3">
      <c r="A218" s="8" t="s">
        <v>662</v>
      </c>
      <c r="B218" s="8" t="s">
        <v>958</v>
      </c>
      <c r="C218" s="9">
        <v>217</v>
      </c>
      <c r="D218" s="3">
        <v>198000</v>
      </c>
      <c r="E218" s="1">
        <f>datos_limpios[[#This Row],[Price INR   ]]*0.011</f>
        <v>2178</v>
      </c>
      <c r="F218" s="13">
        <v>2017</v>
      </c>
      <c r="G218" s="2">
        <v>24000</v>
      </c>
      <c r="H218" s="8" t="s">
        <v>12</v>
      </c>
      <c r="I218" s="8" t="s">
        <v>13</v>
      </c>
      <c r="J218" s="8" t="s">
        <v>30</v>
      </c>
      <c r="K218" t="s">
        <v>54</v>
      </c>
      <c r="L218" t="s">
        <v>55</v>
      </c>
      <c r="M218" s="2">
        <f>VALUE(MID(L218,1,FIND("@",L218)-6))</f>
        <v>67</v>
      </c>
      <c r="N218">
        <v>5</v>
      </c>
      <c r="O218" t="str">
        <f>IF(datos_limpios[[#This Row],[Seating Capacity ]]&gt;4,"SI","NO")</f>
        <v>SI</v>
      </c>
      <c r="P218">
        <v>28</v>
      </c>
    </row>
    <row r="219" spans="1:16" x14ac:dyDescent="0.3">
      <c r="A219" s="8" t="s">
        <v>662</v>
      </c>
      <c r="B219" s="8" t="s">
        <v>663</v>
      </c>
      <c r="C219" s="9">
        <v>218</v>
      </c>
      <c r="D219" s="3">
        <v>240000</v>
      </c>
      <c r="E219" s="1">
        <f>datos_limpios[[#This Row],[Price INR   ]]*0.011</f>
        <v>2640</v>
      </c>
      <c r="F219" s="13">
        <v>2017</v>
      </c>
      <c r="G219" s="2">
        <v>42000</v>
      </c>
      <c r="H219" s="8" t="s">
        <v>12</v>
      </c>
      <c r="I219" s="8" t="s">
        <v>13</v>
      </c>
      <c r="J219" s="8" t="s">
        <v>20</v>
      </c>
      <c r="K219" t="s">
        <v>15</v>
      </c>
      <c r="L219" t="s">
        <v>664</v>
      </c>
      <c r="M219" s="2">
        <f>VALUE(MID(L219,1,FIND("@",L219)-6))</f>
        <v>67</v>
      </c>
      <c r="N219">
        <v>5</v>
      </c>
      <c r="O219" t="str">
        <f>IF(datos_limpios[[#This Row],[Seating Capacity ]]&gt;4,"SI","NO")</f>
        <v>SI</v>
      </c>
      <c r="P219">
        <v>35</v>
      </c>
    </row>
    <row r="220" spans="1:16" x14ac:dyDescent="0.3">
      <c r="A220" s="8" t="s">
        <v>662</v>
      </c>
      <c r="B220" s="8" t="s">
        <v>1172</v>
      </c>
      <c r="C220" s="9">
        <v>219</v>
      </c>
      <c r="D220" s="3">
        <v>250000</v>
      </c>
      <c r="E220" s="1">
        <f>datos_limpios[[#This Row],[Price INR   ]]*0.011</f>
        <v>2750</v>
      </c>
      <c r="F220" s="13">
        <v>2018</v>
      </c>
      <c r="G220" s="2">
        <v>25000</v>
      </c>
      <c r="H220" s="8" t="s">
        <v>12</v>
      </c>
      <c r="I220" s="8" t="s">
        <v>13</v>
      </c>
      <c r="J220" s="8" t="s">
        <v>14</v>
      </c>
      <c r="K220" t="s">
        <v>54</v>
      </c>
      <c r="L220" t="s">
        <v>55</v>
      </c>
      <c r="M220" s="2">
        <f>VALUE(MID(L220,1,FIND("@",L220)-6))</f>
        <v>67</v>
      </c>
      <c r="N220">
        <v>5</v>
      </c>
      <c r="O220" t="str">
        <f>IF(datos_limpios[[#This Row],[Seating Capacity ]]&gt;4,"SI","NO")</f>
        <v>SI</v>
      </c>
      <c r="P220">
        <v>28</v>
      </c>
    </row>
    <row r="221" spans="1:16" x14ac:dyDescent="0.3">
      <c r="A221" s="8" t="s">
        <v>662</v>
      </c>
      <c r="B221" s="8" t="s">
        <v>842</v>
      </c>
      <c r="C221" s="9">
        <v>220</v>
      </c>
      <c r="D221" s="3">
        <v>270000</v>
      </c>
      <c r="E221" s="1">
        <f>datos_limpios[[#This Row],[Price INR   ]]*0.011</f>
        <v>2970</v>
      </c>
      <c r="F221" s="13">
        <v>2017</v>
      </c>
      <c r="G221" s="2">
        <v>27000</v>
      </c>
      <c r="H221" s="8" t="s">
        <v>12</v>
      </c>
      <c r="I221" s="8" t="s">
        <v>13</v>
      </c>
      <c r="J221" s="8" t="s">
        <v>77</v>
      </c>
      <c r="K221" t="s">
        <v>15</v>
      </c>
      <c r="L221" t="s">
        <v>664</v>
      </c>
      <c r="M221" s="2">
        <f>VALUE(MID(L221,1,FIND("@",L221)-6))</f>
        <v>67</v>
      </c>
      <c r="N221">
        <v>5</v>
      </c>
      <c r="O221" t="str">
        <f>IF(datos_limpios[[#This Row],[Seating Capacity ]]&gt;4,"SI","NO")</f>
        <v>SI</v>
      </c>
      <c r="P221">
        <v>35</v>
      </c>
    </row>
    <row r="222" spans="1:16" x14ac:dyDescent="0.3">
      <c r="A222" s="8" t="s">
        <v>662</v>
      </c>
      <c r="B222" s="8" t="s">
        <v>710</v>
      </c>
      <c r="C222" s="9">
        <v>221</v>
      </c>
      <c r="D222" s="3">
        <v>320000</v>
      </c>
      <c r="E222" s="1">
        <f>datos_limpios[[#This Row],[Price INR   ]]*0.011</f>
        <v>3520</v>
      </c>
      <c r="F222" s="13">
        <v>2018</v>
      </c>
      <c r="G222" s="2">
        <v>42313</v>
      </c>
      <c r="H222" s="8" t="s">
        <v>12</v>
      </c>
      <c r="I222" s="8" t="s">
        <v>40</v>
      </c>
      <c r="J222" s="8" t="s">
        <v>14</v>
      </c>
      <c r="K222" t="s">
        <v>54</v>
      </c>
      <c r="L222" t="s">
        <v>55</v>
      </c>
      <c r="M222" s="2">
        <f>VALUE(MID(L222,1,FIND("@",L222)-6))</f>
        <v>67</v>
      </c>
      <c r="N222">
        <v>5</v>
      </c>
      <c r="O222" t="str">
        <f>IF(datos_limpios[[#This Row],[Seating Capacity ]]&gt;4,"SI","NO")</f>
        <v>SI</v>
      </c>
      <c r="P222">
        <v>28</v>
      </c>
    </row>
    <row r="223" spans="1:16" x14ac:dyDescent="0.3">
      <c r="A223" s="8" t="s">
        <v>662</v>
      </c>
      <c r="B223" s="8" t="s">
        <v>1116</v>
      </c>
      <c r="C223" s="9">
        <v>222</v>
      </c>
      <c r="D223" s="3">
        <v>335000</v>
      </c>
      <c r="E223" s="1">
        <f>datos_limpios[[#This Row],[Price INR   ]]*0.011</f>
        <v>3685</v>
      </c>
      <c r="F223" s="13">
        <v>2017</v>
      </c>
      <c r="G223" s="2">
        <v>34000</v>
      </c>
      <c r="H223" s="8" t="s">
        <v>12</v>
      </c>
      <c r="I223" s="8" t="s">
        <v>13</v>
      </c>
      <c r="J223" s="8" t="s">
        <v>82</v>
      </c>
      <c r="K223" t="s">
        <v>15</v>
      </c>
      <c r="L223" t="s">
        <v>664</v>
      </c>
      <c r="M223" s="2">
        <f>VALUE(MID(L223,1,FIND("@",L223)-6))</f>
        <v>67</v>
      </c>
      <c r="N223">
        <v>7</v>
      </c>
      <c r="O223" t="str">
        <f>IF(datos_limpios[[#This Row],[Seating Capacity ]]&gt;4,"SI","NO")</f>
        <v>SI</v>
      </c>
      <c r="P223">
        <v>35</v>
      </c>
    </row>
    <row r="224" spans="1:16" x14ac:dyDescent="0.3">
      <c r="A224" s="8" t="s">
        <v>662</v>
      </c>
      <c r="B224" s="8" t="s">
        <v>842</v>
      </c>
      <c r="C224" s="9">
        <v>223</v>
      </c>
      <c r="D224" s="3">
        <v>345000</v>
      </c>
      <c r="E224" s="1">
        <f>datos_limpios[[#This Row],[Price INR   ]]*0.011</f>
        <v>3795</v>
      </c>
      <c r="F224" s="13">
        <v>2019</v>
      </c>
      <c r="G224" s="2">
        <v>60969</v>
      </c>
      <c r="H224" s="8" t="s">
        <v>12</v>
      </c>
      <c r="I224" s="8" t="s">
        <v>13</v>
      </c>
      <c r="J224" s="8" t="s">
        <v>77</v>
      </c>
      <c r="K224" t="s">
        <v>15</v>
      </c>
      <c r="L224" t="s">
        <v>664</v>
      </c>
      <c r="M224" s="2">
        <f>VALUE(MID(L224,1,FIND("@",L224)-6))</f>
        <v>67</v>
      </c>
      <c r="N224">
        <v>5</v>
      </c>
      <c r="O224" t="str">
        <f>IF(datos_limpios[[#This Row],[Seating Capacity ]]&gt;4,"SI","NO")</f>
        <v>SI</v>
      </c>
      <c r="P224">
        <v>35</v>
      </c>
    </row>
    <row r="225" spans="1:16" x14ac:dyDescent="0.3">
      <c r="A225" s="8" t="s">
        <v>662</v>
      </c>
      <c r="B225" s="8" t="s">
        <v>1172</v>
      </c>
      <c r="C225" s="9">
        <v>224</v>
      </c>
      <c r="D225" s="3">
        <v>425000</v>
      </c>
      <c r="E225" s="1">
        <f>datos_limpios[[#This Row],[Price INR   ]]*0.011</f>
        <v>4675</v>
      </c>
      <c r="F225" s="13">
        <v>2020</v>
      </c>
      <c r="G225" s="2">
        <v>7520</v>
      </c>
      <c r="H225" s="8" t="s">
        <v>12</v>
      </c>
      <c r="I225" s="8" t="s">
        <v>13</v>
      </c>
      <c r="J225" s="8" t="s">
        <v>30</v>
      </c>
      <c r="K225" t="s">
        <v>54</v>
      </c>
      <c r="L225" t="s">
        <v>55</v>
      </c>
      <c r="M225" s="2">
        <f>VALUE(MID(L225,1,FIND("@",L225)-6))</f>
        <v>67</v>
      </c>
      <c r="N225">
        <v>5</v>
      </c>
      <c r="O225" t="str">
        <f>IF(datos_limpios[[#This Row],[Seating Capacity ]]&gt;4,"SI","NO")</f>
        <v>SI</v>
      </c>
      <c r="P225">
        <v>28</v>
      </c>
    </row>
    <row r="226" spans="1:16" x14ac:dyDescent="0.3">
      <c r="A226" s="8" t="s">
        <v>638</v>
      </c>
      <c r="B226" s="8" t="s">
        <v>639</v>
      </c>
      <c r="C226" s="9">
        <v>225</v>
      </c>
      <c r="D226" s="3">
        <v>35000000</v>
      </c>
      <c r="E226" s="1">
        <f>datos_limpios[[#This Row],[Price INR   ]]*0.011</f>
        <v>385000</v>
      </c>
      <c r="F226" s="13">
        <v>2018</v>
      </c>
      <c r="G226" s="2">
        <v>9500</v>
      </c>
      <c r="H226" s="8" t="s">
        <v>12</v>
      </c>
      <c r="I226" s="8" t="s">
        <v>40</v>
      </c>
      <c r="J226" s="8" t="s">
        <v>101</v>
      </c>
      <c r="K226" t="s">
        <v>640</v>
      </c>
      <c r="L226" t="s">
        <v>641</v>
      </c>
      <c r="M226" s="2">
        <f>VALUE(MID(L226,1,FIND("@",L226)-6))</f>
        <v>660</v>
      </c>
      <c r="N226">
        <v>2</v>
      </c>
      <c r="O226" t="str">
        <f>IF(datos_limpios[[#This Row],[Seating Capacity ]]&gt;4,"SI","NO")</f>
        <v>NO</v>
      </c>
      <c r="P226">
        <v>78</v>
      </c>
    </row>
    <row r="227" spans="1:16" x14ac:dyDescent="0.3">
      <c r="A227" s="8" t="s">
        <v>527</v>
      </c>
      <c r="B227" s="8" t="s">
        <v>528</v>
      </c>
      <c r="C227" s="9">
        <v>226</v>
      </c>
      <c r="D227" s="3">
        <v>235000</v>
      </c>
      <c r="E227" s="1">
        <f>datos_limpios[[#This Row],[Price INR   ]]*0.011</f>
        <v>2585</v>
      </c>
      <c r="F227" s="13">
        <v>2011</v>
      </c>
      <c r="G227" s="2">
        <v>54000</v>
      </c>
      <c r="H227" s="8" t="s">
        <v>12</v>
      </c>
      <c r="I227" s="8" t="s">
        <v>13</v>
      </c>
      <c r="J227" s="8" t="s">
        <v>101</v>
      </c>
      <c r="K227" t="s">
        <v>496</v>
      </c>
      <c r="L227" t="s">
        <v>1492</v>
      </c>
      <c r="M227" s="2">
        <f>VALUE(MID(L227,1,FIND("@",L227)-6))</f>
        <v>90</v>
      </c>
      <c r="N227">
        <v>5</v>
      </c>
      <c r="O227" t="str">
        <f>IF(datos_limpios[[#This Row],[Seating Capacity ]]&gt;4,"SI","NO")</f>
        <v>SI</v>
      </c>
      <c r="P227">
        <v>45</v>
      </c>
    </row>
    <row r="228" spans="1:16" x14ac:dyDescent="0.3">
      <c r="A228" s="8" t="s">
        <v>527</v>
      </c>
      <c r="B228" s="8" t="s">
        <v>971</v>
      </c>
      <c r="C228" s="9">
        <v>227</v>
      </c>
      <c r="D228" s="3">
        <v>375000</v>
      </c>
      <c r="E228" s="1">
        <f>datos_limpios[[#This Row],[Price INR   ]]*0.011</f>
        <v>4125</v>
      </c>
      <c r="F228" s="13">
        <v>2014</v>
      </c>
      <c r="G228" s="2">
        <v>71000</v>
      </c>
      <c r="H228" s="8" t="s">
        <v>19</v>
      </c>
      <c r="I228" s="8" t="s">
        <v>13</v>
      </c>
      <c r="J228" s="8" t="s">
        <v>25</v>
      </c>
      <c r="K228" t="s">
        <v>21</v>
      </c>
      <c r="L228" t="s">
        <v>972</v>
      </c>
      <c r="M228" s="2">
        <f>VALUE(MID(L228,1,FIND("@",L228)-6))</f>
        <v>75</v>
      </c>
      <c r="N228">
        <v>5</v>
      </c>
      <c r="O228" t="str">
        <f>IF(datos_limpios[[#This Row],[Seating Capacity ]]&gt;4,"SI","NO")</f>
        <v>SI</v>
      </c>
      <c r="P228">
        <v>45</v>
      </c>
    </row>
    <row r="229" spans="1:16" x14ac:dyDescent="0.3">
      <c r="A229" s="8" t="s">
        <v>104</v>
      </c>
      <c r="B229" s="8" t="s">
        <v>1081</v>
      </c>
      <c r="C229" s="9">
        <v>228</v>
      </c>
      <c r="D229" s="3">
        <v>145000</v>
      </c>
      <c r="E229" s="1">
        <f>datos_limpios[[#This Row],[Price INR   ]]*0.011</f>
        <v>1595</v>
      </c>
      <c r="F229" s="13">
        <v>2009</v>
      </c>
      <c r="G229" s="2">
        <v>88000</v>
      </c>
      <c r="H229" s="8" t="s">
        <v>19</v>
      </c>
      <c r="I229" s="8" t="s">
        <v>13</v>
      </c>
      <c r="J229" s="8" t="s">
        <v>20</v>
      </c>
      <c r="K229" t="s">
        <v>190</v>
      </c>
      <c r="L229" t="s">
        <v>1535</v>
      </c>
      <c r="M229" s="2">
        <f>VALUE(MID(L229,1,FIND("@",L229)-6))</f>
        <v>68</v>
      </c>
      <c r="N229">
        <v>5</v>
      </c>
      <c r="O229" t="str">
        <f>IF(datos_limpios[[#This Row],[Seating Capacity ]]&gt;4,"SI","NO")</f>
        <v>SI</v>
      </c>
      <c r="P229">
        <v>43</v>
      </c>
    </row>
    <row r="230" spans="1:16" x14ac:dyDescent="0.3">
      <c r="A230" s="8" t="s">
        <v>104</v>
      </c>
      <c r="B230" s="8" t="s">
        <v>255</v>
      </c>
      <c r="C230" s="9">
        <v>229</v>
      </c>
      <c r="D230" s="3">
        <v>225000</v>
      </c>
      <c r="E230" s="1">
        <f>datos_limpios[[#This Row],[Price INR   ]]*0.011</f>
        <v>2475</v>
      </c>
      <c r="F230" s="13">
        <v>2013</v>
      </c>
      <c r="G230" s="2">
        <v>87000</v>
      </c>
      <c r="H230" s="8" t="s">
        <v>19</v>
      </c>
      <c r="I230" s="8" t="s">
        <v>13</v>
      </c>
      <c r="J230" s="8" t="s">
        <v>14</v>
      </c>
      <c r="K230" t="s">
        <v>190</v>
      </c>
      <c r="L230" t="s">
        <v>191</v>
      </c>
      <c r="M230" s="2">
        <f>VALUE(MID(L230,1,FIND("@",L230)-6))</f>
        <v>68</v>
      </c>
      <c r="N230">
        <v>5</v>
      </c>
      <c r="O230" t="str">
        <f>IF(datos_limpios[[#This Row],[Seating Capacity ]]&gt;4,"SI","NO")</f>
        <v>SI</v>
      </c>
      <c r="P230">
        <v>45</v>
      </c>
    </row>
    <row r="231" spans="1:16" x14ac:dyDescent="0.3">
      <c r="A231" s="8" t="s">
        <v>104</v>
      </c>
      <c r="B231" s="8" t="s">
        <v>255</v>
      </c>
      <c r="C231" s="9">
        <v>230</v>
      </c>
      <c r="D231" s="3">
        <v>235000</v>
      </c>
      <c r="E231" s="1">
        <f>datos_limpios[[#This Row],[Price INR   ]]*0.011</f>
        <v>2585</v>
      </c>
      <c r="F231" s="13">
        <v>2014</v>
      </c>
      <c r="G231" s="2">
        <v>82000</v>
      </c>
      <c r="H231" s="8" t="s">
        <v>19</v>
      </c>
      <c r="I231" s="8" t="s">
        <v>13</v>
      </c>
      <c r="J231" s="8" t="s">
        <v>20</v>
      </c>
      <c r="K231" t="s">
        <v>190</v>
      </c>
      <c r="L231" t="s">
        <v>191</v>
      </c>
      <c r="M231" s="2">
        <f>VALUE(MID(L231,1,FIND("@",L231)-6))</f>
        <v>68</v>
      </c>
      <c r="N231">
        <v>5</v>
      </c>
      <c r="O231" t="str">
        <f>IF(datos_limpios[[#This Row],[Seating Capacity ]]&gt;4,"SI","NO")</f>
        <v>SI</v>
      </c>
      <c r="P231">
        <v>45</v>
      </c>
    </row>
    <row r="232" spans="1:16" x14ac:dyDescent="0.3">
      <c r="A232" s="8" t="s">
        <v>104</v>
      </c>
      <c r="B232" s="8" t="s">
        <v>189</v>
      </c>
      <c r="C232" s="9">
        <v>231</v>
      </c>
      <c r="D232" s="3">
        <v>240000</v>
      </c>
      <c r="E232" s="1">
        <f>datos_limpios[[#This Row],[Price INR   ]]*0.011</f>
        <v>2640</v>
      </c>
      <c r="F232" s="13">
        <v>2010</v>
      </c>
      <c r="G232" s="2">
        <v>72000</v>
      </c>
      <c r="H232" s="8" t="s">
        <v>19</v>
      </c>
      <c r="I232" s="8" t="s">
        <v>13</v>
      </c>
      <c r="J232" s="8" t="s">
        <v>20</v>
      </c>
      <c r="K232" t="s">
        <v>190</v>
      </c>
      <c r="L232" t="s">
        <v>1534</v>
      </c>
      <c r="M232" s="2">
        <f>VALUE(MID(L232,1,FIND("@",L232)-6))</f>
        <v>69</v>
      </c>
      <c r="N232">
        <v>5</v>
      </c>
      <c r="O232" t="str">
        <f>IF(datos_limpios[[#This Row],[Seating Capacity ]]&gt;4,"SI","NO")</f>
        <v>SI</v>
      </c>
      <c r="P232">
        <v>45</v>
      </c>
    </row>
    <row r="233" spans="1:16" x14ac:dyDescent="0.3">
      <c r="A233" s="8" t="s">
        <v>104</v>
      </c>
      <c r="B233" s="8" t="s">
        <v>1442</v>
      </c>
      <c r="C233" s="9">
        <v>232</v>
      </c>
      <c r="D233" s="3">
        <v>240000</v>
      </c>
      <c r="E233" s="1">
        <f>datos_limpios[[#This Row],[Price INR   ]]*0.011</f>
        <v>2640</v>
      </c>
      <c r="F233" s="13">
        <v>2013</v>
      </c>
      <c r="G233" s="2">
        <v>73000</v>
      </c>
      <c r="H233" s="8" t="s">
        <v>12</v>
      </c>
      <c r="I233" s="8" t="s">
        <v>13</v>
      </c>
      <c r="J233" s="8" t="s">
        <v>77</v>
      </c>
      <c r="K233" t="s">
        <v>171</v>
      </c>
      <c r="L233" t="s">
        <v>591</v>
      </c>
      <c r="M233" s="2">
        <f>VALUE(MID(L233,1,FIND("@",L233)-6))</f>
        <v>70</v>
      </c>
      <c r="N233">
        <v>5</v>
      </c>
      <c r="O233" t="str">
        <f>IF(datos_limpios[[#This Row],[Seating Capacity ]]&gt;4,"SI","NO")</f>
        <v>SI</v>
      </c>
      <c r="P233">
        <v>45</v>
      </c>
    </row>
    <row r="234" spans="1:16" x14ac:dyDescent="0.3">
      <c r="A234" s="8" t="s">
        <v>104</v>
      </c>
      <c r="B234" s="8" t="s">
        <v>590</v>
      </c>
      <c r="C234" s="9">
        <v>233</v>
      </c>
      <c r="D234" s="3">
        <v>270000</v>
      </c>
      <c r="E234" s="1">
        <f>datos_limpios[[#This Row],[Price INR   ]]*0.011</f>
        <v>2970</v>
      </c>
      <c r="F234" s="13">
        <v>2015</v>
      </c>
      <c r="G234" s="2">
        <v>64000</v>
      </c>
      <c r="H234" s="8" t="s">
        <v>12</v>
      </c>
      <c r="I234" s="8" t="s">
        <v>13</v>
      </c>
      <c r="J234" s="8" t="s">
        <v>14</v>
      </c>
      <c r="K234" t="s">
        <v>171</v>
      </c>
      <c r="L234" t="s">
        <v>591</v>
      </c>
      <c r="M234" s="2">
        <f>VALUE(MID(L234,1,FIND("@",L234)-6))</f>
        <v>70</v>
      </c>
      <c r="N234">
        <v>5</v>
      </c>
      <c r="O234" t="str">
        <f>IF(datos_limpios[[#This Row],[Seating Capacity ]]&gt;4,"SI","NO")</f>
        <v>SI</v>
      </c>
      <c r="P234">
        <v>45</v>
      </c>
    </row>
    <row r="235" spans="1:16" x14ac:dyDescent="0.3">
      <c r="A235" s="8" t="s">
        <v>104</v>
      </c>
      <c r="B235" s="8" t="s">
        <v>512</v>
      </c>
      <c r="C235" s="9">
        <v>234</v>
      </c>
      <c r="D235" s="3">
        <v>285000</v>
      </c>
      <c r="E235" s="1">
        <f>datos_limpios[[#This Row],[Price INR   ]]*0.011</f>
        <v>3135</v>
      </c>
      <c r="F235" s="13">
        <v>2013</v>
      </c>
      <c r="G235" s="2">
        <v>72000</v>
      </c>
      <c r="H235" s="8" t="s">
        <v>19</v>
      </c>
      <c r="I235" s="8" t="s">
        <v>13</v>
      </c>
      <c r="J235" s="8" t="s">
        <v>77</v>
      </c>
      <c r="K235" t="s">
        <v>196</v>
      </c>
      <c r="L235" t="s">
        <v>503</v>
      </c>
      <c r="M235" s="2">
        <f>VALUE(MID(L235,1,FIND("@",L235)-6))</f>
        <v>89</v>
      </c>
      <c r="N235">
        <v>5</v>
      </c>
      <c r="O235" t="str">
        <f>IF(datos_limpios[[#This Row],[Seating Capacity ]]&gt;4,"SI","NO")</f>
        <v>SI</v>
      </c>
      <c r="P235">
        <v>52</v>
      </c>
    </row>
    <row r="236" spans="1:16" x14ac:dyDescent="0.3">
      <c r="A236" s="8" t="s">
        <v>104</v>
      </c>
      <c r="B236" s="8" t="s">
        <v>502</v>
      </c>
      <c r="C236" s="9">
        <v>235</v>
      </c>
      <c r="D236" s="3">
        <v>295000</v>
      </c>
      <c r="E236" s="1">
        <f>datos_limpios[[#This Row],[Price INR   ]]*0.011</f>
        <v>3245</v>
      </c>
      <c r="F236" s="13">
        <v>2013</v>
      </c>
      <c r="G236" s="2">
        <v>74000</v>
      </c>
      <c r="H236" s="8" t="s">
        <v>19</v>
      </c>
      <c r="I236" s="8" t="s">
        <v>13</v>
      </c>
      <c r="J236" s="8" t="s">
        <v>25</v>
      </c>
      <c r="K236" t="s">
        <v>196</v>
      </c>
      <c r="L236" t="s">
        <v>503</v>
      </c>
      <c r="M236" s="2">
        <f>VALUE(MID(L236,1,FIND("@",L236)-6))</f>
        <v>89</v>
      </c>
      <c r="N236">
        <v>5</v>
      </c>
      <c r="O236" t="str">
        <f>IF(datos_limpios[[#This Row],[Seating Capacity ]]&gt;4,"SI","NO")</f>
        <v>SI</v>
      </c>
      <c r="P236">
        <v>43</v>
      </c>
    </row>
    <row r="237" spans="1:16" x14ac:dyDescent="0.3">
      <c r="A237" s="8" t="s">
        <v>104</v>
      </c>
      <c r="B237" s="8" t="s">
        <v>189</v>
      </c>
      <c r="C237" s="9">
        <v>236</v>
      </c>
      <c r="D237" s="3">
        <v>299000</v>
      </c>
      <c r="E237" s="1">
        <f>datos_limpios[[#This Row],[Price INR   ]]*0.011</f>
        <v>3289</v>
      </c>
      <c r="F237" s="13">
        <v>2013</v>
      </c>
      <c r="G237" s="2">
        <v>64983</v>
      </c>
      <c r="H237" s="8" t="s">
        <v>19</v>
      </c>
      <c r="I237" s="8" t="s">
        <v>13</v>
      </c>
      <c r="J237" s="8" t="s">
        <v>30</v>
      </c>
      <c r="K237" t="s">
        <v>190</v>
      </c>
      <c r="L237" t="s">
        <v>191</v>
      </c>
      <c r="M237" s="2">
        <f>VALUE(MID(L237,1,FIND("@",L237)-6))</f>
        <v>68</v>
      </c>
      <c r="N237">
        <v>5</v>
      </c>
      <c r="O237" t="str">
        <f>IF(datos_limpios[[#This Row],[Seating Capacity ]]&gt;4,"SI","NO")</f>
        <v>SI</v>
      </c>
      <c r="P237">
        <v>45</v>
      </c>
    </row>
    <row r="238" spans="1:16" x14ac:dyDescent="0.3">
      <c r="A238" s="8" t="s">
        <v>104</v>
      </c>
      <c r="B238" s="8" t="s">
        <v>1418</v>
      </c>
      <c r="C238" s="9">
        <v>237</v>
      </c>
      <c r="D238" s="3">
        <v>350000</v>
      </c>
      <c r="E238" s="1">
        <f>datos_limpios[[#This Row],[Price INR   ]]*0.011</f>
        <v>3850</v>
      </c>
      <c r="F238" s="13">
        <v>2012</v>
      </c>
      <c r="G238" s="2">
        <v>85000</v>
      </c>
      <c r="H238" s="8" t="s">
        <v>19</v>
      </c>
      <c r="I238" s="8" t="s">
        <v>13</v>
      </c>
      <c r="J238" s="8" t="s">
        <v>77</v>
      </c>
      <c r="K238" t="s">
        <v>196</v>
      </c>
      <c r="L238" t="s">
        <v>503</v>
      </c>
      <c r="M238" s="2">
        <f>VALUE(MID(L238,1,FIND("@",L238)-6))</f>
        <v>89</v>
      </c>
      <c r="N238">
        <v>5</v>
      </c>
      <c r="O238" t="str">
        <f>IF(datos_limpios[[#This Row],[Seating Capacity ]]&gt;4,"SI","NO")</f>
        <v>SI</v>
      </c>
      <c r="P238">
        <v>40</v>
      </c>
    </row>
    <row r="239" spans="1:16" x14ac:dyDescent="0.3">
      <c r="A239" s="8" t="s">
        <v>104</v>
      </c>
      <c r="B239" s="8" t="s">
        <v>512</v>
      </c>
      <c r="C239" s="9">
        <v>238</v>
      </c>
      <c r="D239" s="3">
        <v>399000</v>
      </c>
      <c r="E239" s="1">
        <f>datos_limpios[[#This Row],[Price INR   ]]*0.011</f>
        <v>4389</v>
      </c>
      <c r="F239" s="13">
        <v>2013</v>
      </c>
      <c r="G239" s="2">
        <v>54000</v>
      </c>
      <c r="H239" s="8" t="s">
        <v>19</v>
      </c>
      <c r="I239" s="8" t="s">
        <v>13</v>
      </c>
      <c r="J239" s="8" t="s">
        <v>62</v>
      </c>
      <c r="K239" t="s">
        <v>196</v>
      </c>
      <c r="L239" t="s">
        <v>503</v>
      </c>
      <c r="M239" s="2">
        <f>VALUE(MID(L239,1,FIND("@",L239)-6))</f>
        <v>89</v>
      </c>
      <c r="N239">
        <v>5</v>
      </c>
      <c r="O239" t="str">
        <f>IF(datos_limpios[[#This Row],[Seating Capacity ]]&gt;4,"SI","NO")</f>
        <v>SI</v>
      </c>
      <c r="P239">
        <v>52</v>
      </c>
    </row>
    <row r="240" spans="1:16" x14ac:dyDescent="0.3">
      <c r="A240" s="8" t="s">
        <v>104</v>
      </c>
      <c r="B240" s="8" t="s">
        <v>814</v>
      </c>
      <c r="C240" s="9">
        <v>239</v>
      </c>
      <c r="D240" s="3">
        <v>434999</v>
      </c>
      <c r="E240" s="1">
        <f>datos_limpios[[#This Row],[Price INR   ]]*0.011</f>
        <v>4784.9889999999996</v>
      </c>
      <c r="F240" s="13">
        <v>2017</v>
      </c>
      <c r="G240" s="2">
        <v>23000</v>
      </c>
      <c r="H240" s="8" t="s">
        <v>12</v>
      </c>
      <c r="I240" s="8" t="s">
        <v>13</v>
      </c>
      <c r="J240" s="8" t="s">
        <v>20</v>
      </c>
      <c r="K240" t="s">
        <v>171</v>
      </c>
      <c r="L240" t="s">
        <v>815</v>
      </c>
      <c r="M240" s="2">
        <f>VALUE(MID(L240,1,FIND("@",L240)-6))</f>
        <v>87</v>
      </c>
      <c r="N240">
        <v>5</v>
      </c>
      <c r="O240" t="str">
        <f>IF(datos_limpios[[#This Row],[Seating Capacity ]]&gt;4,"SI","NO")</f>
        <v>SI</v>
      </c>
      <c r="P240">
        <v>42</v>
      </c>
    </row>
    <row r="241" spans="1:16" x14ac:dyDescent="0.3">
      <c r="A241" s="8" t="s">
        <v>104</v>
      </c>
      <c r="B241" s="8" t="s">
        <v>542</v>
      </c>
      <c r="C241" s="9">
        <v>240</v>
      </c>
      <c r="D241" s="3">
        <v>445000</v>
      </c>
      <c r="E241" s="1">
        <f>datos_limpios[[#This Row],[Price INR   ]]*0.011</f>
        <v>4895</v>
      </c>
      <c r="F241" s="13">
        <v>2014</v>
      </c>
      <c r="G241" s="2">
        <v>38985</v>
      </c>
      <c r="H241" s="8" t="s">
        <v>19</v>
      </c>
      <c r="I241" s="8" t="s">
        <v>13</v>
      </c>
      <c r="J241" s="8" t="s">
        <v>77</v>
      </c>
      <c r="K241" t="s">
        <v>196</v>
      </c>
      <c r="L241" t="s">
        <v>338</v>
      </c>
      <c r="M241" s="2">
        <f>VALUE(MID(L241,1,FIND("@",L241)-6))</f>
        <v>99</v>
      </c>
      <c r="N241">
        <v>5</v>
      </c>
      <c r="O241" t="str">
        <f>IF(datos_limpios[[#This Row],[Seating Capacity ]]&gt;4,"SI","NO")</f>
        <v>SI</v>
      </c>
      <c r="P241">
        <v>52</v>
      </c>
    </row>
    <row r="242" spans="1:16" x14ac:dyDescent="0.3">
      <c r="A242" s="8" t="s">
        <v>104</v>
      </c>
      <c r="B242" s="8" t="s">
        <v>623</v>
      </c>
      <c r="C242" s="9">
        <v>241</v>
      </c>
      <c r="D242" s="3">
        <v>450000</v>
      </c>
      <c r="E242" s="1">
        <f>datos_limpios[[#This Row],[Price INR   ]]*0.011</f>
        <v>4950</v>
      </c>
      <c r="F242" s="13">
        <v>2016</v>
      </c>
      <c r="G242" s="2">
        <v>44613</v>
      </c>
      <c r="H242" s="8" t="s">
        <v>19</v>
      </c>
      <c r="I242" s="8" t="s">
        <v>13</v>
      </c>
      <c r="J242" s="8" t="s">
        <v>77</v>
      </c>
      <c r="K242" t="s">
        <v>196</v>
      </c>
      <c r="L242" t="s">
        <v>338</v>
      </c>
      <c r="M242" s="2">
        <f>VALUE(MID(L242,1,FIND("@",L242)-6))</f>
        <v>99</v>
      </c>
      <c r="N242">
        <v>5</v>
      </c>
      <c r="O242" t="str">
        <f>IF(datos_limpios[[#This Row],[Seating Capacity ]]&gt;4,"SI","NO")</f>
        <v>SI</v>
      </c>
      <c r="P242">
        <v>40</v>
      </c>
    </row>
    <row r="243" spans="1:16" x14ac:dyDescent="0.3">
      <c r="A243" s="8" t="s">
        <v>104</v>
      </c>
      <c r="B243" s="8" t="s">
        <v>693</v>
      </c>
      <c r="C243" s="9">
        <v>242</v>
      </c>
      <c r="D243" s="3">
        <v>455000</v>
      </c>
      <c r="E243" s="1">
        <f>datos_limpios[[#This Row],[Price INR   ]]*0.011</f>
        <v>5005</v>
      </c>
      <c r="F243" s="13">
        <v>2014</v>
      </c>
      <c r="G243" s="2">
        <v>50000</v>
      </c>
      <c r="H243" s="8" t="s">
        <v>12</v>
      </c>
      <c r="I243" s="8" t="s">
        <v>13</v>
      </c>
      <c r="J243" s="8" t="s">
        <v>20</v>
      </c>
      <c r="K243" t="s">
        <v>694</v>
      </c>
      <c r="L243" t="s">
        <v>695</v>
      </c>
      <c r="M243" s="2">
        <f>VALUE(MID(L243,1,FIND("@",L243)-6))</f>
        <v>109</v>
      </c>
      <c r="N243">
        <v>5</v>
      </c>
      <c r="O243" t="str">
        <f>IF(datos_limpios[[#This Row],[Seating Capacity ]]&gt;4,"SI","NO")</f>
        <v>SI</v>
      </c>
      <c r="P243">
        <v>52</v>
      </c>
    </row>
    <row r="244" spans="1:16" x14ac:dyDescent="0.3">
      <c r="A244" s="8" t="s">
        <v>104</v>
      </c>
      <c r="B244" s="8" t="s">
        <v>997</v>
      </c>
      <c r="C244" s="9">
        <v>243</v>
      </c>
      <c r="D244" s="3">
        <v>465000</v>
      </c>
      <c r="E244" s="1">
        <f>datos_limpios[[#This Row],[Price INR   ]]*0.011</f>
        <v>5115</v>
      </c>
      <c r="F244" s="13">
        <v>2015</v>
      </c>
      <c r="G244" s="2">
        <v>89000</v>
      </c>
      <c r="H244" s="8" t="s">
        <v>19</v>
      </c>
      <c r="I244" s="8" t="s">
        <v>13</v>
      </c>
      <c r="J244" s="8" t="s">
        <v>62</v>
      </c>
      <c r="K244" t="s">
        <v>196</v>
      </c>
      <c r="L244" t="s">
        <v>338</v>
      </c>
      <c r="M244" s="2">
        <f>VALUE(MID(L244,1,FIND("@",L244)-6))</f>
        <v>99</v>
      </c>
      <c r="N244">
        <v>5</v>
      </c>
      <c r="O244" t="str">
        <f>IF(datos_limpios[[#This Row],[Seating Capacity ]]&gt;4,"SI","NO")</f>
        <v>SI</v>
      </c>
      <c r="P244">
        <v>40</v>
      </c>
    </row>
    <row r="245" spans="1:16" x14ac:dyDescent="0.3">
      <c r="A245" s="8" t="s">
        <v>104</v>
      </c>
      <c r="B245" s="8" t="s">
        <v>1297</v>
      </c>
      <c r="C245" s="9">
        <v>244</v>
      </c>
      <c r="D245" s="3">
        <v>475000</v>
      </c>
      <c r="E245" s="1">
        <f>datos_limpios[[#This Row],[Price INR   ]]*0.011</f>
        <v>5225</v>
      </c>
      <c r="F245" s="13">
        <v>2016</v>
      </c>
      <c r="G245" s="2">
        <v>69001</v>
      </c>
      <c r="H245" s="8" t="s">
        <v>12</v>
      </c>
      <c r="I245" s="8" t="s">
        <v>13</v>
      </c>
      <c r="J245" s="8" t="s">
        <v>20</v>
      </c>
      <c r="K245" t="s">
        <v>694</v>
      </c>
      <c r="L245" t="s">
        <v>1298</v>
      </c>
      <c r="M245" s="2">
        <f>VALUE(MID(L245,1,FIND("@",L245)-6))</f>
        <v>110</v>
      </c>
      <c r="N245">
        <v>5</v>
      </c>
      <c r="O245" t="str">
        <f>IF(datos_limpios[[#This Row],[Seating Capacity ]]&gt;4,"SI","NO")</f>
        <v>SI</v>
      </c>
      <c r="P245">
        <v>52</v>
      </c>
    </row>
    <row r="246" spans="1:16" x14ac:dyDescent="0.3">
      <c r="A246" s="8" t="s">
        <v>104</v>
      </c>
      <c r="B246" s="8" t="s">
        <v>512</v>
      </c>
      <c r="C246" s="9">
        <v>245</v>
      </c>
      <c r="D246" s="3">
        <v>480000</v>
      </c>
      <c r="E246" s="1">
        <f>datos_limpios[[#This Row],[Price INR   ]]*0.011</f>
        <v>5280</v>
      </c>
      <c r="F246" s="13">
        <v>2014</v>
      </c>
      <c r="G246" s="2">
        <v>115000</v>
      </c>
      <c r="H246" s="8" t="s">
        <v>19</v>
      </c>
      <c r="I246" s="8" t="s">
        <v>13</v>
      </c>
      <c r="J246" s="8" t="s">
        <v>20</v>
      </c>
      <c r="K246" t="s">
        <v>196</v>
      </c>
      <c r="L246" t="s">
        <v>503</v>
      </c>
      <c r="M246" s="2">
        <f>VALUE(MID(L246,1,FIND("@",L246)-6))</f>
        <v>89</v>
      </c>
      <c r="N246">
        <v>5</v>
      </c>
      <c r="O246" t="str">
        <f>IF(datos_limpios[[#This Row],[Seating Capacity ]]&gt;4,"SI","NO")</f>
        <v>SI</v>
      </c>
      <c r="P246">
        <v>52</v>
      </c>
    </row>
    <row r="247" spans="1:16" x14ac:dyDescent="0.3">
      <c r="A247" s="8" t="s">
        <v>104</v>
      </c>
      <c r="B247" s="8" t="s">
        <v>1415</v>
      </c>
      <c r="C247" s="9">
        <v>246</v>
      </c>
      <c r="D247" s="3">
        <v>530000</v>
      </c>
      <c r="E247" s="1">
        <f>datos_limpios[[#This Row],[Price INR   ]]*0.011</f>
        <v>5830</v>
      </c>
      <c r="F247" s="13">
        <v>2013</v>
      </c>
      <c r="G247" s="2">
        <v>75000</v>
      </c>
      <c r="H247" s="8" t="s">
        <v>19</v>
      </c>
      <c r="I247" s="8" t="s">
        <v>13</v>
      </c>
      <c r="J247" s="8" t="s">
        <v>20</v>
      </c>
      <c r="K247" t="s">
        <v>196</v>
      </c>
      <c r="L247" t="s">
        <v>503</v>
      </c>
      <c r="M247" s="2">
        <f>VALUE(MID(L247,1,FIND("@",L247)-6))</f>
        <v>89</v>
      </c>
      <c r="N247">
        <v>5</v>
      </c>
      <c r="O247" t="str">
        <f>IF(datos_limpios[[#This Row],[Seating Capacity ]]&gt;4,"SI","NO")</f>
        <v>SI</v>
      </c>
      <c r="P247">
        <v>52</v>
      </c>
    </row>
    <row r="248" spans="1:16" x14ac:dyDescent="0.3">
      <c r="A248" s="8" t="s">
        <v>104</v>
      </c>
      <c r="B248" s="8" t="s">
        <v>105</v>
      </c>
      <c r="C248" s="9">
        <v>247</v>
      </c>
      <c r="D248" s="3">
        <v>535000</v>
      </c>
      <c r="E248" s="1">
        <f>datos_limpios[[#This Row],[Price INR   ]]*0.011</f>
        <v>5885</v>
      </c>
      <c r="F248" s="13">
        <v>2015</v>
      </c>
      <c r="G248" s="2">
        <v>28000</v>
      </c>
      <c r="H248" s="8" t="s">
        <v>12</v>
      </c>
      <c r="I248" s="8" t="s">
        <v>13</v>
      </c>
      <c r="J248" s="8" t="s">
        <v>77</v>
      </c>
      <c r="K248" t="s">
        <v>54</v>
      </c>
      <c r="L248" t="s">
        <v>106</v>
      </c>
      <c r="M248" s="2">
        <f>VALUE(MID(L248,1,FIND("@",L248)-6))</f>
        <v>124</v>
      </c>
      <c r="N248">
        <v>5</v>
      </c>
      <c r="O248" t="str">
        <f>IF(datos_limpios[[#This Row],[Seating Capacity ]]&gt;4,"SI","NO")</f>
        <v>SI</v>
      </c>
      <c r="P248">
        <v>52</v>
      </c>
    </row>
    <row r="249" spans="1:16" x14ac:dyDescent="0.3">
      <c r="A249" s="8" t="s">
        <v>104</v>
      </c>
      <c r="B249" s="8" t="s">
        <v>1071</v>
      </c>
      <c r="C249" s="9">
        <v>248</v>
      </c>
      <c r="D249" s="3">
        <v>550000</v>
      </c>
      <c r="E249" s="1">
        <f>datos_limpios[[#This Row],[Price INR   ]]*0.011</f>
        <v>6050</v>
      </c>
      <c r="F249" s="13">
        <v>2013</v>
      </c>
      <c r="G249" s="2">
        <v>47000</v>
      </c>
      <c r="H249" s="8" t="s">
        <v>12</v>
      </c>
      <c r="I249" s="8" t="s">
        <v>13</v>
      </c>
      <c r="J249" s="8" t="s">
        <v>101</v>
      </c>
      <c r="K249" t="s">
        <v>694</v>
      </c>
      <c r="L249" t="s">
        <v>695</v>
      </c>
      <c r="M249" s="2">
        <f>VALUE(MID(L249,1,FIND("@",L249)-6))</f>
        <v>109</v>
      </c>
      <c r="N249">
        <v>5</v>
      </c>
      <c r="O249" t="str">
        <f>IF(datos_limpios[[#This Row],[Seating Capacity ]]&gt;4,"SI","NO")</f>
        <v>SI</v>
      </c>
      <c r="P249">
        <v>52</v>
      </c>
    </row>
    <row r="250" spans="1:16" x14ac:dyDescent="0.3">
      <c r="A250" s="8" t="s">
        <v>104</v>
      </c>
      <c r="B250" s="8" t="s">
        <v>610</v>
      </c>
      <c r="C250" s="9">
        <v>249</v>
      </c>
      <c r="D250" s="3">
        <v>570000</v>
      </c>
      <c r="E250" s="1">
        <f>datos_limpios[[#This Row],[Price INR   ]]*0.011</f>
        <v>6270</v>
      </c>
      <c r="F250" s="13">
        <v>2016</v>
      </c>
      <c r="G250" s="2">
        <v>80000</v>
      </c>
      <c r="H250" s="8" t="s">
        <v>19</v>
      </c>
      <c r="I250" s="8" t="s">
        <v>13</v>
      </c>
      <c r="J250" s="8" t="s">
        <v>101</v>
      </c>
      <c r="K250" t="s">
        <v>196</v>
      </c>
      <c r="L250" t="s">
        <v>338</v>
      </c>
      <c r="M250" s="2">
        <f>VALUE(MID(L250,1,FIND("@",L250)-6))</f>
        <v>99</v>
      </c>
      <c r="N250">
        <v>5</v>
      </c>
      <c r="O250" t="str">
        <f>IF(datos_limpios[[#This Row],[Seating Capacity ]]&gt;4,"SI","NO")</f>
        <v>SI</v>
      </c>
      <c r="P250">
        <v>52</v>
      </c>
    </row>
    <row r="251" spans="1:16" x14ac:dyDescent="0.3">
      <c r="A251" s="8" t="s">
        <v>104</v>
      </c>
      <c r="B251" s="8" t="s">
        <v>1199</v>
      </c>
      <c r="C251" s="9">
        <v>250</v>
      </c>
      <c r="D251" s="3">
        <v>575000</v>
      </c>
      <c r="E251" s="1">
        <f>datos_limpios[[#This Row],[Price INR   ]]*0.011</f>
        <v>6325</v>
      </c>
      <c r="F251" s="13">
        <v>2019</v>
      </c>
      <c r="G251" s="2">
        <v>71569</v>
      </c>
      <c r="H251" s="8" t="s">
        <v>19</v>
      </c>
      <c r="I251" s="8" t="s">
        <v>13</v>
      </c>
      <c r="J251" s="8" t="s">
        <v>20</v>
      </c>
      <c r="K251" t="s">
        <v>196</v>
      </c>
      <c r="L251" t="s">
        <v>338</v>
      </c>
      <c r="M251" s="2">
        <f>VALUE(MID(L251,1,FIND("@",L251)-6))</f>
        <v>99</v>
      </c>
      <c r="N251">
        <v>5</v>
      </c>
      <c r="O251" t="str">
        <f>IF(datos_limpios[[#This Row],[Seating Capacity ]]&gt;4,"SI","NO")</f>
        <v>SI</v>
      </c>
      <c r="P251">
        <v>40</v>
      </c>
    </row>
    <row r="252" spans="1:16" x14ac:dyDescent="0.3">
      <c r="A252" s="8" t="s">
        <v>104</v>
      </c>
      <c r="B252" s="8" t="s">
        <v>542</v>
      </c>
      <c r="C252" s="9">
        <v>251</v>
      </c>
      <c r="D252" s="3">
        <v>585000</v>
      </c>
      <c r="E252" s="1">
        <f>datos_limpios[[#This Row],[Price INR   ]]*0.011</f>
        <v>6435</v>
      </c>
      <c r="F252" s="13">
        <v>2016</v>
      </c>
      <c r="G252" s="2">
        <v>62591</v>
      </c>
      <c r="H252" s="8" t="s">
        <v>19</v>
      </c>
      <c r="I252" s="8" t="s">
        <v>13</v>
      </c>
      <c r="J252" s="8" t="s">
        <v>77</v>
      </c>
      <c r="K252" t="s">
        <v>196</v>
      </c>
      <c r="L252" t="s">
        <v>338</v>
      </c>
      <c r="M252" s="2">
        <f>VALUE(MID(L252,1,FIND("@",L252)-6))</f>
        <v>99</v>
      </c>
      <c r="N252">
        <v>5</v>
      </c>
      <c r="O252" t="str">
        <f>IF(datos_limpios[[#This Row],[Seating Capacity ]]&gt;4,"SI","NO")</f>
        <v>SI</v>
      </c>
      <c r="P252">
        <v>52</v>
      </c>
    </row>
    <row r="253" spans="1:16" x14ac:dyDescent="0.3">
      <c r="A253" s="8" t="s">
        <v>104</v>
      </c>
      <c r="B253" s="8" t="s">
        <v>1415</v>
      </c>
      <c r="C253" s="9">
        <v>252</v>
      </c>
      <c r="D253" s="3">
        <v>595000</v>
      </c>
      <c r="E253" s="1">
        <f>datos_limpios[[#This Row],[Price INR   ]]*0.011</f>
        <v>6545</v>
      </c>
      <c r="F253" s="13">
        <v>2015</v>
      </c>
      <c r="G253" s="2">
        <v>43000</v>
      </c>
      <c r="H253" s="8" t="s">
        <v>19</v>
      </c>
      <c r="I253" s="8" t="s">
        <v>13</v>
      </c>
      <c r="J253" s="8" t="s">
        <v>77</v>
      </c>
      <c r="K253" t="s">
        <v>196</v>
      </c>
      <c r="L253" t="s">
        <v>503</v>
      </c>
      <c r="M253" s="2">
        <f>VALUE(MID(L253,1,FIND("@",L253)-6))</f>
        <v>89</v>
      </c>
      <c r="N253">
        <v>5</v>
      </c>
      <c r="O253" t="str">
        <f>IF(datos_limpios[[#This Row],[Seating Capacity ]]&gt;4,"SI","NO")</f>
        <v>SI</v>
      </c>
      <c r="P253">
        <v>52</v>
      </c>
    </row>
    <row r="254" spans="1:16" x14ac:dyDescent="0.3">
      <c r="A254" s="8" t="s">
        <v>104</v>
      </c>
      <c r="B254" s="8" t="s">
        <v>610</v>
      </c>
      <c r="C254" s="9">
        <v>253</v>
      </c>
      <c r="D254" s="3">
        <v>620000</v>
      </c>
      <c r="E254" s="1">
        <f>datos_limpios[[#This Row],[Price INR   ]]*0.011</f>
        <v>6820</v>
      </c>
      <c r="F254" s="13">
        <v>2017</v>
      </c>
      <c r="G254" s="2">
        <v>92000</v>
      </c>
      <c r="H254" s="8" t="s">
        <v>19</v>
      </c>
      <c r="I254" s="8" t="s">
        <v>13</v>
      </c>
      <c r="J254" s="8" t="s">
        <v>82</v>
      </c>
      <c r="K254" t="s">
        <v>196</v>
      </c>
      <c r="L254" t="s">
        <v>338</v>
      </c>
      <c r="M254" s="2">
        <f>VALUE(MID(L254,1,FIND("@",L254)-6))</f>
        <v>99</v>
      </c>
      <c r="N254">
        <v>5</v>
      </c>
      <c r="O254" t="str">
        <f>IF(datos_limpios[[#This Row],[Seating Capacity ]]&gt;4,"SI","NO")</f>
        <v>SI</v>
      </c>
      <c r="P254">
        <v>52</v>
      </c>
    </row>
    <row r="255" spans="1:16" x14ac:dyDescent="0.3">
      <c r="A255" s="8" t="s">
        <v>104</v>
      </c>
      <c r="B255" s="8" t="s">
        <v>867</v>
      </c>
      <c r="C255" s="9">
        <v>254</v>
      </c>
      <c r="D255" s="3">
        <v>625000</v>
      </c>
      <c r="E255" s="1">
        <f>datos_limpios[[#This Row],[Price INR   ]]*0.011</f>
        <v>6875</v>
      </c>
      <c r="F255" s="13">
        <v>2019</v>
      </c>
      <c r="G255" s="2">
        <v>48422</v>
      </c>
      <c r="H255" s="8" t="s">
        <v>12</v>
      </c>
      <c r="I255" s="8" t="s">
        <v>13</v>
      </c>
      <c r="J255" s="8" t="s">
        <v>57</v>
      </c>
      <c r="K255" t="s">
        <v>165</v>
      </c>
      <c r="L255" t="s">
        <v>868</v>
      </c>
      <c r="M255" s="2">
        <f>VALUE(MID(L255,1,FIND("@",L255)-6))</f>
        <v>121</v>
      </c>
      <c r="N255">
        <v>5</v>
      </c>
      <c r="O255" t="str">
        <f>IF(datos_limpios[[#This Row],[Seating Capacity ]]&gt;4,"SI","NO")</f>
        <v>SI</v>
      </c>
      <c r="P255">
        <v>52</v>
      </c>
    </row>
    <row r="256" spans="1:16" x14ac:dyDescent="0.3">
      <c r="A256" s="8" t="s">
        <v>104</v>
      </c>
      <c r="B256" s="8" t="s">
        <v>1176</v>
      </c>
      <c r="C256" s="9">
        <v>255</v>
      </c>
      <c r="D256" s="3">
        <v>675000</v>
      </c>
      <c r="E256" s="1">
        <f>datos_limpios[[#This Row],[Price INR   ]]*0.011</f>
        <v>7425</v>
      </c>
      <c r="F256" s="13">
        <v>2017</v>
      </c>
      <c r="G256" s="2">
        <v>81323</v>
      </c>
      <c r="H256" s="8" t="s">
        <v>19</v>
      </c>
      <c r="I256" s="8" t="s">
        <v>13</v>
      </c>
      <c r="J256" s="8" t="s">
        <v>77</v>
      </c>
      <c r="K256" t="s">
        <v>196</v>
      </c>
      <c r="L256" t="s">
        <v>338</v>
      </c>
      <c r="M256" s="2">
        <f>VALUE(MID(L256,1,FIND("@",L256)-6))</f>
        <v>99</v>
      </c>
      <c r="N256">
        <v>5</v>
      </c>
      <c r="O256" t="str">
        <f>IF(datos_limpios[[#This Row],[Seating Capacity ]]&gt;4,"SI","NO")</f>
        <v>SI</v>
      </c>
      <c r="P256">
        <v>52</v>
      </c>
    </row>
    <row r="257" spans="1:16" x14ac:dyDescent="0.3">
      <c r="A257" s="8" t="s">
        <v>104</v>
      </c>
      <c r="B257" s="8" t="s">
        <v>1374</v>
      </c>
      <c r="C257" s="9">
        <v>256</v>
      </c>
      <c r="D257" s="3">
        <v>675000</v>
      </c>
      <c r="E257" s="1">
        <f>datos_limpios[[#This Row],[Price INR   ]]*0.011</f>
        <v>7425</v>
      </c>
      <c r="F257" s="13">
        <v>2019</v>
      </c>
      <c r="G257" s="2">
        <v>35000</v>
      </c>
      <c r="H257" s="8" t="s">
        <v>19</v>
      </c>
      <c r="I257" s="8" t="s">
        <v>13</v>
      </c>
      <c r="J257" s="8" t="s">
        <v>20</v>
      </c>
      <c r="K257" t="s">
        <v>196</v>
      </c>
      <c r="L257" t="s">
        <v>338</v>
      </c>
      <c r="M257" s="2">
        <f>VALUE(MID(L257,1,FIND("@",L257)-6))</f>
        <v>99</v>
      </c>
      <c r="N257">
        <v>5</v>
      </c>
      <c r="O257" t="str">
        <f>IF(datos_limpios[[#This Row],[Seating Capacity ]]&gt;4,"SI","NO")</f>
        <v>SI</v>
      </c>
      <c r="P257">
        <v>40</v>
      </c>
    </row>
    <row r="258" spans="1:16" x14ac:dyDescent="0.3">
      <c r="A258" s="8" t="s">
        <v>104</v>
      </c>
      <c r="B258" s="8" t="s">
        <v>337</v>
      </c>
      <c r="C258" s="9">
        <v>257</v>
      </c>
      <c r="D258" s="3">
        <v>699000</v>
      </c>
      <c r="E258" s="1">
        <f>datos_limpios[[#This Row],[Price INR   ]]*0.011</f>
        <v>7689</v>
      </c>
      <c r="F258" s="13">
        <v>2017</v>
      </c>
      <c r="G258" s="2">
        <v>75000</v>
      </c>
      <c r="H258" s="8" t="s">
        <v>19</v>
      </c>
      <c r="I258" s="8" t="s">
        <v>13</v>
      </c>
      <c r="J258" s="8" t="s">
        <v>14</v>
      </c>
      <c r="K258" t="s">
        <v>196</v>
      </c>
      <c r="L258" t="s">
        <v>338</v>
      </c>
      <c r="M258" s="2">
        <f>VALUE(MID(L258,1,FIND("@",L258)-6))</f>
        <v>99</v>
      </c>
      <c r="N258">
        <v>5</v>
      </c>
      <c r="O258" t="str">
        <f>IF(datos_limpios[[#This Row],[Seating Capacity ]]&gt;4,"SI","NO")</f>
        <v>SI</v>
      </c>
      <c r="P258">
        <v>52</v>
      </c>
    </row>
    <row r="259" spans="1:16" x14ac:dyDescent="0.3">
      <c r="A259" s="8" t="s">
        <v>104</v>
      </c>
      <c r="B259" s="8" t="s">
        <v>337</v>
      </c>
      <c r="C259" s="9">
        <v>258</v>
      </c>
      <c r="D259" s="3">
        <v>745000</v>
      </c>
      <c r="E259" s="1">
        <f>datos_limpios[[#This Row],[Price INR   ]]*0.011</f>
        <v>8195</v>
      </c>
      <c r="F259" s="13">
        <v>2017</v>
      </c>
      <c r="G259" s="2">
        <v>82000</v>
      </c>
      <c r="H259" s="8" t="s">
        <v>19</v>
      </c>
      <c r="I259" s="8" t="s">
        <v>13</v>
      </c>
      <c r="J259" s="8" t="s">
        <v>20</v>
      </c>
      <c r="K259" t="s">
        <v>196</v>
      </c>
      <c r="L259" t="s">
        <v>338</v>
      </c>
      <c r="M259" s="2">
        <f>VALUE(MID(L259,1,FIND("@",L259)-6))</f>
        <v>99</v>
      </c>
      <c r="N259">
        <v>5</v>
      </c>
      <c r="O259" t="str">
        <f>IF(datos_limpios[[#This Row],[Seating Capacity ]]&gt;4,"SI","NO")</f>
        <v>SI</v>
      </c>
      <c r="P259">
        <v>52</v>
      </c>
    </row>
    <row r="260" spans="1:16" x14ac:dyDescent="0.3">
      <c r="A260" s="8" t="s">
        <v>104</v>
      </c>
      <c r="B260" s="8" t="s">
        <v>693</v>
      </c>
      <c r="C260" s="9">
        <v>259</v>
      </c>
      <c r="D260" s="3">
        <v>775000</v>
      </c>
      <c r="E260" s="1">
        <f>datos_limpios[[#This Row],[Price INR   ]]*0.011</f>
        <v>8525</v>
      </c>
      <c r="F260" s="13">
        <v>2019</v>
      </c>
      <c r="G260" s="2">
        <v>14095</v>
      </c>
      <c r="H260" s="8" t="s">
        <v>12</v>
      </c>
      <c r="I260" s="8" t="s">
        <v>13</v>
      </c>
      <c r="J260" s="8" t="s">
        <v>20</v>
      </c>
      <c r="K260" t="s">
        <v>694</v>
      </c>
      <c r="L260" t="s">
        <v>695</v>
      </c>
      <c r="M260" s="2">
        <f>VALUE(MID(L260,1,FIND("@",L260)-6))</f>
        <v>109</v>
      </c>
      <c r="N260">
        <v>5</v>
      </c>
      <c r="O260" t="str">
        <f>IF(datos_limpios[[#This Row],[Seating Capacity ]]&gt;4,"SI","NO")</f>
        <v>SI</v>
      </c>
      <c r="P260">
        <v>52</v>
      </c>
    </row>
    <row r="261" spans="1:16" x14ac:dyDescent="0.3">
      <c r="A261" s="8" t="s">
        <v>104</v>
      </c>
      <c r="B261" s="8" t="s">
        <v>677</v>
      </c>
      <c r="C261" s="9">
        <v>260</v>
      </c>
      <c r="D261" s="3">
        <v>850000</v>
      </c>
      <c r="E261" s="1">
        <f>datos_limpios[[#This Row],[Price INR   ]]*0.011</f>
        <v>9350</v>
      </c>
      <c r="F261" s="13">
        <v>2014</v>
      </c>
      <c r="G261" s="2">
        <v>85000</v>
      </c>
      <c r="H261" s="8" t="s">
        <v>19</v>
      </c>
      <c r="I261" s="8" t="s">
        <v>40</v>
      </c>
      <c r="J261" s="8" t="s">
        <v>101</v>
      </c>
      <c r="K261" t="s">
        <v>678</v>
      </c>
      <c r="L261" t="s">
        <v>679</v>
      </c>
      <c r="M261" s="2">
        <f>VALUE(MID(L261,1,FIND("@",L261)-6))</f>
        <v>154</v>
      </c>
      <c r="N261">
        <v>7</v>
      </c>
      <c r="O261" t="str">
        <f>IF(datos_limpios[[#This Row],[Seating Capacity ]]&gt;4,"SI","NO")</f>
        <v>SI</v>
      </c>
      <c r="P261">
        <v>71</v>
      </c>
    </row>
    <row r="262" spans="1:16" x14ac:dyDescent="0.3">
      <c r="A262" s="8" t="s">
        <v>104</v>
      </c>
      <c r="B262" s="8" t="s">
        <v>1234</v>
      </c>
      <c r="C262" s="9">
        <v>261</v>
      </c>
      <c r="D262" s="3">
        <v>850000</v>
      </c>
      <c r="E262" s="1">
        <f>datos_limpios[[#This Row],[Price INR   ]]*0.011</f>
        <v>9350</v>
      </c>
      <c r="F262" s="13">
        <v>2019</v>
      </c>
      <c r="G262" s="2">
        <v>28000</v>
      </c>
      <c r="H262" s="8" t="s">
        <v>19</v>
      </c>
      <c r="I262" s="8" t="s">
        <v>13</v>
      </c>
      <c r="J262" s="8" t="s">
        <v>20</v>
      </c>
      <c r="K262" t="s">
        <v>196</v>
      </c>
      <c r="L262" t="s">
        <v>338</v>
      </c>
      <c r="M262" s="2">
        <f>VALUE(MID(L262,1,FIND("@",L262)-6))</f>
        <v>99</v>
      </c>
      <c r="N262">
        <v>5</v>
      </c>
      <c r="O262" t="str">
        <f>IF(datos_limpios[[#This Row],[Seating Capacity ]]&gt;4,"SI","NO")</f>
        <v>SI</v>
      </c>
      <c r="P262">
        <v>52</v>
      </c>
    </row>
    <row r="263" spans="1:16" x14ac:dyDescent="0.3">
      <c r="A263" s="8" t="s">
        <v>104</v>
      </c>
      <c r="B263" s="8" t="s">
        <v>610</v>
      </c>
      <c r="C263" s="9">
        <v>262</v>
      </c>
      <c r="D263" s="3">
        <v>925000</v>
      </c>
      <c r="E263" s="1">
        <f>datos_limpios[[#This Row],[Price INR   ]]*0.011</f>
        <v>10175</v>
      </c>
      <c r="F263" s="13">
        <v>2018</v>
      </c>
      <c r="G263" s="2">
        <v>74797</v>
      </c>
      <c r="H263" s="8" t="s">
        <v>19</v>
      </c>
      <c r="I263" s="8" t="s">
        <v>13</v>
      </c>
      <c r="J263" s="8" t="s">
        <v>20</v>
      </c>
      <c r="K263" t="s">
        <v>196</v>
      </c>
      <c r="L263" t="s">
        <v>338</v>
      </c>
      <c r="M263" s="2">
        <f>VALUE(MID(L263,1,FIND("@",L263)-6))</f>
        <v>99</v>
      </c>
      <c r="N263">
        <v>5</v>
      </c>
      <c r="O263" t="str">
        <f>IF(datos_limpios[[#This Row],[Seating Capacity ]]&gt;4,"SI","NO")</f>
        <v>SI</v>
      </c>
      <c r="P263">
        <v>52</v>
      </c>
    </row>
    <row r="264" spans="1:16" x14ac:dyDescent="0.3">
      <c r="A264" s="8" t="s">
        <v>104</v>
      </c>
      <c r="B264" s="8" t="s">
        <v>658</v>
      </c>
      <c r="C264" s="9">
        <v>263</v>
      </c>
      <c r="D264" s="3">
        <v>2000000</v>
      </c>
      <c r="E264" s="1">
        <f>datos_limpios[[#This Row],[Price INR   ]]*0.011</f>
        <v>22000</v>
      </c>
      <c r="F264" s="13">
        <v>2017</v>
      </c>
      <c r="G264" s="2">
        <v>93000</v>
      </c>
      <c r="H264" s="8" t="s">
        <v>19</v>
      </c>
      <c r="I264" s="8" t="s">
        <v>40</v>
      </c>
      <c r="J264" s="8" t="s">
        <v>20</v>
      </c>
      <c r="K264" t="s">
        <v>659</v>
      </c>
      <c r="L264" t="s">
        <v>660</v>
      </c>
      <c r="M264" s="2">
        <f>VALUE(MID(L264,1,FIND("@",L264)-6))</f>
        <v>197</v>
      </c>
      <c r="N264">
        <v>7</v>
      </c>
      <c r="O264" t="str">
        <f>IF(datos_limpios[[#This Row],[Seating Capacity ]]&gt;4,"SI","NO")</f>
        <v>SI</v>
      </c>
      <c r="P264">
        <v>80</v>
      </c>
    </row>
    <row r="265" spans="1:16" x14ac:dyDescent="0.3">
      <c r="A265" s="8" t="s">
        <v>104</v>
      </c>
      <c r="B265" s="8" t="s">
        <v>1125</v>
      </c>
      <c r="C265" s="9">
        <v>264</v>
      </c>
      <c r="D265" s="3">
        <v>2350000</v>
      </c>
      <c r="E265" s="1">
        <f>datos_limpios[[#This Row],[Price INR   ]]*0.011</f>
        <v>25850</v>
      </c>
      <c r="F265" s="13">
        <v>2016</v>
      </c>
      <c r="G265" s="2">
        <v>75000</v>
      </c>
      <c r="H265" s="8" t="s">
        <v>19</v>
      </c>
      <c r="I265" s="8" t="s">
        <v>40</v>
      </c>
      <c r="J265" s="8" t="s">
        <v>20</v>
      </c>
      <c r="K265" t="s">
        <v>1126</v>
      </c>
      <c r="L265" t="s">
        <v>1127</v>
      </c>
      <c r="M265" s="2">
        <f>VALUE(MID(L265,1,FIND("@",L265)-6))</f>
        <v>158</v>
      </c>
      <c r="N265">
        <v>7</v>
      </c>
      <c r="O265" t="str">
        <f>IF(datos_limpios[[#This Row],[Seating Capacity ]]&gt;4,"SI","NO")</f>
        <v>SI</v>
      </c>
      <c r="P265">
        <v>80</v>
      </c>
    </row>
    <row r="266" spans="1:16" x14ac:dyDescent="0.3">
      <c r="A266" s="8" t="s">
        <v>104</v>
      </c>
      <c r="B266" s="8" t="s">
        <v>730</v>
      </c>
      <c r="C266" s="9">
        <v>265</v>
      </c>
      <c r="D266" s="3">
        <v>3250000</v>
      </c>
      <c r="E266" s="1">
        <f>datos_limpios[[#This Row],[Price INR   ]]*0.011</f>
        <v>35750</v>
      </c>
      <c r="F266" s="13">
        <v>2019</v>
      </c>
      <c r="G266" s="2">
        <v>34000</v>
      </c>
      <c r="H266" s="8" t="s">
        <v>19</v>
      </c>
      <c r="I266" s="8" t="s">
        <v>40</v>
      </c>
      <c r="J266" s="8" t="s">
        <v>20</v>
      </c>
      <c r="K266" t="s">
        <v>659</v>
      </c>
      <c r="L266" t="s">
        <v>660</v>
      </c>
      <c r="M266" s="2">
        <f>VALUE(MID(L266,1,FIND("@",L266)-6))</f>
        <v>197</v>
      </c>
      <c r="N266">
        <v>7</v>
      </c>
      <c r="O266" t="str">
        <f>IF(datos_limpios[[#This Row],[Seating Capacity ]]&gt;4,"SI","NO")</f>
        <v>SI</v>
      </c>
      <c r="P266">
        <v>80</v>
      </c>
    </row>
    <row r="267" spans="1:16" x14ac:dyDescent="0.3">
      <c r="A267" s="8" t="s">
        <v>104</v>
      </c>
      <c r="B267" s="8" t="s">
        <v>730</v>
      </c>
      <c r="C267" s="9">
        <v>266</v>
      </c>
      <c r="D267" s="3">
        <v>3300000</v>
      </c>
      <c r="E267" s="1">
        <f>datos_limpios[[#This Row],[Price INR   ]]*0.011</f>
        <v>36300</v>
      </c>
      <c r="F267" s="13">
        <v>2019</v>
      </c>
      <c r="G267" s="2">
        <v>42475</v>
      </c>
      <c r="H267" s="8" t="s">
        <v>19</v>
      </c>
      <c r="I267" s="8" t="s">
        <v>40</v>
      </c>
      <c r="J267" s="8" t="s">
        <v>77</v>
      </c>
      <c r="K267" t="s">
        <v>659</v>
      </c>
      <c r="L267" t="s">
        <v>660</v>
      </c>
      <c r="M267" s="2">
        <f>VALUE(MID(L267,1,FIND("@",L267)-6))</f>
        <v>197</v>
      </c>
      <c r="N267">
        <v>7</v>
      </c>
      <c r="O267" t="str">
        <f>IF(datos_limpios[[#This Row],[Seating Capacity ]]&gt;4,"SI","NO")</f>
        <v>SI</v>
      </c>
      <c r="P267">
        <v>80</v>
      </c>
    </row>
    <row r="268" spans="1:16" x14ac:dyDescent="0.3">
      <c r="A268" s="8" t="s">
        <v>104</v>
      </c>
      <c r="B268" s="8" t="s">
        <v>658</v>
      </c>
      <c r="C268" s="9">
        <v>267</v>
      </c>
      <c r="D268" s="3">
        <v>3450000</v>
      </c>
      <c r="E268" s="1">
        <f>datos_limpios[[#This Row],[Price INR   ]]*0.011</f>
        <v>37950</v>
      </c>
      <c r="F268" s="13">
        <v>2019</v>
      </c>
      <c r="G268" s="2">
        <v>41526</v>
      </c>
      <c r="H268" s="8" t="s">
        <v>19</v>
      </c>
      <c r="I268" s="8" t="s">
        <v>40</v>
      </c>
      <c r="J268" s="8" t="s">
        <v>77</v>
      </c>
      <c r="K268" t="s">
        <v>659</v>
      </c>
      <c r="L268" t="s">
        <v>660</v>
      </c>
      <c r="M268" s="2">
        <f>VALUE(MID(L268,1,FIND("@",L268)-6))</f>
        <v>197</v>
      </c>
      <c r="N268">
        <v>7</v>
      </c>
      <c r="O268" t="str">
        <f>IF(datos_limpios[[#This Row],[Seating Capacity ]]&gt;4,"SI","NO")</f>
        <v>SI</v>
      </c>
      <c r="P268">
        <v>80</v>
      </c>
    </row>
    <row r="269" spans="1:16" x14ac:dyDescent="0.3">
      <c r="A269" s="8" t="s">
        <v>104</v>
      </c>
      <c r="B269" s="8" t="s">
        <v>658</v>
      </c>
      <c r="C269" s="9">
        <v>268</v>
      </c>
      <c r="D269" s="3">
        <v>3450000</v>
      </c>
      <c r="E269" s="1">
        <f>datos_limpios[[#This Row],[Price INR   ]]*0.011</f>
        <v>37950</v>
      </c>
      <c r="F269" s="13">
        <v>2018</v>
      </c>
      <c r="G269" s="2">
        <v>35000</v>
      </c>
      <c r="H269" s="8" t="s">
        <v>19</v>
      </c>
      <c r="I269" s="8" t="s">
        <v>40</v>
      </c>
      <c r="J269" s="8" t="s">
        <v>20</v>
      </c>
      <c r="K269" t="s">
        <v>659</v>
      </c>
      <c r="L269" t="s">
        <v>660</v>
      </c>
      <c r="M269" s="2">
        <f>VALUE(MID(L269,1,FIND("@",L269)-6))</f>
        <v>197</v>
      </c>
      <c r="N269">
        <v>7</v>
      </c>
      <c r="O269" t="str">
        <f>IF(datos_limpios[[#This Row],[Seating Capacity ]]&gt;4,"SI","NO")</f>
        <v>SI</v>
      </c>
      <c r="P269">
        <v>80</v>
      </c>
    </row>
    <row r="270" spans="1:16" x14ac:dyDescent="0.3">
      <c r="A270" s="8" t="s">
        <v>104</v>
      </c>
      <c r="B270" s="8" t="s">
        <v>658</v>
      </c>
      <c r="C270" s="9">
        <v>269</v>
      </c>
      <c r="D270" s="3">
        <v>3650000</v>
      </c>
      <c r="E270" s="1">
        <f>datos_limpios[[#This Row],[Price INR   ]]*0.011</f>
        <v>40150</v>
      </c>
      <c r="F270" s="13">
        <v>2019</v>
      </c>
      <c r="G270" s="2">
        <v>34000</v>
      </c>
      <c r="H270" s="8" t="s">
        <v>19</v>
      </c>
      <c r="I270" s="8" t="s">
        <v>40</v>
      </c>
      <c r="J270" s="8" t="s">
        <v>101</v>
      </c>
      <c r="K270" t="s">
        <v>659</v>
      </c>
      <c r="L270" t="s">
        <v>660</v>
      </c>
      <c r="M270" s="2">
        <f>VALUE(MID(L270,1,FIND("@",L270)-6))</f>
        <v>197</v>
      </c>
      <c r="N270">
        <v>7</v>
      </c>
      <c r="O270" t="str">
        <f>IF(datos_limpios[[#This Row],[Seating Capacity ]]&gt;4,"SI","NO")</f>
        <v>SI</v>
      </c>
      <c r="P270">
        <v>80</v>
      </c>
    </row>
    <row r="271" spans="1:16" x14ac:dyDescent="0.3">
      <c r="A271" s="8" t="s">
        <v>104</v>
      </c>
      <c r="B271" s="8" t="s">
        <v>951</v>
      </c>
      <c r="C271" s="9">
        <v>270</v>
      </c>
      <c r="D271" s="3">
        <v>3800000</v>
      </c>
      <c r="E271" s="1">
        <f>datos_limpios[[#This Row],[Price INR   ]]*0.011</f>
        <v>41800</v>
      </c>
      <c r="F271" s="13">
        <v>2020</v>
      </c>
      <c r="G271" s="2">
        <v>20000</v>
      </c>
      <c r="H271" s="8" t="s">
        <v>19</v>
      </c>
      <c r="I271" s="8" t="s">
        <v>40</v>
      </c>
      <c r="J271" s="8" t="s">
        <v>101</v>
      </c>
      <c r="K271" t="s">
        <v>707</v>
      </c>
      <c r="L271" t="s">
        <v>952</v>
      </c>
      <c r="M271" s="2">
        <f>VALUE(MID(L271,1,FIND("@",L271)-6))</f>
        <v>168</v>
      </c>
      <c r="N271">
        <v>7</v>
      </c>
      <c r="O271" t="str">
        <f>IF(datos_limpios[[#This Row],[Seating Capacity ]]&gt;4,"SI","NO")</f>
        <v>SI</v>
      </c>
      <c r="P271">
        <v>80</v>
      </c>
    </row>
    <row r="272" spans="1:16" x14ac:dyDescent="0.3">
      <c r="A272" s="8" t="s">
        <v>104</v>
      </c>
      <c r="B272" s="8" t="s">
        <v>1130</v>
      </c>
      <c r="C272" s="9">
        <v>271</v>
      </c>
      <c r="D272" s="3">
        <v>3900000</v>
      </c>
      <c r="E272" s="1">
        <f>datos_limpios[[#This Row],[Price INR   ]]*0.011</f>
        <v>42900</v>
      </c>
      <c r="F272" s="13">
        <v>2021</v>
      </c>
      <c r="G272" s="2">
        <v>41086</v>
      </c>
      <c r="H272" s="8" t="s">
        <v>19</v>
      </c>
      <c r="I272" s="8" t="s">
        <v>40</v>
      </c>
      <c r="J272" s="8" t="s">
        <v>20</v>
      </c>
      <c r="K272" t="s">
        <v>707</v>
      </c>
      <c r="L272" t="s">
        <v>952</v>
      </c>
      <c r="M272" s="2">
        <f>VALUE(MID(L272,1,FIND("@",L272)-6))</f>
        <v>168</v>
      </c>
      <c r="N272">
        <v>7</v>
      </c>
      <c r="O272" t="str">
        <f>IF(datos_limpios[[#This Row],[Seating Capacity ]]&gt;4,"SI","NO")</f>
        <v>SI</v>
      </c>
      <c r="P272">
        <v>80</v>
      </c>
    </row>
    <row r="273" spans="1:16" x14ac:dyDescent="0.3">
      <c r="A273" s="8" t="s">
        <v>104</v>
      </c>
      <c r="B273" s="8" t="s">
        <v>951</v>
      </c>
      <c r="C273" s="9">
        <v>272</v>
      </c>
      <c r="D273" s="3">
        <v>3975000</v>
      </c>
      <c r="E273" s="1">
        <f>datos_limpios[[#This Row],[Price INR   ]]*0.011</f>
        <v>43725</v>
      </c>
      <c r="F273" s="13">
        <v>2021</v>
      </c>
      <c r="G273" s="2">
        <v>9400</v>
      </c>
      <c r="H273" s="8" t="s">
        <v>19</v>
      </c>
      <c r="I273" s="8" t="s">
        <v>40</v>
      </c>
      <c r="J273" s="8" t="s">
        <v>101</v>
      </c>
      <c r="K273" t="s">
        <v>707</v>
      </c>
      <c r="L273" t="s">
        <v>952</v>
      </c>
      <c r="M273" s="2">
        <f>VALUE(MID(L273,1,FIND("@",L273)-6))</f>
        <v>168</v>
      </c>
      <c r="N273">
        <v>7</v>
      </c>
      <c r="O273" t="str">
        <f>IF(datos_limpios[[#This Row],[Seating Capacity ]]&gt;4,"SI","NO")</f>
        <v>SI</v>
      </c>
      <c r="P273">
        <v>80</v>
      </c>
    </row>
    <row r="274" spans="1:16" x14ac:dyDescent="0.3">
      <c r="A274" s="8" t="s">
        <v>104</v>
      </c>
      <c r="B274" s="8" t="s">
        <v>1130</v>
      </c>
      <c r="C274" s="9">
        <v>273</v>
      </c>
      <c r="D274" s="3">
        <v>4100000</v>
      </c>
      <c r="E274" s="1">
        <f>datos_limpios[[#This Row],[Price INR   ]]*0.011</f>
        <v>45100</v>
      </c>
      <c r="F274" s="13">
        <v>2021</v>
      </c>
      <c r="G274" s="2">
        <v>19000</v>
      </c>
      <c r="H274" s="8" t="s">
        <v>19</v>
      </c>
      <c r="I274" s="8" t="s">
        <v>40</v>
      </c>
      <c r="J274" s="8" t="s">
        <v>20</v>
      </c>
      <c r="K274" t="s">
        <v>707</v>
      </c>
      <c r="L274" t="s">
        <v>952</v>
      </c>
      <c r="M274" s="2">
        <f>VALUE(MID(L274,1,FIND("@",L274)-6))</f>
        <v>168</v>
      </c>
      <c r="N274">
        <v>7</v>
      </c>
      <c r="O274" t="str">
        <f>IF(datos_limpios[[#This Row],[Seating Capacity ]]&gt;4,"SI","NO")</f>
        <v>SI</v>
      </c>
      <c r="P274">
        <v>80</v>
      </c>
    </row>
    <row r="275" spans="1:16" x14ac:dyDescent="0.3">
      <c r="A275" s="8" t="s">
        <v>104</v>
      </c>
      <c r="B275" s="8" t="s">
        <v>1023</v>
      </c>
      <c r="C275" s="9">
        <v>274</v>
      </c>
      <c r="D275" s="3">
        <v>7990000</v>
      </c>
      <c r="E275" s="1">
        <f>datos_limpios[[#This Row],[Price INR   ]]*0.011</f>
        <v>87890</v>
      </c>
      <c r="F275" s="13">
        <v>2018</v>
      </c>
      <c r="G275" s="2">
        <v>23000</v>
      </c>
      <c r="H275" s="8" t="s">
        <v>12</v>
      </c>
      <c r="I275" s="8" t="s">
        <v>40</v>
      </c>
      <c r="J275" s="8" t="s">
        <v>872</v>
      </c>
      <c r="K275" t="s">
        <v>1024</v>
      </c>
      <c r="L275" t="s">
        <v>1025</v>
      </c>
      <c r="M275" s="2">
        <f>VALUE(MID(L275,1,FIND("@",L275)-6))</f>
        <v>396</v>
      </c>
      <c r="N275">
        <v>4</v>
      </c>
      <c r="O275" t="str">
        <f>IF(datos_limpios[[#This Row],[Seating Capacity ]]&gt;4,"SI","NO")</f>
        <v>NO</v>
      </c>
      <c r="P275">
        <v>60.9</v>
      </c>
    </row>
    <row r="276" spans="1:16" x14ac:dyDescent="0.3">
      <c r="A276" s="8" t="s">
        <v>104</v>
      </c>
      <c r="B276" s="8" t="s">
        <v>1023</v>
      </c>
      <c r="C276" s="9">
        <v>275</v>
      </c>
      <c r="D276" s="3">
        <v>8000000</v>
      </c>
      <c r="E276" s="1">
        <f>datos_limpios[[#This Row],[Price INR   ]]*0.011</f>
        <v>88000</v>
      </c>
      <c r="F276" s="13">
        <v>2017</v>
      </c>
      <c r="G276" s="2">
        <v>25000</v>
      </c>
      <c r="H276" s="8" t="s">
        <v>12</v>
      </c>
      <c r="I276" s="8" t="s">
        <v>40</v>
      </c>
      <c r="J276" s="8" t="s">
        <v>101</v>
      </c>
      <c r="K276" t="s">
        <v>1024</v>
      </c>
      <c r="L276" t="s">
        <v>1025</v>
      </c>
      <c r="M276" s="2">
        <f>VALUE(MID(L276,1,FIND("@",L276)-6))</f>
        <v>396</v>
      </c>
      <c r="N276">
        <v>4</v>
      </c>
      <c r="O276" t="str">
        <f>IF(datos_limpios[[#This Row],[Seating Capacity ]]&gt;4,"SI","NO")</f>
        <v>NO</v>
      </c>
      <c r="P276">
        <v>60.9</v>
      </c>
    </row>
    <row r="277" spans="1:16" x14ac:dyDescent="0.3">
      <c r="A277" s="8" t="s">
        <v>10</v>
      </c>
      <c r="B277" s="8" t="s">
        <v>1406</v>
      </c>
      <c r="C277" s="9">
        <v>276</v>
      </c>
      <c r="D277" s="3">
        <v>185000</v>
      </c>
      <c r="E277" s="1">
        <f>datos_limpios[[#This Row],[Price INR   ]]*0.011</f>
        <v>2034.9999999999998</v>
      </c>
      <c r="F277" s="13">
        <v>2008</v>
      </c>
      <c r="G277" s="2">
        <v>70000</v>
      </c>
      <c r="H277" s="8" t="s">
        <v>12</v>
      </c>
      <c r="I277" s="8" t="s">
        <v>40</v>
      </c>
      <c r="J277" s="8" t="s">
        <v>20</v>
      </c>
      <c r="K277" t="s">
        <v>165</v>
      </c>
      <c r="L277" t="s">
        <v>1502</v>
      </c>
      <c r="M277" s="2">
        <f>VALUE(MID(L277,1,FIND("@",L277)-6))</f>
        <v>78</v>
      </c>
      <c r="N277">
        <v>5</v>
      </c>
      <c r="O277" t="str">
        <f>IF(datos_limpios[[#This Row],[Seating Capacity ]]&gt;4,"SI","NO")</f>
        <v>SI</v>
      </c>
      <c r="P277">
        <v>42</v>
      </c>
    </row>
    <row r="278" spans="1:16" x14ac:dyDescent="0.3">
      <c r="A278" s="8" t="s">
        <v>10</v>
      </c>
      <c r="B278" s="8" t="s">
        <v>179</v>
      </c>
      <c r="C278" s="9">
        <v>277</v>
      </c>
      <c r="D278" s="3">
        <v>190000</v>
      </c>
      <c r="E278" s="1">
        <f>datos_limpios[[#This Row],[Price INR   ]]*0.011</f>
        <v>2090</v>
      </c>
      <c r="F278" s="13">
        <v>2006</v>
      </c>
      <c r="G278" s="2">
        <v>130000</v>
      </c>
      <c r="H278" s="8" t="s">
        <v>12</v>
      </c>
      <c r="I278" s="8" t="s">
        <v>13</v>
      </c>
      <c r="J278" s="8" t="s">
        <v>25</v>
      </c>
      <c r="K278" t="s">
        <v>180</v>
      </c>
      <c r="L278" t="s">
        <v>181</v>
      </c>
      <c r="M278" s="2">
        <f>VALUE(MID(L278,1,FIND("@",L278)-6))</f>
        <v>130</v>
      </c>
      <c r="N278">
        <v>5</v>
      </c>
      <c r="O278" t="str">
        <f>IF(datos_limpios[[#This Row],[Seating Capacity ]]&gt;4,"SI","NO")</f>
        <v>SI</v>
      </c>
      <c r="P278">
        <v>50</v>
      </c>
    </row>
    <row r="279" spans="1:16" x14ac:dyDescent="0.3">
      <c r="A279" s="8" t="s">
        <v>10</v>
      </c>
      <c r="B279" s="8" t="s">
        <v>485</v>
      </c>
      <c r="C279" s="9">
        <v>278</v>
      </c>
      <c r="D279" s="3">
        <v>195000</v>
      </c>
      <c r="E279" s="1">
        <f>datos_limpios[[#This Row],[Price INR   ]]*0.011</f>
        <v>2145</v>
      </c>
      <c r="F279" s="13">
        <v>2010</v>
      </c>
      <c r="G279" s="2">
        <v>32000</v>
      </c>
      <c r="H279" s="8" t="s">
        <v>12</v>
      </c>
      <c r="I279" s="8" t="s">
        <v>13</v>
      </c>
      <c r="J279" s="8" t="s">
        <v>77</v>
      </c>
      <c r="K279" t="s">
        <v>15</v>
      </c>
      <c r="L279" t="s">
        <v>486</v>
      </c>
      <c r="M279" s="2">
        <f>VALUE(MID(L279,1,FIND("@",L279)-6))</f>
        <v>89</v>
      </c>
      <c r="N279">
        <v>5</v>
      </c>
      <c r="O279" t="str">
        <f>IF(datos_limpios[[#This Row],[Seating Capacity ]]&gt;4,"SI","NO")</f>
        <v>SI</v>
      </c>
      <c r="P279">
        <v>42</v>
      </c>
    </row>
    <row r="280" spans="1:16" x14ac:dyDescent="0.3">
      <c r="A280" s="8" t="s">
        <v>10</v>
      </c>
      <c r="B280" s="8" t="s">
        <v>939</v>
      </c>
      <c r="C280" s="9">
        <v>279</v>
      </c>
      <c r="D280" s="3">
        <v>245000</v>
      </c>
      <c r="E280" s="1">
        <f>datos_limpios[[#This Row],[Price INR   ]]*0.011</f>
        <v>2695</v>
      </c>
      <c r="F280" s="13">
        <v>2010</v>
      </c>
      <c r="G280" s="2">
        <v>95000</v>
      </c>
      <c r="H280" s="8" t="s">
        <v>12</v>
      </c>
      <c r="I280" s="8" t="s">
        <v>40</v>
      </c>
      <c r="J280" s="8" t="s">
        <v>14</v>
      </c>
      <c r="K280" t="s">
        <v>165</v>
      </c>
      <c r="L280" t="s">
        <v>1494</v>
      </c>
      <c r="M280" s="2">
        <f>VALUE(MID(L280,1,FIND("@",L280)-6))</f>
        <v>118</v>
      </c>
      <c r="N280">
        <v>5</v>
      </c>
      <c r="O280" t="str">
        <f>IF(datos_limpios[[#This Row],[Seating Capacity ]]&gt;4,"SI","NO")</f>
        <v>SI</v>
      </c>
      <c r="P280">
        <v>42</v>
      </c>
    </row>
    <row r="281" spans="1:16" x14ac:dyDescent="0.3">
      <c r="A281" s="8" t="s">
        <v>10</v>
      </c>
      <c r="B281" s="8" t="s">
        <v>314</v>
      </c>
      <c r="C281" s="9">
        <v>280</v>
      </c>
      <c r="D281" s="3">
        <v>250000</v>
      </c>
      <c r="E281" s="1">
        <f>datos_limpios[[#This Row],[Price INR   ]]*0.011</f>
        <v>2750</v>
      </c>
      <c r="F281" s="13">
        <v>2006</v>
      </c>
      <c r="G281" s="2">
        <v>119300</v>
      </c>
      <c r="H281" s="8" t="s">
        <v>12</v>
      </c>
      <c r="I281" s="8" t="s">
        <v>40</v>
      </c>
      <c r="J281" s="8" t="s">
        <v>101</v>
      </c>
      <c r="K281" t="s">
        <v>315</v>
      </c>
      <c r="L281" t="s">
        <v>1493</v>
      </c>
      <c r="M281" s="2">
        <f>VALUE(MID(L281,1,FIND("@",L281)-6))</f>
        <v>152</v>
      </c>
      <c r="N281">
        <v>5</v>
      </c>
      <c r="O281" t="str">
        <f>IF(datos_limpios[[#This Row],[Seating Capacity ]]&gt;4,"SI","NO")</f>
        <v>SI</v>
      </c>
      <c r="P281">
        <v>58</v>
      </c>
    </row>
    <row r="282" spans="1:16" x14ac:dyDescent="0.3">
      <c r="A282" s="8" t="s">
        <v>10</v>
      </c>
      <c r="B282" s="8" t="s">
        <v>241</v>
      </c>
      <c r="C282" s="9">
        <v>281</v>
      </c>
      <c r="D282" s="3">
        <v>250000</v>
      </c>
      <c r="E282" s="1">
        <f>datos_limpios[[#This Row],[Price INR   ]]*0.011</f>
        <v>2750</v>
      </c>
      <c r="F282" s="13">
        <v>2011</v>
      </c>
      <c r="G282" s="2">
        <v>55000</v>
      </c>
      <c r="H282" s="8" t="s">
        <v>12</v>
      </c>
      <c r="I282" s="8" t="s">
        <v>13</v>
      </c>
      <c r="J282" s="8" t="s">
        <v>77</v>
      </c>
      <c r="K282" t="s">
        <v>165</v>
      </c>
      <c r="L282" t="s">
        <v>1494</v>
      </c>
      <c r="M282" s="2">
        <f>VALUE(MID(L282,1,FIND("@",L282)-6))</f>
        <v>118</v>
      </c>
      <c r="N282">
        <v>5</v>
      </c>
      <c r="O282" t="str">
        <f>IF(datos_limpios[[#This Row],[Seating Capacity ]]&gt;4,"SI","NO")</f>
        <v>SI</v>
      </c>
      <c r="P282">
        <v>42</v>
      </c>
    </row>
    <row r="283" spans="1:16" x14ac:dyDescent="0.3">
      <c r="A283" s="8" t="s">
        <v>10</v>
      </c>
      <c r="B283" s="8" t="s">
        <v>361</v>
      </c>
      <c r="C283" s="9">
        <v>282</v>
      </c>
      <c r="D283" s="3">
        <v>250000</v>
      </c>
      <c r="E283" s="1">
        <f>datos_limpios[[#This Row],[Price INR   ]]*0.011</f>
        <v>2750</v>
      </c>
      <c r="F283" s="13">
        <v>2009</v>
      </c>
      <c r="G283" s="2">
        <v>110000</v>
      </c>
      <c r="H283" s="8" t="s">
        <v>12</v>
      </c>
      <c r="I283" s="8" t="s">
        <v>40</v>
      </c>
      <c r="J283" s="8" t="s">
        <v>14</v>
      </c>
      <c r="K283" t="s">
        <v>165</v>
      </c>
      <c r="L283" t="s">
        <v>1494</v>
      </c>
      <c r="M283" s="2">
        <f>VALUE(MID(L283,1,FIND("@",L283)-6))</f>
        <v>118</v>
      </c>
      <c r="N283">
        <v>5</v>
      </c>
      <c r="O283" t="str">
        <f>IF(datos_limpios[[#This Row],[Seating Capacity ]]&gt;4,"SI","NO")</f>
        <v>SI</v>
      </c>
      <c r="P283">
        <v>42</v>
      </c>
    </row>
    <row r="284" spans="1:16" x14ac:dyDescent="0.3">
      <c r="A284" s="8" t="s">
        <v>10</v>
      </c>
      <c r="B284" s="8" t="s">
        <v>566</v>
      </c>
      <c r="C284" s="9">
        <v>283</v>
      </c>
      <c r="D284" s="3">
        <v>250000</v>
      </c>
      <c r="E284" s="1">
        <f>datos_limpios[[#This Row],[Price INR   ]]*0.011</f>
        <v>2750</v>
      </c>
      <c r="F284" s="13">
        <v>2017</v>
      </c>
      <c r="G284" s="2">
        <v>132683</v>
      </c>
      <c r="H284" s="8" t="s">
        <v>19</v>
      </c>
      <c r="I284" s="8" t="s">
        <v>13</v>
      </c>
      <c r="J284" s="8" t="s">
        <v>115</v>
      </c>
      <c r="K284" t="s">
        <v>196</v>
      </c>
      <c r="L284" t="s">
        <v>197</v>
      </c>
      <c r="M284" s="2">
        <f>VALUE(MID(L284,1,FIND("@",L284)-6))</f>
        <v>99</v>
      </c>
      <c r="N284">
        <v>5</v>
      </c>
      <c r="O284" t="str">
        <f>IF(datos_limpios[[#This Row],[Seating Capacity ]]&gt;4,"SI","NO")</f>
        <v>SI</v>
      </c>
      <c r="P284">
        <v>40</v>
      </c>
    </row>
    <row r="285" spans="1:16" x14ac:dyDescent="0.3">
      <c r="A285" s="8" t="s">
        <v>10</v>
      </c>
      <c r="B285" s="8" t="s">
        <v>241</v>
      </c>
      <c r="C285" s="9">
        <v>284</v>
      </c>
      <c r="D285" s="3">
        <v>250000</v>
      </c>
      <c r="E285" s="1">
        <f>datos_limpios[[#This Row],[Price INR   ]]*0.011</f>
        <v>2750</v>
      </c>
      <c r="F285" s="13">
        <v>2009</v>
      </c>
      <c r="G285" s="2">
        <v>72256</v>
      </c>
      <c r="H285" s="8" t="s">
        <v>12</v>
      </c>
      <c r="I285" s="8" t="s">
        <v>13</v>
      </c>
      <c r="J285" s="8" t="s">
        <v>101</v>
      </c>
      <c r="K285" t="s">
        <v>165</v>
      </c>
      <c r="L285" t="s">
        <v>1494</v>
      </c>
      <c r="M285" s="2">
        <f>VALUE(MID(L285,1,FIND("@",L285)-6))</f>
        <v>118</v>
      </c>
      <c r="N285">
        <v>5</v>
      </c>
      <c r="O285" t="str">
        <f>IF(datos_limpios[[#This Row],[Seating Capacity ]]&gt;4,"SI","NO")</f>
        <v>SI</v>
      </c>
      <c r="P285">
        <v>42</v>
      </c>
    </row>
    <row r="286" spans="1:16" x14ac:dyDescent="0.3">
      <c r="A286" s="8" t="s">
        <v>10</v>
      </c>
      <c r="B286" s="8" t="s">
        <v>241</v>
      </c>
      <c r="C286" s="9">
        <v>285</v>
      </c>
      <c r="D286" s="3">
        <v>269000</v>
      </c>
      <c r="E286" s="1">
        <f>datos_limpios[[#This Row],[Price INR   ]]*0.011</f>
        <v>2959</v>
      </c>
      <c r="F286" s="13">
        <v>2009</v>
      </c>
      <c r="G286" s="2">
        <v>85000</v>
      </c>
      <c r="H286" s="8" t="s">
        <v>12</v>
      </c>
      <c r="I286" s="8" t="s">
        <v>13</v>
      </c>
      <c r="J286" s="8" t="s">
        <v>20</v>
      </c>
      <c r="K286" t="s">
        <v>165</v>
      </c>
      <c r="L286" t="s">
        <v>1494</v>
      </c>
      <c r="M286" s="2">
        <f>VALUE(MID(L286,1,FIND("@",L286)-6))</f>
        <v>118</v>
      </c>
      <c r="N286">
        <v>5</v>
      </c>
      <c r="O286" t="str">
        <f>IF(datos_limpios[[#This Row],[Seating Capacity ]]&gt;4,"SI","NO")</f>
        <v>SI</v>
      </c>
      <c r="P286">
        <v>42</v>
      </c>
    </row>
    <row r="287" spans="1:16" x14ac:dyDescent="0.3">
      <c r="A287" s="8" t="s">
        <v>10</v>
      </c>
      <c r="B287" s="8" t="s">
        <v>757</v>
      </c>
      <c r="C287" s="9">
        <v>286</v>
      </c>
      <c r="D287" s="3">
        <v>269000</v>
      </c>
      <c r="E287" s="1">
        <f>datos_limpios[[#This Row],[Price INR   ]]*0.011</f>
        <v>2959</v>
      </c>
      <c r="F287" s="13">
        <v>2010</v>
      </c>
      <c r="G287" s="2">
        <v>73000</v>
      </c>
      <c r="H287" s="8" t="s">
        <v>12</v>
      </c>
      <c r="I287" s="8" t="s">
        <v>13</v>
      </c>
      <c r="J287" s="8" t="s">
        <v>77</v>
      </c>
      <c r="K287" t="s">
        <v>165</v>
      </c>
      <c r="L287" t="s">
        <v>1494</v>
      </c>
      <c r="M287" s="2">
        <f>VALUE(MID(L287,1,FIND("@",L287)-6))</f>
        <v>118</v>
      </c>
      <c r="N287">
        <v>5</v>
      </c>
      <c r="O287" t="str">
        <f>IF(datos_limpios[[#This Row],[Seating Capacity ]]&gt;4,"SI","NO")</f>
        <v>SI</v>
      </c>
      <c r="P287">
        <v>42</v>
      </c>
    </row>
    <row r="288" spans="1:16" x14ac:dyDescent="0.3">
      <c r="A288" s="8" t="s">
        <v>10</v>
      </c>
      <c r="B288" s="8" t="s">
        <v>241</v>
      </c>
      <c r="C288" s="9">
        <v>287</v>
      </c>
      <c r="D288" s="3">
        <v>275000</v>
      </c>
      <c r="E288" s="1">
        <f>datos_limpios[[#This Row],[Price INR   ]]*0.011</f>
        <v>3025</v>
      </c>
      <c r="F288" s="13">
        <v>2009</v>
      </c>
      <c r="G288" s="2">
        <v>80000</v>
      </c>
      <c r="H288" s="8" t="s">
        <v>12</v>
      </c>
      <c r="I288" s="8" t="s">
        <v>13</v>
      </c>
      <c r="J288" s="8" t="s">
        <v>14</v>
      </c>
      <c r="K288" t="s">
        <v>165</v>
      </c>
      <c r="L288" t="s">
        <v>1494</v>
      </c>
      <c r="M288" s="2">
        <f>VALUE(MID(L288,1,FIND("@",L288)-6))</f>
        <v>118</v>
      </c>
      <c r="N288">
        <v>5</v>
      </c>
      <c r="O288" t="str">
        <f>IF(datos_limpios[[#This Row],[Seating Capacity ]]&gt;4,"SI","NO")</f>
        <v>SI</v>
      </c>
      <c r="P288">
        <v>42</v>
      </c>
    </row>
    <row r="289" spans="1:16" x14ac:dyDescent="0.3">
      <c r="A289" s="8" t="s">
        <v>10</v>
      </c>
      <c r="B289" s="8" t="s">
        <v>361</v>
      </c>
      <c r="C289" s="9">
        <v>288</v>
      </c>
      <c r="D289" s="3">
        <v>295000</v>
      </c>
      <c r="E289" s="1">
        <f>datos_limpios[[#This Row],[Price INR   ]]*0.011</f>
        <v>3245</v>
      </c>
      <c r="F289" s="13">
        <v>2009</v>
      </c>
      <c r="G289" s="2">
        <v>70200</v>
      </c>
      <c r="H289" s="8" t="s">
        <v>12</v>
      </c>
      <c r="I289" s="8" t="s">
        <v>40</v>
      </c>
      <c r="J289" s="8" t="s">
        <v>14</v>
      </c>
      <c r="K289" t="s">
        <v>165</v>
      </c>
      <c r="L289" t="s">
        <v>1494</v>
      </c>
      <c r="M289" s="2">
        <f>VALUE(MID(L289,1,FIND("@",L289)-6))</f>
        <v>118</v>
      </c>
      <c r="N289">
        <v>5</v>
      </c>
      <c r="O289" t="str">
        <f>IF(datos_limpios[[#This Row],[Seating Capacity ]]&gt;4,"SI","NO")</f>
        <v>SI</v>
      </c>
      <c r="P289">
        <v>42</v>
      </c>
    </row>
    <row r="290" spans="1:16" x14ac:dyDescent="0.3">
      <c r="A290" s="8" t="s">
        <v>10</v>
      </c>
      <c r="B290" s="8" t="s">
        <v>241</v>
      </c>
      <c r="C290" s="9">
        <v>289</v>
      </c>
      <c r="D290" s="3">
        <v>295000</v>
      </c>
      <c r="E290" s="1">
        <f>datos_limpios[[#This Row],[Price INR   ]]*0.011</f>
        <v>3245</v>
      </c>
      <c r="F290" s="13">
        <v>2010</v>
      </c>
      <c r="G290" s="2">
        <v>78000</v>
      </c>
      <c r="H290" s="8" t="s">
        <v>12</v>
      </c>
      <c r="I290" s="8" t="s">
        <v>13</v>
      </c>
      <c r="J290" s="8" t="s">
        <v>20</v>
      </c>
      <c r="K290" t="s">
        <v>165</v>
      </c>
      <c r="L290" t="s">
        <v>1494</v>
      </c>
      <c r="M290" s="2">
        <f>VALUE(MID(L290,1,FIND("@",L290)-6))</f>
        <v>118</v>
      </c>
      <c r="N290">
        <v>5</v>
      </c>
      <c r="O290" t="str">
        <f>IF(datos_limpios[[#This Row],[Seating Capacity ]]&gt;4,"SI","NO")</f>
        <v>SI</v>
      </c>
      <c r="P290">
        <v>42</v>
      </c>
    </row>
    <row r="291" spans="1:16" x14ac:dyDescent="0.3">
      <c r="A291" s="8" t="s">
        <v>10</v>
      </c>
      <c r="B291" s="8" t="s">
        <v>470</v>
      </c>
      <c r="C291" s="9">
        <v>290</v>
      </c>
      <c r="D291" s="3">
        <v>295000</v>
      </c>
      <c r="E291" s="1">
        <f>datos_limpios[[#This Row],[Price INR   ]]*0.011</f>
        <v>3245</v>
      </c>
      <c r="F291" s="13">
        <v>2014</v>
      </c>
      <c r="G291" s="2">
        <v>62500</v>
      </c>
      <c r="H291" s="8" t="s">
        <v>19</v>
      </c>
      <c r="I291" s="8" t="s">
        <v>13</v>
      </c>
      <c r="J291" s="8" t="s">
        <v>115</v>
      </c>
      <c r="K291" t="s">
        <v>196</v>
      </c>
      <c r="L291" t="s">
        <v>197</v>
      </c>
      <c r="M291" s="2">
        <f>VALUE(MID(L291,1,FIND("@",L291)-6))</f>
        <v>99</v>
      </c>
      <c r="N291">
        <v>5</v>
      </c>
      <c r="O291" t="str">
        <f>IF(datos_limpios[[#This Row],[Seating Capacity ]]&gt;4,"SI","NO")</f>
        <v>SI</v>
      </c>
      <c r="P291">
        <v>35</v>
      </c>
    </row>
    <row r="292" spans="1:16" x14ac:dyDescent="0.3">
      <c r="A292" s="8" t="s">
        <v>10</v>
      </c>
      <c r="B292" s="8" t="s">
        <v>1195</v>
      </c>
      <c r="C292" s="9">
        <v>291</v>
      </c>
      <c r="D292" s="3">
        <v>300000</v>
      </c>
      <c r="E292" s="1">
        <f>datos_limpios[[#This Row],[Price INR   ]]*0.011</f>
        <v>3300</v>
      </c>
      <c r="F292" s="13">
        <v>2010</v>
      </c>
      <c r="G292" s="2">
        <v>83359</v>
      </c>
      <c r="H292" s="8" t="s">
        <v>12</v>
      </c>
      <c r="I292" s="8" t="s">
        <v>13</v>
      </c>
      <c r="J292" s="8" t="s">
        <v>20</v>
      </c>
      <c r="K292" t="s">
        <v>180</v>
      </c>
      <c r="L292" t="s">
        <v>181</v>
      </c>
      <c r="M292" s="2">
        <f>VALUE(MID(L292,1,FIND("@",L292)-6))</f>
        <v>130</v>
      </c>
      <c r="N292">
        <v>5</v>
      </c>
      <c r="O292" t="str">
        <f>IF(datos_limpios[[#This Row],[Seating Capacity ]]&gt;4,"SI","NO")</f>
        <v>SI</v>
      </c>
      <c r="P292">
        <v>50</v>
      </c>
    </row>
    <row r="293" spans="1:16" x14ac:dyDescent="0.3">
      <c r="A293" s="8" t="s">
        <v>10</v>
      </c>
      <c r="B293" s="8" t="s">
        <v>160</v>
      </c>
      <c r="C293" s="9">
        <v>292</v>
      </c>
      <c r="D293" s="3">
        <v>310000</v>
      </c>
      <c r="E293" s="1">
        <f>datos_limpios[[#This Row],[Price INR   ]]*0.011</f>
        <v>3410</v>
      </c>
      <c r="F293" s="13">
        <v>2014</v>
      </c>
      <c r="G293" s="2">
        <v>49000</v>
      </c>
      <c r="H293" s="8" t="s">
        <v>12</v>
      </c>
      <c r="I293" s="8" t="s">
        <v>13</v>
      </c>
      <c r="J293" s="8" t="s">
        <v>82</v>
      </c>
      <c r="K293" t="s">
        <v>15</v>
      </c>
      <c r="L293" t="s">
        <v>16</v>
      </c>
      <c r="M293" s="2">
        <f>VALUE(MID(L293,1,FIND("@",L293)-6))</f>
        <v>87</v>
      </c>
      <c r="N293">
        <v>5</v>
      </c>
      <c r="O293" t="str">
        <f>IF(datos_limpios[[#This Row],[Seating Capacity ]]&gt;4,"SI","NO")</f>
        <v>SI</v>
      </c>
      <c r="P293">
        <v>35</v>
      </c>
    </row>
    <row r="294" spans="1:16" x14ac:dyDescent="0.3">
      <c r="A294" s="8" t="s">
        <v>10</v>
      </c>
      <c r="B294" s="8" t="s">
        <v>393</v>
      </c>
      <c r="C294" s="9">
        <v>293</v>
      </c>
      <c r="D294" s="3">
        <v>325000</v>
      </c>
      <c r="E294" s="1">
        <f>datos_limpios[[#This Row],[Price INR   ]]*0.011</f>
        <v>3575</v>
      </c>
      <c r="F294" s="13">
        <v>2014</v>
      </c>
      <c r="G294" s="2">
        <v>43037</v>
      </c>
      <c r="H294" s="8" t="s">
        <v>12</v>
      </c>
      <c r="I294" s="8" t="s">
        <v>13</v>
      </c>
      <c r="J294" s="8" t="s">
        <v>77</v>
      </c>
      <c r="K294" t="s">
        <v>15</v>
      </c>
      <c r="L294" t="s">
        <v>16</v>
      </c>
      <c r="M294" s="2">
        <f>VALUE(MID(L294,1,FIND("@",L294)-6))</f>
        <v>87</v>
      </c>
      <c r="N294">
        <v>5</v>
      </c>
      <c r="O294" t="str">
        <f>IF(datos_limpios[[#This Row],[Seating Capacity ]]&gt;4,"SI","NO")</f>
        <v>SI</v>
      </c>
      <c r="P294">
        <v>35</v>
      </c>
    </row>
    <row r="295" spans="1:16" x14ac:dyDescent="0.3">
      <c r="A295" s="8" t="s">
        <v>10</v>
      </c>
      <c r="B295" s="8" t="s">
        <v>939</v>
      </c>
      <c r="C295" s="9">
        <v>294</v>
      </c>
      <c r="D295" s="3">
        <v>325000</v>
      </c>
      <c r="E295" s="1">
        <f>datos_limpios[[#This Row],[Price INR   ]]*0.011</f>
        <v>3575</v>
      </c>
      <c r="F295" s="13">
        <v>2010</v>
      </c>
      <c r="G295" s="2">
        <v>56000</v>
      </c>
      <c r="H295" s="8" t="s">
        <v>12</v>
      </c>
      <c r="I295" s="8" t="s">
        <v>40</v>
      </c>
      <c r="J295" s="8" t="s">
        <v>131</v>
      </c>
      <c r="K295" t="s">
        <v>165</v>
      </c>
      <c r="L295" t="s">
        <v>1494</v>
      </c>
      <c r="M295" s="2">
        <f>VALUE(MID(L295,1,FIND("@",L295)-6))</f>
        <v>118</v>
      </c>
      <c r="N295">
        <v>5</v>
      </c>
      <c r="O295" t="str">
        <f>IF(datos_limpios[[#This Row],[Seating Capacity ]]&gt;4,"SI","NO")</f>
        <v>SI</v>
      </c>
      <c r="P295">
        <v>42</v>
      </c>
    </row>
    <row r="296" spans="1:16" x14ac:dyDescent="0.3">
      <c r="A296" s="8" t="s">
        <v>10</v>
      </c>
      <c r="B296" s="8" t="s">
        <v>939</v>
      </c>
      <c r="C296" s="9">
        <v>295</v>
      </c>
      <c r="D296" s="3">
        <v>325000</v>
      </c>
      <c r="E296" s="1">
        <f>datos_limpios[[#This Row],[Price INR   ]]*0.011</f>
        <v>3575</v>
      </c>
      <c r="F296" s="13">
        <v>2011</v>
      </c>
      <c r="G296" s="2">
        <v>89000</v>
      </c>
      <c r="H296" s="8" t="s">
        <v>12</v>
      </c>
      <c r="I296" s="8" t="s">
        <v>40</v>
      </c>
      <c r="J296" s="8" t="s">
        <v>77</v>
      </c>
      <c r="K296" t="s">
        <v>165</v>
      </c>
      <c r="L296" t="s">
        <v>1494</v>
      </c>
      <c r="M296" s="2">
        <f>VALUE(MID(L296,1,FIND("@",L296)-6))</f>
        <v>118</v>
      </c>
      <c r="N296">
        <v>5</v>
      </c>
      <c r="O296" t="str">
        <f>IF(datos_limpios[[#This Row],[Seating Capacity ]]&gt;4,"SI","NO")</f>
        <v>SI</v>
      </c>
      <c r="P296">
        <v>42</v>
      </c>
    </row>
    <row r="297" spans="1:16" x14ac:dyDescent="0.3">
      <c r="A297" s="8" t="s">
        <v>10</v>
      </c>
      <c r="B297" s="8" t="s">
        <v>1416</v>
      </c>
      <c r="C297" s="9">
        <v>296</v>
      </c>
      <c r="D297" s="3">
        <v>335000</v>
      </c>
      <c r="E297" s="1">
        <f>datos_limpios[[#This Row],[Price INR   ]]*0.011</f>
        <v>3685</v>
      </c>
      <c r="F297" s="13">
        <v>2013</v>
      </c>
      <c r="G297" s="2">
        <v>64418</v>
      </c>
      <c r="H297" s="8" t="s">
        <v>12</v>
      </c>
      <c r="I297" s="8" t="s">
        <v>40</v>
      </c>
      <c r="J297" s="8" t="s">
        <v>77</v>
      </c>
      <c r="K297" t="s">
        <v>15</v>
      </c>
      <c r="L297" t="s">
        <v>16</v>
      </c>
      <c r="M297" s="2">
        <f>VALUE(MID(L297,1,FIND("@",L297)-6))</f>
        <v>87</v>
      </c>
      <c r="N297">
        <v>5</v>
      </c>
      <c r="O297" t="str">
        <f>IF(datos_limpios[[#This Row],[Seating Capacity ]]&gt;4,"SI","NO")</f>
        <v>SI</v>
      </c>
      <c r="P297">
        <v>35</v>
      </c>
    </row>
    <row r="298" spans="1:16" x14ac:dyDescent="0.3">
      <c r="A298" s="8" t="s">
        <v>10</v>
      </c>
      <c r="B298" s="8" t="s">
        <v>160</v>
      </c>
      <c r="C298" s="9">
        <v>297</v>
      </c>
      <c r="D298" s="3">
        <v>341000</v>
      </c>
      <c r="E298" s="1">
        <f>datos_limpios[[#This Row],[Price INR   ]]*0.011</f>
        <v>3751</v>
      </c>
      <c r="F298" s="13">
        <v>2016</v>
      </c>
      <c r="G298" s="2">
        <v>49000</v>
      </c>
      <c r="H298" s="8" t="s">
        <v>12</v>
      </c>
      <c r="I298" s="8" t="s">
        <v>13</v>
      </c>
      <c r="J298" s="8" t="s">
        <v>20</v>
      </c>
      <c r="K298" t="s">
        <v>15</v>
      </c>
      <c r="L298" t="s">
        <v>16</v>
      </c>
      <c r="M298" s="2">
        <f>VALUE(MID(L298,1,FIND("@",L298)-6))</f>
        <v>87</v>
      </c>
      <c r="N298">
        <v>5</v>
      </c>
      <c r="O298" t="str">
        <f>IF(datos_limpios[[#This Row],[Seating Capacity ]]&gt;4,"SI","NO")</f>
        <v>SI</v>
      </c>
      <c r="P298">
        <v>35</v>
      </c>
    </row>
    <row r="299" spans="1:16" x14ac:dyDescent="0.3">
      <c r="A299" s="8" t="s">
        <v>10</v>
      </c>
      <c r="B299" s="8" t="s">
        <v>195</v>
      </c>
      <c r="C299" s="9">
        <v>298</v>
      </c>
      <c r="D299" s="3">
        <v>350000</v>
      </c>
      <c r="E299" s="1">
        <f>datos_limpios[[#This Row],[Price INR   ]]*0.011</f>
        <v>3850</v>
      </c>
      <c r="F299" s="13">
        <v>2014</v>
      </c>
      <c r="G299" s="2">
        <v>110000</v>
      </c>
      <c r="H299" s="8" t="s">
        <v>19</v>
      </c>
      <c r="I299" s="8" t="s">
        <v>13</v>
      </c>
      <c r="J299" s="8" t="s">
        <v>101</v>
      </c>
      <c r="K299" t="s">
        <v>196</v>
      </c>
      <c r="L299" t="s">
        <v>197</v>
      </c>
      <c r="M299" s="2">
        <f>VALUE(MID(L299,1,FIND("@",L299)-6))</f>
        <v>99</v>
      </c>
      <c r="N299">
        <v>5</v>
      </c>
      <c r="O299" t="str">
        <f>IF(datos_limpios[[#This Row],[Seating Capacity ]]&gt;4,"SI","NO")</f>
        <v>SI</v>
      </c>
      <c r="P299">
        <v>35</v>
      </c>
    </row>
    <row r="300" spans="1:16" x14ac:dyDescent="0.3">
      <c r="A300" s="8" t="s">
        <v>10</v>
      </c>
      <c r="B300" s="8" t="s">
        <v>94</v>
      </c>
      <c r="C300" s="9">
        <v>299</v>
      </c>
      <c r="D300" s="3">
        <v>351000</v>
      </c>
      <c r="E300" s="1">
        <f>datos_limpios[[#This Row],[Price INR   ]]*0.011</f>
        <v>3861</v>
      </c>
      <c r="F300" s="13">
        <v>2014</v>
      </c>
      <c r="G300" s="2">
        <v>39276</v>
      </c>
      <c r="H300" s="8" t="s">
        <v>12</v>
      </c>
      <c r="I300" s="8" t="s">
        <v>13</v>
      </c>
      <c r="J300" s="8" t="s">
        <v>30</v>
      </c>
      <c r="K300" t="s">
        <v>15</v>
      </c>
      <c r="L300" t="s">
        <v>16</v>
      </c>
      <c r="M300" s="2">
        <f>VALUE(MID(L300,1,FIND("@",L300)-6))</f>
        <v>87</v>
      </c>
      <c r="N300">
        <v>5</v>
      </c>
      <c r="O300" t="str">
        <f>IF(datos_limpios[[#This Row],[Seating Capacity ]]&gt;4,"SI","NO")</f>
        <v>SI</v>
      </c>
      <c r="P300">
        <v>35</v>
      </c>
    </row>
    <row r="301" spans="1:16" x14ac:dyDescent="0.3">
      <c r="A301" s="8" t="s">
        <v>10</v>
      </c>
      <c r="B301" s="8" t="s">
        <v>160</v>
      </c>
      <c r="C301" s="9">
        <v>300</v>
      </c>
      <c r="D301" s="3">
        <v>365000</v>
      </c>
      <c r="E301" s="1">
        <f>datos_limpios[[#This Row],[Price INR   ]]*0.011</f>
        <v>4014.9999999999995</v>
      </c>
      <c r="F301" s="13">
        <v>2014</v>
      </c>
      <c r="G301" s="2">
        <v>31000</v>
      </c>
      <c r="H301" s="8" t="s">
        <v>12</v>
      </c>
      <c r="I301" s="8" t="s">
        <v>13</v>
      </c>
      <c r="J301" s="8" t="s">
        <v>20</v>
      </c>
      <c r="K301" t="s">
        <v>15</v>
      </c>
      <c r="L301" t="s">
        <v>16</v>
      </c>
      <c r="M301" s="2">
        <f>VALUE(MID(L301,1,FIND("@",L301)-6))</f>
        <v>87</v>
      </c>
      <c r="N301">
        <v>5</v>
      </c>
      <c r="O301" t="str">
        <f>IF(datos_limpios[[#This Row],[Seating Capacity ]]&gt;4,"SI","NO")</f>
        <v>SI</v>
      </c>
      <c r="P301">
        <v>35</v>
      </c>
    </row>
    <row r="302" spans="1:16" x14ac:dyDescent="0.3">
      <c r="A302" s="8" t="s">
        <v>10</v>
      </c>
      <c r="B302" s="8" t="s">
        <v>757</v>
      </c>
      <c r="C302" s="9">
        <v>301</v>
      </c>
      <c r="D302" s="3">
        <v>365000</v>
      </c>
      <c r="E302" s="1">
        <f>datos_limpios[[#This Row],[Price INR   ]]*0.011</f>
        <v>4014.9999999999995</v>
      </c>
      <c r="F302" s="13">
        <v>2010</v>
      </c>
      <c r="G302" s="2">
        <v>58424</v>
      </c>
      <c r="H302" s="8" t="s">
        <v>12</v>
      </c>
      <c r="I302" s="8" t="s">
        <v>13</v>
      </c>
      <c r="J302" s="8" t="s">
        <v>131</v>
      </c>
      <c r="K302" t="s">
        <v>165</v>
      </c>
      <c r="L302" s="7" t="s">
        <v>1494</v>
      </c>
      <c r="M302" s="2">
        <f>VALUE(MID(L302,1,FIND("@",L302)-6))</f>
        <v>118</v>
      </c>
      <c r="N302">
        <v>5</v>
      </c>
      <c r="O302" t="str">
        <f>IF(datos_limpios[[#This Row],[Seating Capacity ]]&gt;4,"SI","NO")</f>
        <v>SI</v>
      </c>
      <c r="P302">
        <v>42</v>
      </c>
    </row>
    <row r="303" spans="1:16" x14ac:dyDescent="0.3">
      <c r="A303" s="8" t="s">
        <v>10</v>
      </c>
      <c r="B303" s="8" t="s">
        <v>241</v>
      </c>
      <c r="C303" s="9">
        <v>302</v>
      </c>
      <c r="D303" s="3">
        <v>375000</v>
      </c>
      <c r="E303" s="1">
        <f>datos_limpios[[#This Row],[Price INR   ]]*0.011</f>
        <v>4125</v>
      </c>
      <c r="F303" s="13">
        <v>2011</v>
      </c>
      <c r="G303" s="2">
        <v>78000</v>
      </c>
      <c r="H303" s="8" t="s">
        <v>12</v>
      </c>
      <c r="I303" s="8" t="s">
        <v>13</v>
      </c>
      <c r="J303" s="8" t="s">
        <v>115</v>
      </c>
      <c r="K303" t="s">
        <v>165</v>
      </c>
      <c r="L303" t="s">
        <v>1494</v>
      </c>
      <c r="M303" s="2">
        <f>VALUE(MID(L303,1,FIND("@",L303)-6))</f>
        <v>118</v>
      </c>
      <c r="N303">
        <v>5</v>
      </c>
      <c r="O303" t="str">
        <f>IF(datos_limpios[[#This Row],[Seating Capacity ]]&gt;4,"SI","NO")</f>
        <v>SI</v>
      </c>
      <c r="P303">
        <v>42</v>
      </c>
    </row>
    <row r="304" spans="1:16" x14ac:dyDescent="0.3">
      <c r="A304" s="8" t="s">
        <v>10</v>
      </c>
      <c r="B304" s="8" t="s">
        <v>877</v>
      </c>
      <c r="C304" s="9">
        <v>303</v>
      </c>
      <c r="D304" s="3">
        <v>375000</v>
      </c>
      <c r="E304" s="1">
        <f>datos_limpios[[#This Row],[Price INR   ]]*0.011</f>
        <v>4125</v>
      </c>
      <c r="F304" s="13">
        <v>2016</v>
      </c>
      <c r="G304" s="2">
        <v>35134</v>
      </c>
      <c r="H304" s="8" t="s">
        <v>12</v>
      </c>
      <c r="I304" s="8" t="s">
        <v>13</v>
      </c>
      <c r="J304" s="8" t="s">
        <v>77</v>
      </c>
      <c r="K304" t="s">
        <v>15</v>
      </c>
      <c r="L304" t="s">
        <v>16</v>
      </c>
      <c r="M304" s="2">
        <f>VALUE(MID(L304,1,FIND("@",L304)-6))</f>
        <v>87</v>
      </c>
      <c r="N304">
        <v>5</v>
      </c>
      <c r="O304" t="str">
        <f>IF(datos_limpios[[#This Row],[Seating Capacity ]]&gt;4,"SI","NO")</f>
        <v>SI</v>
      </c>
      <c r="P304">
        <v>35</v>
      </c>
    </row>
    <row r="305" spans="1:16" x14ac:dyDescent="0.3">
      <c r="A305" s="8" t="s">
        <v>10</v>
      </c>
      <c r="B305" s="8" t="s">
        <v>757</v>
      </c>
      <c r="C305" s="9">
        <v>304</v>
      </c>
      <c r="D305" s="3">
        <v>375000</v>
      </c>
      <c r="E305" s="1">
        <f>datos_limpios[[#This Row],[Price INR   ]]*0.011</f>
        <v>4125</v>
      </c>
      <c r="F305" s="13">
        <v>2012</v>
      </c>
      <c r="G305" s="2">
        <v>80350</v>
      </c>
      <c r="H305" s="8" t="s">
        <v>12</v>
      </c>
      <c r="I305" s="8" t="s">
        <v>13</v>
      </c>
      <c r="J305" s="8" t="s">
        <v>77</v>
      </c>
      <c r="K305" t="s">
        <v>165</v>
      </c>
      <c r="L305" t="s">
        <v>700</v>
      </c>
      <c r="M305" s="2">
        <f>VALUE(MID(L305,1,FIND("@",L305)-6))</f>
        <v>116</v>
      </c>
      <c r="N305">
        <v>5</v>
      </c>
      <c r="O305" t="str">
        <f>IF(datos_limpios[[#This Row],[Seating Capacity ]]&gt;4,"SI","NO")</f>
        <v>SI</v>
      </c>
      <c r="P305">
        <v>42</v>
      </c>
    </row>
    <row r="306" spans="1:16" x14ac:dyDescent="0.3">
      <c r="A306" s="8" t="s">
        <v>10</v>
      </c>
      <c r="B306" s="8" t="s">
        <v>1422</v>
      </c>
      <c r="C306" s="9">
        <v>305</v>
      </c>
      <c r="D306" s="3">
        <v>375000</v>
      </c>
      <c r="E306" s="1">
        <f>datos_limpios[[#This Row],[Price INR   ]]*0.011</f>
        <v>4125</v>
      </c>
      <c r="F306" s="13">
        <v>2013</v>
      </c>
      <c r="G306" s="2">
        <v>86000</v>
      </c>
      <c r="H306" s="8" t="s">
        <v>12</v>
      </c>
      <c r="I306" s="8" t="s">
        <v>13</v>
      </c>
      <c r="J306" s="8" t="s">
        <v>615</v>
      </c>
      <c r="K306" t="s">
        <v>165</v>
      </c>
      <c r="L306" t="s">
        <v>700</v>
      </c>
      <c r="M306" s="2">
        <f>VALUE(MID(L306,1,FIND("@",L306)-6))</f>
        <v>116</v>
      </c>
      <c r="N306">
        <v>5</v>
      </c>
      <c r="O306" t="str">
        <f>IF(datos_limpios[[#This Row],[Seating Capacity ]]&gt;4,"SI","NO")</f>
        <v>SI</v>
      </c>
      <c r="P306">
        <v>42</v>
      </c>
    </row>
    <row r="307" spans="1:16" x14ac:dyDescent="0.3">
      <c r="A307" s="8" t="s">
        <v>10</v>
      </c>
      <c r="B307" s="8" t="s">
        <v>195</v>
      </c>
      <c r="C307" s="9">
        <v>306</v>
      </c>
      <c r="D307" s="3">
        <v>385000</v>
      </c>
      <c r="E307" s="1">
        <f>datos_limpios[[#This Row],[Price INR   ]]*0.011</f>
        <v>4235</v>
      </c>
      <c r="F307" s="13">
        <v>2013</v>
      </c>
      <c r="G307" s="2">
        <v>72567</v>
      </c>
      <c r="H307" s="8" t="s">
        <v>19</v>
      </c>
      <c r="I307" s="8" t="s">
        <v>13</v>
      </c>
      <c r="J307" s="8" t="s">
        <v>20</v>
      </c>
      <c r="K307" t="s">
        <v>196</v>
      </c>
      <c r="L307" t="s">
        <v>197</v>
      </c>
      <c r="M307" s="2">
        <f>VALUE(MID(L307,1,FIND("@",L307)-6))</f>
        <v>99</v>
      </c>
      <c r="N307">
        <v>5</v>
      </c>
      <c r="O307" t="str">
        <f>IF(datos_limpios[[#This Row],[Seating Capacity ]]&gt;4,"SI","NO")</f>
        <v>SI</v>
      </c>
      <c r="P307">
        <v>35</v>
      </c>
    </row>
    <row r="308" spans="1:16" x14ac:dyDescent="0.3">
      <c r="A308" s="8" t="s">
        <v>10</v>
      </c>
      <c r="B308" s="8" t="s">
        <v>1290</v>
      </c>
      <c r="C308" s="9">
        <v>307</v>
      </c>
      <c r="D308" s="3">
        <v>390000</v>
      </c>
      <c r="E308" s="1">
        <f>datos_limpios[[#This Row],[Price INR   ]]*0.011</f>
        <v>4290</v>
      </c>
      <c r="F308" s="13">
        <v>2014</v>
      </c>
      <c r="G308" s="2">
        <v>67000</v>
      </c>
      <c r="H308" s="8" t="s">
        <v>12</v>
      </c>
      <c r="I308" s="8" t="s">
        <v>40</v>
      </c>
      <c r="J308" s="8" t="s">
        <v>30</v>
      </c>
      <c r="K308" t="s">
        <v>15</v>
      </c>
      <c r="L308" t="s">
        <v>16</v>
      </c>
      <c r="M308" s="2">
        <f>VALUE(MID(L308,1,FIND("@",L308)-6))</f>
        <v>87</v>
      </c>
      <c r="N308">
        <v>5</v>
      </c>
      <c r="O308" t="str">
        <f>IF(datos_limpios[[#This Row],[Seating Capacity ]]&gt;4,"SI","NO")</f>
        <v>SI</v>
      </c>
      <c r="P308">
        <v>35</v>
      </c>
    </row>
    <row r="309" spans="1:16" x14ac:dyDescent="0.3">
      <c r="A309" s="8" t="s">
        <v>10</v>
      </c>
      <c r="B309" s="8" t="s">
        <v>691</v>
      </c>
      <c r="C309" s="9">
        <v>308</v>
      </c>
      <c r="D309" s="3">
        <v>395000</v>
      </c>
      <c r="E309" s="1">
        <f>datos_limpios[[#This Row],[Price INR   ]]*0.011</f>
        <v>4345</v>
      </c>
      <c r="F309" s="13">
        <v>2014</v>
      </c>
      <c r="G309" s="2">
        <v>44527</v>
      </c>
      <c r="H309" s="8" t="s">
        <v>12</v>
      </c>
      <c r="I309" s="8" t="s">
        <v>13</v>
      </c>
      <c r="J309" s="8" t="s">
        <v>82</v>
      </c>
      <c r="K309" t="s">
        <v>15</v>
      </c>
      <c r="L309" t="s">
        <v>16</v>
      </c>
      <c r="M309" s="2">
        <f>VALUE(MID(L309,1,FIND("@",L309)-6))</f>
        <v>87</v>
      </c>
      <c r="N309">
        <v>5</v>
      </c>
      <c r="O309" t="str">
        <f>IF(datos_limpios[[#This Row],[Seating Capacity ]]&gt;4,"SI","NO")</f>
        <v>SI</v>
      </c>
      <c r="P309">
        <v>35</v>
      </c>
    </row>
    <row r="310" spans="1:16" x14ac:dyDescent="0.3">
      <c r="A310" s="8" t="s">
        <v>10</v>
      </c>
      <c r="B310" s="8" t="s">
        <v>746</v>
      </c>
      <c r="C310" s="9">
        <v>309</v>
      </c>
      <c r="D310" s="3">
        <v>400000</v>
      </c>
      <c r="E310" s="1">
        <f>datos_limpios[[#This Row],[Price INR   ]]*0.011</f>
        <v>4400</v>
      </c>
      <c r="F310" s="13">
        <v>2016</v>
      </c>
      <c r="G310" s="2">
        <v>50000</v>
      </c>
      <c r="H310" s="8" t="s">
        <v>12</v>
      </c>
      <c r="I310" s="8" t="s">
        <v>13</v>
      </c>
      <c r="J310" s="8" t="s">
        <v>30</v>
      </c>
      <c r="K310" t="s">
        <v>97</v>
      </c>
      <c r="L310" t="s">
        <v>98</v>
      </c>
      <c r="M310" s="2">
        <f>VALUE(MID(L310,1,FIND("@",L310)-6))</f>
        <v>89</v>
      </c>
      <c r="N310">
        <v>5</v>
      </c>
      <c r="O310" t="str">
        <f>IF(datos_limpios[[#This Row],[Seating Capacity ]]&gt;4,"SI","NO")</f>
        <v>SI</v>
      </c>
      <c r="P310">
        <v>40</v>
      </c>
    </row>
    <row r="311" spans="1:16" x14ac:dyDescent="0.3">
      <c r="A311" s="8" t="s">
        <v>10</v>
      </c>
      <c r="B311" s="8" t="s">
        <v>757</v>
      </c>
      <c r="C311" s="9">
        <v>310</v>
      </c>
      <c r="D311" s="3">
        <v>400000</v>
      </c>
      <c r="E311" s="1">
        <f>datos_limpios[[#This Row],[Price INR   ]]*0.011</f>
        <v>4400</v>
      </c>
      <c r="F311" s="13">
        <v>2013</v>
      </c>
      <c r="G311" s="2">
        <v>76000</v>
      </c>
      <c r="H311" s="8" t="s">
        <v>12</v>
      </c>
      <c r="I311" s="8" t="s">
        <v>13</v>
      </c>
      <c r="J311" s="8" t="s">
        <v>20</v>
      </c>
      <c r="K311" t="s">
        <v>165</v>
      </c>
      <c r="L311" t="s">
        <v>700</v>
      </c>
      <c r="M311" s="2">
        <f>VALUE(MID(L311,1,FIND("@",L311)-6))</f>
        <v>116</v>
      </c>
      <c r="N311">
        <v>5</v>
      </c>
      <c r="O311" t="str">
        <f>IF(datos_limpios[[#This Row],[Seating Capacity ]]&gt;4,"SI","NO")</f>
        <v>SI</v>
      </c>
      <c r="P311">
        <v>42</v>
      </c>
    </row>
    <row r="312" spans="1:16" x14ac:dyDescent="0.3">
      <c r="A312" s="8" t="s">
        <v>10</v>
      </c>
      <c r="B312" s="8" t="s">
        <v>559</v>
      </c>
      <c r="C312" s="9">
        <v>311</v>
      </c>
      <c r="D312" s="3">
        <v>425000</v>
      </c>
      <c r="E312" s="1">
        <f>datos_limpios[[#This Row],[Price INR   ]]*0.011</f>
        <v>4675</v>
      </c>
      <c r="F312" s="13">
        <v>2014</v>
      </c>
      <c r="G312" s="2">
        <v>75000</v>
      </c>
      <c r="H312" s="8" t="s">
        <v>19</v>
      </c>
      <c r="I312" s="8" t="s">
        <v>13</v>
      </c>
      <c r="J312" s="8" t="s">
        <v>20</v>
      </c>
      <c r="K312" t="s">
        <v>196</v>
      </c>
      <c r="L312" t="s">
        <v>197</v>
      </c>
      <c r="M312" s="2">
        <f>VALUE(MID(L312,1,FIND("@",L312)-6))</f>
        <v>99</v>
      </c>
      <c r="N312">
        <v>5</v>
      </c>
      <c r="O312" t="str">
        <f>IF(datos_limpios[[#This Row],[Seating Capacity ]]&gt;4,"SI","NO")</f>
        <v>SI</v>
      </c>
      <c r="P312">
        <v>40</v>
      </c>
    </row>
    <row r="313" spans="1:16" x14ac:dyDescent="0.3">
      <c r="A313" s="8" t="s">
        <v>10</v>
      </c>
      <c r="B313" s="8" t="s">
        <v>691</v>
      </c>
      <c r="C313" s="9">
        <v>312</v>
      </c>
      <c r="D313" s="3">
        <v>425000</v>
      </c>
      <c r="E313" s="1">
        <f>datos_limpios[[#This Row],[Price INR   ]]*0.011</f>
        <v>4675</v>
      </c>
      <c r="F313" s="13">
        <v>2014</v>
      </c>
      <c r="G313" s="2">
        <v>53610</v>
      </c>
      <c r="H313" s="8" t="s">
        <v>12</v>
      </c>
      <c r="I313" s="8" t="s">
        <v>13</v>
      </c>
      <c r="J313" s="8" t="s">
        <v>20</v>
      </c>
      <c r="K313" t="s">
        <v>15</v>
      </c>
      <c r="L313" t="s">
        <v>16</v>
      </c>
      <c r="M313" s="2">
        <f>VALUE(MID(L313,1,FIND("@",L313)-6))</f>
        <v>87</v>
      </c>
      <c r="N313">
        <v>5</v>
      </c>
      <c r="O313" t="str">
        <f>IF(datos_limpios[[#This Row],[Seating Capacity ]]&gt;4,"SI","NO")</f>
        <v>SI</v>
      </c>
      <c r="P313">
        <v>35</v>
      </c>
    </row>
    <row r="314" spans="1:16" x14ac:dyDescent="0.3">
      <c r="A314" s="8" t="s">
        <v>10</v>
      </c>
      <c r="B314" s="8" t="s">
        <v>1218</v>
      </c>
      <c r="C314" s="9">
        <v>313</v>
      </c>
      <c r="D314" s="3">
        <v>425000</v>
      </c>
      <c r="E314" s="1">
        <f>datos_limpios[[#This Row],[Price INR   ]]*0.011</f>
        <v>4675</v>
      </c>
      <c r="F314" s="13">
        <v>2013</v>
      </c>
      <c r="G314" s="2">
        <v>79500</v>
      </c>
      <c r="H314" s="8" t="s">
        <v>19</v>
      </c>
      <c r="I314" s="8" t="s">
        <v>13</v>
      </c>
      <c r="J314" s="8" t="s">
        <v>77</v>
      </c>
      <c r="K314" t="s">
        <v>196</v>
      </c>
      <c r="L314" t="s">
        <v>197</v>
      </c>
      <c r="M314" s="2">
        <f>VALUE(MID(L314,1,FIND("@",L314)-6))</f>
        <v>99</v>
      </c>
      <c r="N314">
        <v>5</v>
      </c>
      <c r="O314" t="str">
        <f>IF(datos_limpios[[#This Row],[Seating Capacity ]]&gt;4,"SI","NO")</f>
        <v>SI</v>
      </c>
      <c r="P314">
        <v>35</v>
      </c>
    </row>
    <row r="315" spans="1:16" x14ac:dyDescent="0.3">
      <c r="A315" s="8" t="s">
        <v>10</v>
      </c>
      <c r="B315" s="8" t="s">
        <v>470</v>
      </c>
      <c r="C315" s="9">
        <v>314</v>
      </c>
      <c r="D315" s="3">
        <v>425000</v>
      </c>
      <c r="E315" s="1">
        <f>datos_limpios[[#This Row],[Price INR   ]]*0.011</f>
        <v>4675</v>
      </c>
      <c r="F315" s="13">
        <v>2014</v>
      </c>
      <c r="G315" s="2">
        <v>75000</v>
      </c>
      <c r="H315" s="8" t="s">
        <v>19</v>
      </c>
      <c r="I315" s="8" t="s">
        <v>13</v>
      </c>
      <c r="J315" s="8" t="s">
        <v>82</v>
      </c>
      <c r="K315" t="s">
        <v>196</v>
      </c>
      <c r="L315" t="s">
        <v>197</v>
      </c>
      <c r="M315" s="2">
        <f>VALUE(MID(L315,1,FIND("@",L315)-6))</f>
        <v>99</v>
      </c>
      <c r="N315">
        <v>5</v>
      </c>
      <c r="O315" t="str">
        <f>IF(datos_limpios[[#This Row],[Seating Capacity ]]&gt;4,"SI","NO")</f>
        <v>SI</v>
      </c>
      <c r="P315">
        <v>35</v>
      </c>
    </row>
    <row r="316" spans="1:16" x14ac:dyDescent="0.3">
      <c r="A316" s="8" t="s">
        <v>10</v>
      </c>
      <c r="B316" s="8" t="s">
        <v>691</v>
      </c>
      <c r="C316" s="9">
        <v>315</v>
      </c>
      <c r="D316" s="3">
        <v>425000</v>
      </c>
      <c r="E316" s="1">
        <f>datos_limpios[[#This Row],[Price INR   ]]*0.011</f>
        <v>4675</v>
      </c>
      <c r="F316" s="13">
        <v>2014</v>
      </c>
      <c r="G316" s="2">
        <v>58600</v>
      </c>
      <c r="H316" s="8" t="s">
        <v>12</v>
      </c>
      <c r="I316" s="8" t="s">
        <v>13</v>
      </c>
      <c r="J316" s="8" t="s">
        <v>30</v>
      </c>
      <c r="K316" t="s">
        <v>15</v>
      </c>
      <c r="L316" t="s">
        <v>16</v>
      </c>
      <c r="M316" s="2">
        <f>VALUE(MID(L316,1,FIND("@",L316)-6))</f>
        <v>87</v>
      </c>
      <c r="N316">
        <v>5</v>
      </c>
      <c r="O316" t="str">
        <f>IF(datos_limpios[[#This Row],[Seating Capacity ]]&gt;4,"SI","NO")</f>
        <v>SI</v>
      </c>
      <c r="P316">
        <v>35</v>
      </c>
    </row>
    <row r="317" spans="1:16" x14ac:dyDescent="0.3">
      <c r="A317" s="8" t="s">
        <v>10</v>
      </c>
      <c r="B317" s="8" t="s">
        <v>545</v>
      </c>
      <c r="C317" s="9">
        <v>316</v>
      </c>
      <c r="D317" s="3">
        <v>434999</v>
      </c>
      <c r="E317" s="1">
        <f>datos_limpios[[#This Row],[Price INR   ]]*0.011</f>
        <v>4784.9889999999996</v>
      </c>
      <c r="F317" s="13">
        <v>2014</v>
      </c>
      <c r="G317" s="2">
        <v>50000</v>
      </c>
      <c r="H317" s="8" t="s">
        <v>12</v>
      </c>
      <c r="I317" s="8" t="s">
        <v>40</v>
      </c>
      <c r="J317" s="8" t="s">
        <v>20</v>
      </c>
      <c r="K317" t="s">
        <v>97</v>
      </c>
      <c r="L317" t="s">
        <v>98</v>
      </c>
      <c r="M317" s="2">
        <f>VALUE(MID(L317,1,FIND("@",L317)-6))</f>
        <v>89</v>
      </c>
      <c r="N317">
        <v>5</v>
      </c>
      <c r="O317" t="str">
        <f>IF(datos_limpios[[#This Row],[Seating Capacity ]]&gt;4,"SI","NO")</f>
        <v>SI</v>
      </c>
      <c r="P317">
        <v>35</v>
      </c>
    </row>
    <row r="318" spans="1:16" x14ac:dyDescent="0.3">
      <c r="A318" s="8" t="s">
        <v>10</v>
      </c>
      <c r="B318" s="8" t="s">
        <v>160</v>
      </c>
      <c r="C318" s="9">
        <v>317</v>
      </c>
      <c r="D318" s="3">
        <v>440000</v>
      </c>
      <c r="E318" s="1">
        <f>datos_limpios[[#This Row],[Price INR   ]]*0.011</f>
        <v>4840</v>
      </c>
      <c r="F318" s="13">
        <v>2016</v>
      </c>
      <c r="G318" s="2">
        <v>50374</v>
      </c>
      <c r="H318" s="8" t="s">
        <v>12</v>
      </c>
      <c r="I318" s="8" t="s">
        <v>13</v>
      </c>
      <c r="J318" s="8" t="s">
        <v>20</v>
      </c>
      <c r="K318" t="s">
        <v>15</v>
      </c>
      <c r="L318" t="s">
        <v>16</v>
      </c>
      <c r="M318" s="2">
        <f>VALUE(MID(L318,1,FIND("@",L318)-6))</f>
        <v>87</v>
      </c>
      <c r="N318">
        <v>5</v>
      </c>
      <c r="O318" t="str">
        <f>IF(datos_limpios[[#This Row],[Seating Capacity ]]&gt;4,"SI","NO")</f>
        <v>SI</v>
      </c>
      <c r="P318">
        <v>35</v>
      </c>
    </row>
    <row r="319" spans="1:16" x14ac:dyDescent="0.3">
      <c r="A319" s="8" t="s">
        <v>10</v>
      </c>
      <c r="B319" s="8" t="s">
        <v>232</v>
      </c>
      <c r="C319" s="9">
        <v>318</v>
      </c>
      <c r="D319" s="3">
        <v>445000</v>
      </c>
      <c r="E319" s="1">
        <f>datos_limpios[[#This Row],[Price INR   ]]*0.011</f>
        <v>4895</v>
      </c>
      <c r="F319" s="13">
        <v>2016</v>
      </c>
      <c r="G319" s="2">
        <v>63882</v>
      </c>
      <c r="H319" s="8" t="s">
        <v>12</v>
      </c>
      <c r="I319" s="8" t="s">
        <v>13</v>
      </c>
      <c r="J319" s="8" t="s">
        <v>115</v>
      </c>
      <c r="K319" t="s">
        <v>15</v>
      </c>
      <c r="L319" t="s">
        <v>16</v>
      </c>
      <c r="M319" s="2">
        <f>VALUE(MID(L319,1,FIND("@",L319)-6))</f>
        <v>87</v>
      </c>
      <c r="N319">
        <v>5</v>
      </c>
      <c r="O319" t="str">
        <f>IF(datos_limpios[[#This Row],[Seating Capacity ]]&gt;4,"SI","NO")</f>
        <v>SI</v>
      </c>
      <c r="P319">
        <v>35</v>
      </c>
    </row>
    <row r="320" spans="1:16" x14ac:dyDescent="0.3">
      <c r="A320" s="8" t="s">
        <v>10</v>
      </c>
      <c r="B320" s="8" t="s">
        <v>757</v>
      </c>
      <c r="C320" s="9">
        <v>319</v>
      </c>
      <c r="D320" s="3">
        <v>445000</v>
      </c>
      <c r="E320" s="1">
        <f>datos_limpios[[#This Row],[Price INR   ]]*0.011</f>
        <v>4895</v>
      </c>
      <c r="F320" s="13">
        <v>2012</v>
      </c>
      <c r="G320" s="2">
        <v>111000</v>
      </c>
      <c r="H320" s="8" t="s">
        <v>12</v>
      </c>
      <c r="I320" s="8" t="s">
        <v>13</v>
      </c>
      <c r="J320" s="8" t="s">
        <v>30</v>
      </c>
      <c r="K320" t="s">
        <v>165</v>
      </c>
      <c r="L320" t="s">
        <v>700</v>
      </c>
      <c r="M320" s="2">
        <f>VALUE(MID(L320,1,FIND("@",L320)-6))</f>
        <v>116</v>
      </c>
      <c r="N320">
        <v>5</v>
      </c>
      <c r="O320" t="str">
        <f>IF(datos_limpios[[#This Row],[Seating Capacity ]]&gt;4,"SI","NO")</f>
        <v>SI</v>
      </c>
      <c r="P320">
        <v>42</v>
      </c>
    </row>
    <row r="321" spans="1:16" x14ac:dyDescent="0.3">
      <c r="A321" s="8" t="s">
        <v>10</v>
      </c>
      <c r="B321" s="8" t="s">
        <v>538</v>
      </c>
      <c r="C321" s="9">
        <v>320</v>
      </c>
      <c r="D321" s="3">
        <v>450000</v>
      </c>
      <c r="E321" s="1">
        <f>datos_limpios[[#This Row],[Price INR   ]]*0.011</f>
        <v>4950</v>
      </c>
      <c r="F321" s="13">
        <v>2014</v>
      </c>
      <c r="G321" s="2">
        <v>48409</v>
      </c>
      <c r="H321" s="8" t="s">
        <v>12</v>
      </c>
      <c r="I321" s="8" t="s">
        <v>13</v>
      </c>
      <c r="J321" s="8" t="s">
        <v>20</v>
      </c>
      <c r="K321" t="s">
        <v>165</v>
      </c>
      <c r="L321" t="s">
        <v>166</v>
      </c>
      <c r="M321" s="2">
        <f>VALUE(MID(L321,1,FIND("@",L321)-6))</f>
        <v>117</v>
      </c>
      <c r="N321">
        <v>5</v>
      </c>
      <c r="O321" t="str">
        <f>IF(datos_limpios[[#This Row],[Seating Capacity ]]&gt;4,"SI","NO")</f>
        <v>SI</v>
      </c>
      <c r="P321">
        <v>40</v>
      </c>
    </row>
    <row r="322" spans="1:16" x14ac:dyDescent="0.3">
      <c r="A322" s="8" t="s">
        <v>10</v>
      </c>
      <c r="B322" s="8" t="s">
        <v>241</v>
      </c>
      <c r="C322" s="9">
        <v>321</v>
      </c>
      <c r="D322" s="3">
        <v>450000</v>
      </c>
      <c r="E322" s="1">
        <f>datos_limpios[[#This Row],[Price INR   ]]*0.011</f>
        <v>4950</v>
      </c>
      <c r="F322" s="13">
        <v>2013</v>
      </c>
      <c r="G322" s="2">
        <v>61000</v>
      </c>
      <c r="H322" s="8" t="s">
        <v>12</v>
      </c>
      <c r="I322" s="8" t="s">
        <v>13</v>
      </c>
      <c r="J322" s="8" t="s">
        <v>25</v>
      </c>
      <c r="K322" t="s">
        <v>165</v>
      </c>
      <c r="L322" t="s">
        <v>700</v>
      </c>
      <c r="M322" s="2">
        <f>VALUE(MID(L322,1,FIND("@",L322)-6))</f>
        <v>116</v>
      </c>
      <c r="N322">
        <v>5</v>
      </c>
      <c r="O322" t="str">
        <f>IF(datos_limpios[[#This Row],[Seating Capacity ]]&gt;4,"SI","NO")</f>
        <v>SI</v>
      </c>
      <c r="P322">
        <v>42</v>
      </c>
    </row>
    <row r="323" spans="1:16" x14ac:dyDescent="0.3">
      <c r="A323" s="8" t="s">
        <v>10</v>
      </c>
      <c r="B323" s="8" t="s">
        <v>545</v>
      </c>
      <c r="C323" s="9">
        <v>322</v>
      </c>
      <c r="D323" s="3">
        <v>465000</v>
      </c>
      <c r="E323" s="1">
        <f>datos_limpios[[#This Row],[Price INR   ]]*0.011</f>
        <v>5115</v>
      </c>
      <c r="F323" s="13">
        <v>2014</v>
      </c>
      <c r="G323" s="2">
        <v>29442</v>
      </c>
      <c r="H323" s="8" t="s">
        <v>12</v>
      </c>
      <c r="I323" s="8" t="s">
        <v>40</v>
      </c>
      <c r="J323" s="8" t="s">
        <v>77</v>
      </c>
      <c r="K323" t="s">
        <v>15</v>
      </c>
      <c r="L323" t="s">
        <v>16</v>
      </c>
      <c r="M323" s="2">
        <f>VALUE(MID(L323,1,FIND("@",L323)-6))</f>
        <v>87</v>
      </c>
      <c r="N323">
        <v>5</v>
      </c>
      <c r="O323" t="str">
        <f>IF(datos_limpios[[#This Row],[Seating Capacity ]]&gt;4,"SI","NO")</f>
        <v>SI</v>
      </c>
      <c r="P323">
        <v>35</v>
      </c>
    </row>
    <row r="324" spans="1:16" x14ac:dyDescent="0.3">
      <c r="A324" s="8" t="s">
        <v>10</v>
      </c>
      <c r="B324" s="8" t="s">
        <v>422</v>
      </c>
      <c r="C324" s="9">
        <v>323</v>
      </c>
      <c r="D324" s="3">
        <v>475000</v>
      </c>
      <c r="E324" s="1">
        <f>datos_limpios[[#This Row],[Price INR   ]]*0.011</f>
        <v>5225</v>
      </c>
      <c r="F324" s="13">
        <v>2015</v>
      </c>
      <c r="G324" s="2">
        <v>72000</v>
      </c>
      <c r="H324" s="8" t="s">
        <v>19</v>
      </c>
      <c r="I324" s="8" t="s">
        <v>13</v>
      </c>
      <c r="J324" s="8" t="s">
        <v>20</v>
      </c>
      <c r="K324" t="s">
        <v>196</v>
      </c>
      <c r="L324" t="s">
        <v>197</v>
      </c>
      <c r="M324" s="2">
        <f>VALUE(MID(L324,1,FIND("@",L324)-6))</f>
        <v>99</v>
      </c>
      <c r="N324">
        <v>7</v>
      </c>
      <c r="O324" t="str">
        <f>IF(datos_limpios[[#This Row],[Seating Capacity ]]&gt;4,"SI","NO")</f>
        <v>SI</v>
      </c>
      <c r="P324">
        <v>42</v>
      </c>
    </row>
    <row r="325" spans="1:16" x14ac:dyDescent="0.3">
      <c r="A325" s="8" t="s">
        <v>10</v>
      </c>
      <c r="B325" s="8" t="s">
        <v>691</v>
      </c>
      <c r="C325" s="9">
        <v>324</v>
      </c>
      <c r="D325" s="3">
        <v>475000</v>
      </c>
      <c r="E325" s="1">
        <f>datos_limpios[[#This Row],[Price INR   ]]*0.011</f>
        <v>5225</v>
      </c>
      <c r="F325" s="13">
        <v>2014</v>
      </c>
      <c r="G325" s="2">
        <v>65000</v>
      </c>
      <c r="H325" s="8" t="s">
        <v>12</v>
      </c>
      <c r="I325" s="8" t="s">
        <v>13</v>
      </c>
      <c r="J325" s="8" t="s">
        <v>77</v>
      </c>
      <c r="K325" t="s">
        <v>15</v>
      </c>
      <c r="L325" t="s">
        <v>16</v>
      </c>
      <c r="M325" s="2">
        <f>VALUE(MID(L325,1,FIND("@",L325)-6))</f>
        <v>87</v>
      </c>
      <c r="N325">
        <v>5</v>
      </c>
      <c r="O325" t="str">
        <f>IF(datos_limpios[[#This Row],[Seating Capacity ]]&gt;4,"SI","NO")</f>
        <v>SI</v>
      </c>
      <c r="P325">
        <v>35</v>
      </c>
    </row>
    <row r="326" spans="1:16" x14ac:dyDescent="0.3">
      <c r="A326" s="8" t="s">
        <v>10</v>
      </c>
      <c r="B326" s="8" t="s">
        <v>939</v>
      </c>
      <c r="C326" s="9">
        <v>325</v>
      </c>
      <c r="D326" s="3">
        <v>475000</v>
      </c>
      <c r="E326" s="1">
        <f>datos_limpios[[#This Row],[Price INR   ]]*0.011</f>
        <v>5225</v>
      </c>
      <c r="F326" s="13">
        <v>2012</v>
      </c>
      <c r="G326" s="2">
        <v>40000</v>
      </c>
      <c r="H326" s="8" t="s">
        <v>12</v>
      </c>
      <c r="I326" s="8" t="s">
        <v>40</v>
      </c>
      <c r="J326" s="8" t="s">
        <v>30</v>
      </c>
      <c r="K326" t="s">
        <v>165</v>
      </c>
      <c r="L326" t="s">
        <v>700</v>
      </c>
      <c r="M326" s="2">
        <f>VALUE(MID(L326,1,FIND("@",L326)-6))</f>
        <v>116</v>
      </c>
      <c r="N326">
        <v>5</v>
      </c>
      <c r="O326" t="str">
        <f>IF(datos_limpios[[#This Row],[Seating Capacity ]]&gt;4,"SI","NO")</f>
        <v>SI</v>
      </c>
      <c r="P326">
        <v>42</v>
      </c>
    </row>
    <row r="327" spans="1:16" x14ac:dyDescent="0.3">
      <c r="A327" s="8" t="s">
        <v>10</v>
      </c>
      <c r="B327" s="8" t="s">
        <v>1269</v>
      </c>
      <c r="C327" s="9">
        <v>326</v>
      </c>
      <c r="D327" s="3">
        <v>475000</v>
      </c>
      <c r="E327" s="1">
        <f>datos_limpios[[#This Row],[Price INR   ]]*0.011</f>
        <v>5225</v>
      </c>
      <c r="F327" s="13">
        <v>2011</v>
      </c>
      <c r="G327" s="2">
        <v>72000</v>
      </c>
      <c r="H327" s="8" t="s">
        <v>12</v>
      </c>
      <c r="I327" s="8" t="s">
        <v>40</v>
      </c>
      <c r="J327" s="8" t="s">
        <v>131</v>
      </c>
      <c r="K327" t="s">
        <v>315</v>
      </c>
      <c r="L327" t="s">
        <v>1270</v>
      </c>
      <c r="M327" s="2">
        <f>VALUE(MID(L327,1,FIND("@",L327)-6))</f>
        <v>178</v>
      </c>
      <c r="N327">
        <v>5</v>
      </c>
      <c r="O327" t="str">
        <f>IF(datos_limpios[[#This Row],[Seating Capacity ]]&gt;4,"SI","NO")</f>
        <v>SI</v>
      </c>
      <c r="P327">
        <v>70</v>
      </c>
    </row>
    <row r="328" spans="1:16" x14ac:dyDescent="0.3">
      <c r="A328" s="8" t="s">
        <v>10</v>
      </c>
      <c r="B328" s="8" t="s">
        <v>918</v>
      </c>
      <c r="C328" s="9">
        <v>327</v>
      </c>
      <c r="D328" s="3">
        <v>480000</v>
      </c>
      <c r="E328" s="1">
        <f>datos_limpios[[#This Row],[Price INR   ]]*0.011</f>
        <v>5280</v>
      </c>
      <c r="F328" s="13">
        <v>2016</v>
      </c>
      <c r="G328" s="2">
        <v>50000</v>
      </c>
      <c r="H328" s="8" t="s">
        <v>12</v>
      </c>
      <c r="I328" s="8" t="s">
        <v>13</v>
      </c>
      <c r="J328" s="8" t="s">
        <v>20</v>
      </c>
      <c r="K328" t="s">
        <v>15</v>
      </c>
      <c r="L328" t="s">
        <v>16</v>
      </c>
      <c r="M328" s="2">
        <f>VALUE(MID(L328,1,FIND("@",L328)-6))</f>
        <v>87</v>
      </c>
      <c r="N328">
        <v>5</v>
      </c>
      <c r="O328" t="str">
        <f>IF(datos_limpios[[#This Row],[Seating Capacity ]]&gt;4,"SI","NO")</f>
        <v>SI</v>
      </c>
      <c r="P328">
        <v>35</v>
      </c>
    </row>
    <row r="329" spans="1:16" x14ac:dyDescent="0.3">
      <c r="A329" s="8" t="s">
        <v>10</v>
      </c>
      <c r="B329" s="8" t="s">
        <v>318</v>
      </c>
      <c r="C329" s="9">
        <v>328</v>
      </c>
      <c r="D329" s="3">
        <v>480000</v>
      </c>
      <c r="E329" s="1">
        <f>datos_limpios[[#This Row],[Price INR   ]]*0.011</f>
        <v>5280</v>
      </c>
      <c r="F329" s="13">
        <v>2015</v>
      </c>
      <c r="G329" s="2">
        <v>49000</v>
      </c>
      <c r="H329" s="8" t="s">
        <v>12</v>
      </c>
      <c r="I329" s="8" t="s">
        <v>13</v>
      </c>
      <c r="J329" s="8" t="s">
        <v>14</v>
      </c>
      <c r="K329" t="s">
        <v>165</v>
      </c>
      <c r="L329" t="s">
        <v>166</v>
      </c>
      <c r="M329" s="2">
        <f>VALUE(MID(L329,1,FIND("@",L329)-6))</f>
        <v>117</v>
      </c>
      <c r="N329">
        <v>5</v>
      </c>
      <c r="O329" t="str">
        <f>IF(datos_limpios[[#This Row],[Seating Capacity ]]&gt;4,"SI","NO")</f>
        <v>SI</v>
      </c>
      <c r="P329">
        <v>40</v>
      </c>
    </row>
    <row r="330" spans="1:16" x14ac:dyDescent="0.3">
      <c r="A330" s="8" t="s">
        <v>10</v>
      </c>
      <c r="B330" s="8" t="s">
        <v>543</v>
      </c>
      <c r="C330" s="9">
        <v>329</v>
      </c>
      <c r="D330" s="3">
        <v>495000</v>
      </c>
      <c r="E330" s="1">
        <f>datos_limpios[[#This Row],[Price INR   ]]*0.011</f>
        <v>5445</v>
      </c>
      <c r="F330" s="13">
        <v>2015</v>
      </c>
      <c r="G330" s="2">
        <v>52000</v>
      </c>
      <c r="H330" s="8" t="s">
        <v>12</v>
      </c>
      <c r="I330" s="8" t="s">
        <v>13</v>
      </c>
      <c r="J330" s="8" t="s">
        <v>82</v>
      </c>
      <c r="K330" t="s">
        <v>97</v>
      </c>
      <c r="L330" t="s">
        <v>98</v>
      </c>
      <c r="M330" s="2">
        <f>VALUE(MID(L330,1,FIND("@",L330)-6))</f>
        <v>89</v>
      </c>
      <c r="N330">
        <v>5</v>
      </c>
      <c r="O330" t="str">
        <f>IF(datos_limpios[[#This Row],[Seating Capacity ]]&gt;4,"SI","NO")</f>
        <v>SI</v>
      </c>
      <c r="P330">
        <v>40</v>
      </c>
    </row>
    <row r="331" spans="1:16" x14ac:dyDescent="0.3">
      <c r="A331" s="8" t="s">
        <v>10</v>
      </c>
      <c r="B331" s="8" t="s">
        <v>939</v>
      </c>
      <c r="C331" s="9">
        <v>330</v>
      </c>
      <c r="D331" s="3">
        <v>495000</v>
      </c>
      <c r="E331" s="1">
        <f>datos_limpios[[#This Row],[Price INR   ]]*0.011</f>
        <v>5445</v>
      </c>
      <c r="F331" s="13">
        <v>2012</v>
      </c>
      <c r="G331" s="2">
        <v>65001</v>
      </c>
      <c r="H331" s="8" t="s">
        <v>12</v>
      </c>
      <c r="I331" s="8" t="s">
        <v>40</v>
      </c>
      <c r="J331" s="8" t="s">
        <v>30</v>
      </c>
      <c r="K331" t="s">
        <v>165</v>
      </c>
      <c r="L331" t="s">
        <v>700</v>
      </c>
      <c r="M331" s="2">
        <f>VALUE(MID(L331,1,FIND("@",L331)-6))</f>
        <v>116</v>
      </c>
      <c r="N331">
        <v>5</v>
      </c>
      <c r="O331" t="str">
        <f>IF(datos_limpios[[#This Row],[Seating Capacity ]]&gt;4,"SI","NO")</f>
        <v>SI</v>
      </c>
      <c r="P331">
        <v>42</v>
      </c>
    </row>
    <row r="332" spans="1:16" x14ac:dyDescent="0.3">
      <c r="A332" s="8" t="s">
        <v>10</v>
      </c>
      <c r="B332" s="8" t="s">
        <v>770</v>
      </c>
      <c r="C332" s="9">
        <v>331</v>
      </c>
      <c r="D332" s="3">
        <v>499000</v>
      </c>
      <c r="E332" s="1">
        <f>datos_limpios[[#This Row],[Price INR   ]]*0.011</f>
        <v>5489</v>
      </c>
      <c r="F332" s="13">
        <v>2014</v>
      </c>
      <c r="G332" s="2">
        <v>140000</v>
      </c>
      <c r="H332" s="8" t="s">
        <v>19</v>
      </c>
      <c r="I332" s="8" t="s">
        <v>13</v>
      </c>
      <c r="J332" s="8" t="s">
        <v>20</v>
      </c>
      <c r="K332" t="s">
        <v>196</v>
      </c>
      <c r="L332" t="s">
        <v>197</v>
      </c>
      <c r="M332" s="2">
        <f>VALUE(MID(L332,1,FIND("@",L332)-6))</f>
        <v>99</v>
      </c>
      <c r="N332">
        <v>5</v>
      </c>
      <c r="O332" t="str">
        <f>IF(datos_limpios[[#This Row],[Seating Capacity ]]&gt;4,"SI","NO")</f>
        <v>SI</v>
      </c>
      <c r="P332">
        <v>40</v>
      </c>
    </row>
    <row r="333" spans="1:16" x14ac:dyDescent="0.3">
      <c r="A333" s="8" t="s">
        <v>10</v>
      </c>
      <c r="B333" s="8" t="s">
        <v>241</v>
      </c>
      <c r="C333" s="9">
        <v>332</v>
      </c>
      <c r="D333" s="3">
        <v>499000</v>
      </c>
      <c r="E333" s="1">
        <f>datos_limpios[[#This Row],[Price INR   ]]*0.011</f>
        <v>5489</v>
      </c>
      <c r="F333" s="13">
        <v>2012</v>
      </c>
      <c r="G333" s="2">
        <v>96506</v>
      </c>
      <c r="H333" s="8" t="s">
        <v>12</v>
      </c>
      <c r="I333" s="8" t="s">
        <v>13</v>
      </c>
      <c r="J333" s="8" t="s">
        <v>77</v>
      </c>
      <c r="K333" t="s">
        <v>165</v>
      </c>
      <c r="L333" t="s">
        <v>700</v>
      </c>
      <c r="M333" s="2">
        <f>VALUE(MID(L333,1,FIND("@",L333)-6))</f>
        <v>116</v>
      </c>
      <c r="N333">
        <v>5</v>
      </c>
      <c r="O333" t="str">
        <f>IF(datos_limpios[[#This Row],[Seating Capacity ]]&gt;4,"SI","NO")</f>
        <v>SI</v>
      </c>
      <c r="P333">
        <v>42</v>
      </c>
    </row>
    <row r="334" spans="1:16" x14ac:dyDescent="0.3">
      <c r="A334" s="8" t="s">
        <v>10</v>
      </c>
      <c r="B334" s="8" t="s">
        <v>241</v>
      </c>
      <c r="C334" s="9">
        <v>333</v>
      </c>
      <c r="D334" s="3">
        <v>500000</v>
      </c>
      <c r="E334" s="1">
        <f>datos_limpios[[#This Row],[Price INR   ]]*0.011</f>
        <v>5500</v>
      </c>
      <c r="F334" s="13">
        <v>2013</v>
      </c>
      <c r="G334" s="2">
        <v>65000</v>
      </c>
      <c r="H334" s="8" t="s">
        <v>12</v>
      </c>
      <c r="I334" s="8" t="s">
        <v>13</v>
      </c>
      <c r="J334" s="8" t="s">
        <v>82</v>
      </c>
      <c r="K334" t="s">
        <v>165</v>
      </c>
      <c r="L334" t="s">
        <v>700</v>
      </c>
      <c r="M334" s="2">
        <f>VALUE(MID(L334,1,FIND("@",L334)-6))</f>
        <v>116</v>
      </c>
      <c r="N334">
        <v>5</v>
      </c>
      <c r="O334" t="str">
        <f>IF(datos_limpios[[#This Row],[Seating Capacity ]]&gt;4,"SI","NO")</f>
        <v>SI</v>
      </c>
      <c r="P334">
        <v>42</v>
      </c>
    </row>
    <row r="335" spans="1:16" x14ac:dyDescent="0.3">
      <c r="A335" s="8" t="s">
        <v>10</v>
      </c>
      <c r="B335" s="8" t="s">
        <v>746</v>
      </c>
      <c r="C335" s="9">
        <v>334</v>
      </c>
      <c r="D335" s="3">
        <v>500000</v>
      </c>
      <c r="E335" s="1">
        <f>datos_limpios[[#This Row],[Price INR   ]]*0.011</f>
        <v>5500</v>
      </c>
      <c r="F335" s="13">
        <v>2016</v>
      </c>
      <c r="G335" s="2">
        <v>54440</v>
      </c>
      <c r="H335" s="8" t="s">
        <v>12</v>
      </c>
      <c r="I335" s="8" t="s">
        <v>13</v>
      </c>
      <c r="J335" s="8" t="s">
        <v>77</v>
      </c>
      <c r="K335" t="s">
        <v>97</v>
      </c>
      <c r="L335" t="s">
        <v>98</v>
      </c>
      <c r="M335" s="2">
        <f>VALUE(MID(L335,1,FIND("@",L335)-6))</f>
        <v>89</v>
      </c>
      <c r="N335">
        <v>5</v>
      </c>
      <c r="O335" t="str">
        <f>IF(datos_limpios[[#This Row],[Seating Capacity ]]&gt;4,"SI","NO")</f>
        <v>SI</v>
      </c>
      <c r="P335">
        <v>40</v>
      </c>
    </row>
    <row r="336" spans="1:16" x14ac:dyDescent="0.3">
      <c r="A336" s="8" t="s">
        <v>10</v>
      </c>
      <c r="B336" s="8" t="s">
        <v>11</v>
      </c>
      <c r="C336" s="9">
        <v>335</v>
      </c>
      <c r="D336" s="3">
        <v>505000</v>
      </c>
      <c r="E336" s="1">
        <f>datos_limpios[[#This Row],[Price INR   ]]*0.011</f>
        <v>5555</v>
      </c>
      <c r="F336" s="13">
        <v>2017</v>
      </c>
      <c r="G336" s="2">
        <v>87150</v>
      </c>
      <c r="H336" s="8" t="s">
        <v>12</v>
      </c>
      <c r="I336" s="8" t="s">
        <v>13</v>
      </c>
      <c r="J336" s="8" t="s">
        <v>14</v>
      </c>
      <c r="K336" t="s">
        <v>15</v>
      </c>
      <c r="L336" t="s">
        <v>16</v>
      </c>
      <c r="M336" s="2">
        <f>VALUE(MID(L336,1,FIND("@",L336)-6))</f>
        <v>87</v>
      </c>
      <c r="N336">
        <v>5</v>
      </c>
      <c r="O336" t="str">
        <f>IF(datos_limpios[[#This Row],[Seating Capacity ]]&gt;4,"SI","NO")</f>
        <v>SI</v>
      </c>
      <c r="P336">
        <v>35</v>
      </c>
    </row>
    <row r="337" spans="1:16" x14ac:dyDescent="0.3">
      <c r="A337" s="8" t="s">
        <v>10</v>
      </c>
      <c r="B337" s="8" t="s">
        <v>1063</v>
      </c>
      <c r="C337" s="9">
        <v>336</v>
      </c>
      <c r="D337" s="3">
        <v>515000</v>
      </c>
      <c r="E337" s="1">
        <f>datos_limpios[[#This Row],[Price INR   ]]*0.011</f>
        <v>5665</v>
      </c>
      <c r="F337" s="13">
        <v>2015</v>
      </c>
      <c r="G337" s="2">
        <v>63587</v>
      </c>
      <c r="H337" s="8" t="s">
        <v>19</v>
      </c>
      <c r="I337" s="8" t="s">
        <v>13</v>
      </c>
      <c r="J337" s="8" t="s">
        <v>82</v>
      </c>
      <c r="K337" t="s">
        <v>196</v>
      </c>
      <c r="L337" t="s">
        <v>197</v>
      </c>
      <c r="M337" s="2">
        <f>VALUE(MID(L337,1,FIND("@",L337)-6))</f>
        <v>99</v>
      </c>
      <c r="N337">
        <v>5</v>
      </c>
      <c r="O337" t="str">
        <f>IF(datos_limpios[[#This Row],[Seating Capacity ]]&gt;4,"SI","NO")</f>
        <v>SI</v>
      </c>
      <c r="P337">
        <v>35</v>
      </c>
    </row>
    <row r="338" spans="1:16" x14ac:dyDescent="0.3">
      <c r="A338" s="8" t="s">
        <v>10</v>
      </c>
      <c r="B338" s="8" t="s">
        <v>1331</v>
      </c>
      <c r="C338" s="9">
        <v>337</v>
      </c>
      <c r="D338" s="3">
        <v>520000</v>
      </c>
      <c r="E338" s="1">
        <f>datos_limpios[[#This Row],[Price INR   ]]*0.011</f>
        <v>5720</v>
      </c>
      <c r="F338" s="13">
        <v>2015</v>
      </c>
      <c r="G338" s="2">
        <v>42000</v>
      </c>
      <c r="H338" s="8" t="s">
        <v>12</v>
      </c>
      <c r="I338" s="8" t="s">
        <v>40</v>
      </c>
      <c r="J338" s="8" t="s">
        <v>20</v>
      </c>
      <c r="K338" t="s">
        <v>15</v>
      </c>
      <c r="L338" t="s">
        <v>16</v>
      </c>
      <c r="M338" s="2">
        <f>VALUE(MID(L338,1,FIND("@",L338)-6))</f>
        <v>87</v>
      </c>
      <c r="N338">
        <v>5</v>
      </c>
      <c r="O338" t="str">
        <f>IF(datos_limpios[[#This Row],[Seating Capacity ]]&gt;4,"SI","NO")</f>
        <v>SI</v>
      </c>
      <c r="P338">
        <v>40</v>
      </c>
    </row>
    <row r="339" spans="1:16" x14ac:dyDescent="0.3">
      <c r="A339" s="8" t="s">
        <v>10</v>
      </c>
      <c r="B339" s="8" t="s">
        <v>634</v>
      </c>
      <c r="C339" s="9">
        <v>338</v>
      </c>
      <c r="D339" s="3">
        <v>525000</v>
      </c>
      <c r="E339" s="1">
        <f>datos_limpios[[#This Row],[Price INR   ]]*0.011</f>
        <v>5775</v>
      </c>
      <c r="F339" s="13">
        <v>2015</v>
      </c>
      <c r="G339" s="2">
        <v>114635</v>
      </c>
      <c r="H339" s="8" t="s">
        <v>19</v>
      </c>
      <c r="I339" s="8" t="s">
        <v>13</v>
      </c>
      <c r="J339" s="8" t="s">
        <v>14</v>
      </c>
      <c r="K339" t="s">
        <v>196</v>
      </c>
      <c r="L339" t="s">
        <v>197</v>
      </c>
      <c r="M339" s="2">
        <f>VALUE(MID(L339,1,FIND("@",L339)-6))</f>
        <v>99</v>
      </c>
      <c r="N339">
        <v>5</v>
      </c>
      <c r="O339" t="str">
        <f>IF(datos_limpios[[#This Row],[Seating Capacity ]]&gt;4,"SI","NO")</f>
        <v>SI</v>
      </c>
      <c r="P339">
        <v>40</v>
      </c>
    </row>
    <row r="340" spans="1:16" x14ac:dyDescent="0.3">
      <c r="A340" s="8" t="s">
        <v>10</v>
      </c>
      <c r="B340" s="8" t="s">
        <v>1167</v>
      </c>
      <c r="C340" s="9">
        <v>339</v>
      </c>
      <c r="D340" s="3">
        <v>525000</v>
      </c>
      <c r="E340" s="1">
        <f>datos_limpios[[#This Row],[Price INR   ]]*0.011</f>
        <v>5775</v>
      </c>
      <c r="F340" s="13">
        <v>2015</v>
      </c>
      <c r="G340" s="2">
        <v>68244</v>
      </c>
      <c r="H340" s="8" t="s">
        <v>19</v>
      </c>
      <c r="I340" s="8" t="s">
        <v>13</v>
      </c>
      <c r="J340" s="8" t="s">
        <v>77</v>
      </c>
      <c r="K340" t="s">
        <v>196</v>
      </c>
      <c r="L340" t="s">
        <v>1168</v>
      </c>
      <c r="M340" s="2">
        <f>VALUE(MID(L340,1,FIND("@",L340)-6))</f>
        <v>98</v>
      </c>
      <c r="N340">
        <v>5</v>
      </c>
      <c r="O340" t="str">
        <f>IF(datos_limpios[[#This Row],[Seating Capacity ]]&gt;4,"SI","NO")</f>
        <v>SI</v>
      </c>
      <c r="P340">
        <v>40</v>
      </c>
    </row>
    <row r="341" spans="1:16" x14ac:dyDescent="0.3">
      <c r="A341" s="8" t="s">
        <v>10</v>
      </c>
      <c r="B341" s="8" t="s">
        <v>746</v>
      </c>
      <c r="C341" s="9">
        <v>340</v>
      </c>
      <c r="D341" s="3">
        <v>525000</v>
      </c>
      <c r="E341" s="1">
        <f>datos_limpios[[#This Row],[Price INR   ]]*0.011</f>
        <v>5775</v>
      </c>
      <c r="F341" s="13">
        <v>2016</v>
      </c>
      <c r="G341" s="2">
        <v>18800</v>
      </c>
      <c r="H341" s="8" t="s">
        <v>12</v>
      </c>
      <c r="I341" s="8" t="s">
        <v>13</v>
      </c>
      <c r="J341" s="8" t="s">
        <v>14</v>
      </c>
      <c r="K341" t="s">
        <v>97</v>
      </c>
      <c r="L341" t="s">
        <v>98</v>
      </c>
      <c r="M341" s="2">
        <f>VALUE(MID(L341,1,FIND("@",L341)-6))</f>
        <v>89</v>
      </c>
      <c r="N341">
        <v>5</v>
      </c>
      <c r="O341" t="str">
        <f>IF(datos_limpios[[#This Row],[Seating Capacity ]]&gt;4,"SI","NO")</f>
        <v>SI</v>
      </c>
      <c r="P341">
        <v>40</v>
      </c>
    </row>
    <row r="342" spans="1:16" x14ac:dyDescent="0.3">
      <c r="A342" s="8" t="s">
        <v>10</v>
      </c>
      <c r="B342" s="8" t="s">
        <v>232</v>
      </c>
      <c r="C342" s="9">
        <v>341</v>
      </c>
      <c r="D342" s="3">
        <v>540000</v>
      </c>
      <c r="E342" s="1">
        <f>datos_limpios[[#This Row],[Price INR   ]]*0.011</f>
        <v>5940</v>
      </c>
      <c r="F342" s="13">
        <v>2017</v>
      </c>
      <c r="G342" s="2">
        <v>38700</v>
      </c>
      <c r="H342" s="8" t="s">
        <v>12</v>
      </c>
      <c r="I342" s="8" t="s">
        <v>13</v>
      </c>
      <c r="J342" s="8" t="s">
        <v>25</v>
      </c>
      <c r="K342" t="s">
        <v>15</v>
      </c>
      <c r="L342" t="s">
        <v>16</v>
      </c>
      <c r="M342" s="2">
        <f>VALUE(MID(L342,1,FIND("@",L342)-6))</f>
        <v>87</v>
      </c>
      <c r="N342">
        <v>5</v>
      </c>
      <c r="O342" t="str">
        <f>IF(datos_limpios[[#This Row],[Seating Capacity ]]&gt;4,"SI","NO")</f>
        <v>SI</v>
      </c>
      <c r="P342">
        <v>35</v>
      </c>
    </row>
    <row r="343" spans="1:16" x14ac:dyDescent="0.3">
      <c r="A343" s="8" t="s">
        <v>10</v>
      </c>
      <c r="B343" s="8" t="s">
        <v>559</v>
      </c>
      <c r="C343" s="9">
        <v>342</v>
      </c>
      <c r="D343" s="3">
        <v>540000</v>
      </c>
      <c r="E343" s="1">
        <f>datos_limpios[[#This Row],[Price INR   ]]*0.011</f>
        <v>5940</v>
      </c>
      <c r="F343" s="13">
        <v>2015</v>
      </c>
      <c r="G343" s="2">
        <v>76000</v>
      </c>
      <c r="H343" s="8" t="s">
        <v>19</v>
      </c>
      <c r="I343" s="8" t="s">
        <v>13</v>
      </c>
      <c r="J343" s="8" t="s">
        <v>30</v>
      </c>
      <c r="K343" t="s">
        <v>196</v>
      </c>
      <c r="L343" t="s">
        <v>197</v>
      </c>
      <c r="M343" s="2">
        <f>VALUE(MID(L343,1,FIND("@",L343)-6))</f>
        <v>99</v>
      </c>
      <c r="N343">
        <v>5</v>
      </c>
      <c r="O343" t="str">
        <f>IF(datos_limpios[[#This Row],[Seating Capacity ]]&gt;4,"SI","NO")</f>
        <v>SI</v>
      </c>
      <c r="P343">
        <v>40</v>
      </c>
    </row>
    <row r="344" spans="1:16" x14ac:dyDescent="0.3">
      <c r="A344" s="8" t="s">
        <v>10</v>
      </c>
      <c r="B344" s="8" t="s">
        <v>481</v>
      </c>
      <c r="C344" s="9">
        <v>343</v>
      </c>
      <c r="D344" s="3">
        <v>545000</v>
      </c>
      <c r="E344" s="1">
        <f>datos_limpios[[#This Row],[Price INR   ]]*0.011</f>
        <v>5995</v>
      </c>
      <c r="F344" s="13">
        <v>2015</v>
      </c>
      <c r="G344" s="2">
        <v>42000</v>
      </c>
      <c r="H344" s="8" t="s">
        <v>12</v>
      </c>
      <c r="I344" s="8" t="s">
        <v>40</v>
      </c>
      <c r="J344" s="8" t="s">
        <v>20</v>
      </c>
      <c r="K344" t="s">
        <v>97</v>
      </c>
      <c r="L344" t="s">
        <v>98</v>
      </c>
      <c r="M344" s="2">
        <f>VALUE(MID(L344,1,FIND("@",L344)-6))</f>
        <v>89</v>
      </c>
      <c r="N344">
        <v>5</v>
      </c>
      <c r="O344" t="str">
        <f>IF(datos_limpios[[#This Row],[Seating Capacity ]]&gt;4,"SI","NO")</f>
        <v>SI</v>
      </c>
      <c r="P344">
        <v>40</v>
      </c>
    </row>
    <row r="345" spans="1:16" x14ac:dyDescent="0.3">
      <c r="A345" s="8" t="s">
        <v>10</v>
      </c>
      <c r="B345" s="8" t="s">
        <v>559</v>
      </c>
      <c r="C345" s="9">
        <v>344</v>
      </c>
      <c r="D345" s="3">
        <v>550000</v>
      </c>
      <c r="E345" s="1">
        <f>datos_limpios[[#This Row],[Price INR   ]]*0.011</f>
        <v>6050</v>
      </c>
      <c r="F345" s="13">
        <v>2014</v>
      </c>
      <c r="G345" s="2">
        <v>85000</v>
      </c>
      <c r="H345" s="8" t="s">
        <v>19</v>
      </c>
      <c r="I345" s="8" t="s">
        <v>13</v>
      </c>
      <c r="J345" s="8" t="s">
        <v>77</v>
      </c>
      <c r="K345" t="s">
        <v>196</v>
      </c>
      <c r="L345" t="s">
        <v>197</v>
      </c>
      <c r="M345" s="2">
        <f>VALUE(MID(L345,1,FIND("@",L345)-6))</f>
        <v>99</v>
      </c>
      <c r="N345">
        <v>5</v>
      </c>
      <c r="O345" t="str">
        <f>IF(datos_limpios[[#This Row],[Seating Capacity ]]&gt;4,"SI","NO")</f>
        <v>SI</v>
      </c>
      <c r="P345">
        <v>40</v>
      </c>
    </row>
    <row r="346" spans="1:16" x14ac:dyDescent="0.3">
      <c r="A346" s="8" t="s">
        <v>10</v>
      </c>
      <c r="B346" s="8" t="s">
        <v>939</v>
      </c>
      <c r="C346" s="9">
        <v>345</v>
      </c>
      <c r="D346" s="3">
        <v>550000</v>
      </c>
      <c r="E346" s="1">
        <f>datos_limpios[[#This Row],[Price INR   ]]*0.011</f>
        <v>6050</v>
      </c>
      <c r="F346" s="13">
        <v>2011</v>
      </c>
      <c r="G346" s="2">
        <v>69000</v>
      </c>
      <c r="H346" s="8" t="s">
        <v>12</v>
      </c>
      <c r="I346" s="8" t="s">
        <v>40</v>
      </c>
      <c r="J346" s="8" t="s">
        <v>101</v>
      </c>
      <c r="K346" t="s">
        <v>165</v>
      </c>
      <c r="L346" t="s">
        <v>1494</v>
      </c>
      <c r="M346" s="2">
        <f>VALUE(MID(L346,1,FIND("@",L346)-6))</f>
        <v>118</v>
      </c>
      <c r="N346">
        <v>5</v>
      </c>
      <c r="O346" t="str">
        <f>IF(datos_limpios[[#This Row],[Seating Capacity ]]&gt;4,"SI","NO")</f>
        <v>SI</v>
      </c>
      <c r="P346">
        <v>42</v>
      </c>
    </row>
    <row r="347" spans="1:16" x14ac:dyDescent="0.3">
      <c r="A347" s="8" t="s">
        <v>10</v>
      </c>
      <c r="B347" s="8" t="s">
        <v>956</v>
      </c>
      <c r="C347" s="9">
        <v>346</v>
      </c>
      <c r="D347" s="3">
        <v>550000</v>
      </c>
      <c r="E347" s="1">
        <f>datos_limpios[[#This Row],[Price INR   ]]*0.011</f>
        <v>6050</v>
      </c>
      <c r="F347" s="13">
        <v>2015</v>
      </c>
      <c r="G347" s="2">
        <v>44000</v>
      </c>
      <c r="H347" s="8" t="s">
        <v>12</v>
      </c>
      <c r="I347" s="8" t="s">
        <v>13</v>
      </c>
      <c r="J347" s="8" t="s">
        <v>14</v>
      </c>
      <c r="K347" t="s">
        <v>165</v>
      </c>
      <c r="L347" t="s">
        <v>166</v>
      </c>
      <c r="M347" s="2">
        <f>VALUE(MID(L347,1,FIND("@",L347)-6))</f>
        <v>117</v>
      </c>
      <c r="N347">
        <v>5</v>
      </c>
      <c r="O347" t="str">
        <f>IF(datos_limpios[[#This Row],[Seating Capacity ]]&gt;4,"SI","NO")</f>
        <v>SI</v>
      </c>
      <c r="P347">
        <v>40</v>
      </c>
    </row>
    <row r="348" spans="1:16" x14ac:dyDescent="0.3">
      <c r="A348" s="8" t="s">
        <v>10</v>
      </c>
      <c r="B348" s="8" t="s">
        <v>746</v>
      </c>
      <c r="C348" s="9">
        <v>347</v>
      </c>
      <c r="D348" s="3">
        <v>565000</v>
      </c>
      <c r="E348" s="1">
        <f>datos_limpios[[#This Row],[Price INR   ]]*0.011</f>
        <v>6215</v>
      </c>
      <c r="F348" s="13">
        <v>2017</v>
      </c>
      <c r="G348" s="2">
        <v>45000</v>
      </c>
      <c r="H348" s="8" t="s">
        <v>12</v>
      </c>
      <c r="I348" s="8" t="s">
        <v>13</v>
      </c>
      <c r="J348" s="8" t="s">
        <v>14</v>
      </c>
      <c r="K348" t="s">
        <v>97</v>
      </c>
      <c r="L348" t="s">
        <v>98</v>
      </c>
      <c r="M348" s="2">
        <f>VALUE(MID(L348,1,FIND("@",L348)-6))</f>
        <v>89</v>
      </c>
      <c r="N348">
        <v>5</v>
      </c>
      <c r="O348" t="str">
        <f>IF(datos_limpios[[#This Row],[Seating Capacity ]]&gt;4,"SI","NO")</f>
        <v>SI</v>
      </c>
      <c r="P348">
        <v>40</v>
      </c>
    </row>
    <row r="349" spans="1:16" x14ac:dyDescent="0.3">
      <c r="A349" s="8" t="s">
        <v>10</v>
      </c>
      <c r="B349" s="8" t="s">
        <v>192</v>
      </c>
      <c r="C349" s="9">
        <v>348</v>
      </c>
      <c r="D349" s="3">
        <v>570000</v>
      </c>
      <c r="E349" s="1">
        <f>datos_limpios[[#This Row],[Price INR   ]]*0.011</f>
        <v>6270</v>
      </c>
      <c r="F349" s="13">
        <v>2017</v>
      </c>
      <c r="G349" s="2">
        <v>92270</v>
      </c>
      <c r="H349" s="8" t="s">
        <v>12</v>
      </c>
      <c r="I349" s="8" t="s">
        <v>13</v>
      </c>
      <c r="J349" s="8" t="s">
        <v>82</v>
      </c>
      <c r="K349" t="s">
        <v>97</v>
      </c>
      <c r="L349" t="s">
        <v>98</v>
      </c>
      <c r="M349" s="2">
        <f>VALUE(MID(L349,1,FIND("@",L349)-6))</f>
        <v>89</v>
      </c>
      <c r="N349">
        <v>5</v>
      </c>
      <c r="O349" t="str">
        <f>IF(datos_limpios[[#This Row],[Seating Capacity ]]&gt;4,"SI","NO")</f>
        <v>SI</v>
      </c>
      <c r="P349">
        <v>40</v>
      </c>
    </row>
    <row r="350" spans="1:16" x14ac:dyDescent="0.3">
      <c r="A350" s="8" t="s">
        <v>10</v>
      </c>
      <c r="B350" s="8" t="s">
        <v>96</v>
      </c>
      <c r="C350" s="9">
        <v>349</v>
      </c>
      <c r="D350" s="3">
        <v>575000</v>
      </c>
      <c r="E350" s="1">
        <f>datos_limpios[[#This Row],[Price INR   ]]*0.011</f>
        <v>6325</v>
      </c>
      <c r="F350" s="13">
        <v>2017</v>
      </c>
      <c r="G350" s="2">
        <v>53580</v>
      </c>
      <c r="H350" s="8" t="s">
        <v>12</v>
      </c>
      <c r="I350" s="8" t="s">
        <v>13</v>
      </c>
      <c r="J350" s="8" t="s">
        <v>131</v>
      </c>
      <c r="K350" t="s">
        <v>97</v>
      </c>
      <c r="L350" t="s">
        <v>98</v>
      </c>
      <c r="M350" s="2">
        <f>VALUE(MID(L350,1,FIND("@",L350)-6))</f>
        <v>89</v>
      </c>
      <c r="N350">
        <v>5</v>
      </c>
      <c r="O350" t="str">
        <f>IF(datos_limpios[[#This Row],[Seating Capacity ]]&gt;4,"SI","NO")</f>
        <v>SI</v>
      </c>
      <c r="P350">
        <v>40</v>
      </c>
    </row>
    <row r="351" spans="1:16" x14ac:dyDescent="0.3">
      <c r="A351" s="8" t="s">
        <v>10</v>
      </c>
      <c r="B351" s="8" t="s">
        <v>96</v>
      </c>
      <c r="C351" s="9">
        <v>350</v>
      </c>
      <c r="D351" s="3">
        <v>580000</v>
      </c>
      <c r="E351" s="1">
        <f>datos_limpios[[#This Row],[Price INR   ]]*0.011</f>
        <v>6380</v>
      </c>
      <c r="F351" s="13">
        <v>2017</v>
      </c>
      <c r="G351" s="2">
        <v>39000</v>
      </c>
      <c r="H351" s="8" t="s">
        <v>12</v>
      </c>
      <c r="I351" s="8" t="s">
        <v>13</v>
      </c>
      <c r="J351" s="8" t="s">
        <v>20</v>
      </c>
      <c r="K351" t="s">
        <v>97</v>
      </c>
      <c r="L351" t="s">
        <v>98</v>
      </c>
      <c r="M351" s="2">
        <f>VALUE(MID(L351,1,FIND("@",L351)-6))</f>
        <v>89</v>
      </c>
      <c r="N351">
        <v>5</v>
      </c>
      <c r="O351" t="str">
        <f>IF(datos_limpios[[#This Row],[Seating Capacity ]]&gt;4,"SI","NO")</f>
        <v>SI</v>
      </c>
      <c r="P351">
        <v>40</v>
      </c>
    </row>
    <row r="352" spans="1:16" x14ac:dyDescent="0.3">
      <c r="A352" s="8" t="s">
        <v>10</v>
      </c>
      <c r="B352" s="8" t="s">
        <v>192</v>
      </c>
      <c r="C352" s="9">
        <v>351</v>
      </c>
      <c r="D352" s="3">
        <v>585000</v>
      </c>
      <c r="E352" s="1">
        <f>datos_limpios[[#This Row],[Price INR   ]]*0.011</f>
        <v>6435</v>
      </c>
      <c r="F352" s="13">
        <v>2017</v>
      </c>
      <c r="G352" s="2">
        <v>24100</v>
      </c>
      <c r="H352" s="8" t="s">
        <v>12</v>
      </c>
      <c r="I352" s="8" t="s">
        <v>13</v>
      </c>
      <c r="J352" s="8" t="s">
        <v>77</v>
      </c>
      <c r="K352" t="s">
        <v>97</v>
      </c>
      <c r="L352" t="s">
        <v>98</v>
      </c>
      <c r="M352" s="2">
        <f>VALUE(MID(L352,1,FIND("@",L352)-6))</f>
        <v>89</v>
      </c>
      <c r="N352">
        <v>5</v>
      </c>
      <c r="O352" t="str">
        <f>IF(datos_limpios[[#This Row],[Seating Capacity ]]&gt;4,"SI","NO")</f>
        <v>SI</v>
      </c>
      <c r="P352">
        <v>40</v>
      </c>
    </row>
    <row r="353" spans="1:16" x14ac:dyDescent="0.3">
      <c r="A353" s="8" t="s">
        <v>10</v>
      </c>
      <c r="B353" s="8" t="s">
        <v>566</v>
      </c>
      <c r="C353" s="9">
        <v>352</v>
      </c>
      <c r="D353" s="3">
        <v>585000</v>
      </c>
      <c r="E353" s="1">
        <f>datos_limpios[[#This Row],[Price INR   ]]*0.011</f>
        <v>6435</v>
      </c>
      <c r="F353" s="13">
        <v>2015</v>
      </c>
      <c r="G353" s="2">
        <v>61000</v>
      </c>
      <c r="H353" s="8" t="s">
        <v>19</v>
      </c>
      <c r="I353" s="8" t="s">
        <v>13</v>
      </c>
      <c r="J353" s="8" t="s">
        <v>14</v>
      </c>
      <c r="K353" t="s">
        <v>196</v>
      </c>
      <c r="L353" t="s">
        <v>197</v>
      </c>
      <c r="M353" s="2">
        <f>VALUE(MID(L353,1,FIND("@",L353)-6))</f>
        <v>99</v>
      </c>
      <c r="N353">
        <v>5</v>
      </c>
      <c r="O353" t="str">
        <f>IF(datos_limpios[[#This Row],[Seating Capacity ]]&gt;4,"SI","NO")</f>
        <v>SI</v>
      </c>
      <c r="P353">
        <v>40</v>
      </c>
    </row>
    <row r="354" spans="1:16" x14ac:dyDescent="0.3">
      <c r="A354" s="8" t="s">
        <v>10</v>
      </c>
      <c r="B354" s="8" t="s">
        <v>1157</v>
      </c>
      <c r="C354" s="9">
        <v>353</v>
      </c>
      <c r="D354" s="3">
        <v>590000</v>
      </c>
      <c r="E354" s="1">
        <f>datos_limpios[[#This Row],[Price INR   ]]*0.011</f>
        <v>6490</v>
      </c>
      <c r="F354" s="13">
        <v>2015</v>
      </c>
      <c r="G354" s="2">
        <v>75258</v>
      </c>
      <c r="H354" s="8" t="s">
        <v>12</v>
      </c>
      <c r="I354" s="8" t="s">
        <v>40</v>
      </c>
      <c r="J354" s="8" t="s">
        <v>20</v>
      </c>
      <c r="K354" t="s">
        <v>165</v>
      </c>
      <c r="L354" t="s">
        <v>166</v>
      </c>
      <c r="M354" s="2">
        <f>VALUE(MID(L354,1,FIND("@",L354)-6))</f>
        <v>117</v>
      </c>
      <c r="N354">
        <v>5</v>
      </c>
      <c r="O354" t="str">
        <f>IF(datos_limpios[[#This Row],[Seating Capacity ]]&gt;4,"SI","NO")</f>
        <v>SI</v>
      </c>
      <c r="P354">
        <v>40</v>
      </c>
    </row>
    <row r="355" spans="1:16" x14ac:dyDescent="0.3">
      <c r="A355" s="8" t="s">
        <v>10</v>
      </c>
      <c r="B355" s="8" t="s">
        <v>1157</v>
      </c>
      <c r="C355" s="9">
        <v>354</v>
      </c>
      <c r="D355" s="3">
        <v>590000</v>
      </c>
      <c r="E355" s="1">
        <f>datos_limpios[[#This Row],[Price INR   ]]*0.011</f>
        <v>6490</v>
      </c>
      <c r="F355" s="13">
        <v>2015</v>
      </c>
      <c r="G355" s="2">
        <v>116592</v>
      </c>
      <c r="H355" s="8" t="s">
        <v>12</v>
      </c>
      <c r="I355" s="8" t="s">
        <v>40</v>
      </c>
      <c r="J355" s="8" t="s">
        <v>82</v>
      </c>
      <c r="K355" t="s">
        <v>165</v>
      </c>
      <c r="L355" t="s">
        <v>166</v>
      </c>
      <c r="M355" s="2">
        <f>VALUE(MID(L355,1,FIND("@",L355)-6))</f>
        <v>117</v>
      </c>
      <c r="N355">
        <v>5</v>
      </c>
      <c r="O355" t="str">
        <f>IF(datos_limpios[[#This Row],[Seating Capacity ]]&gt;4,"SI","NO")</f>
        <v>SI</v>
      </c>
      <c r="P355">
        <v>40</v>
      </c>
    </row>
    <row r="356" spans="1:16" x14ac:dyDescent="0.3">
      <c r="A356" s="8" t="s">
        <v>10</v>
      </c>
      <c r="B356" s="8" t="s">
        <v>348</v>
      </c>
      <c r="C356" s="9">
        <v>355</v>
      </c>
      <c r="D356" s="3">
        <v>595000</v>
      </c>
      <c r="E356" s="1">
        <f>datos_limpios[[#This Row],[Price INR   ]]*0.011</f>
        <v>6545</v>
      </c>
      <c r="F356" s="13">
        <v>2015</v>
      </c>
      <c r="G356" s="2">
        <v>72000</v>
      </c>
      <c r="H356" s="8" t="s">
        <v>12</v>
      </c>
      <c r="I356" s="8" t="s">
        <v>13</v>
      </c>
      <c r="J356" s="8" t="s">
        <v>82</v>
      </c>
      <c r="K356" t="s">
        <v>165</v>
      </c>
      <c r="L356" t="s">
        <v>166</v>
      </c>
      <c r="M356" s="2">
        <f>VALUE(MID(L356,1,FIND("@",L356)-6))</f>
        <v>117</v>
      </c>
      <c r="N356">
        <v>5</v>
      </c>
      <c r="O356" t="str">
        <f>IF(datos_limpios[[#This Row],[Seating Capacity ]]&gt;4,"SI","NO")</f>
        <v>SI</v>
      </c>
      <c r="P356">
        <v>40</v>
      </c>
    </row>
    <row r="357" spans="1:16" x14ac:dyDescent="0.3">
      <c r="A357" s="8" t="s">
        <v>10</v>
      </c>
      <c r="B357" s="8" t="s">
        <v>481</v>
      </c>
      <c r="C357" s="9">
        <v>356</v>
      </c>
      <c r="D357" s="3">
        <v>595000</v>
      </c>
      <c r="E357" s="1">
        <f>datos_limpios[[#This Row],[Price INR   ]]*0.011</f>
        <v>6545</v>
      </c>
      <c r="F357" s="13">
        <v>2016</v>
      </c>
      <c r="G357" s="2">
        <v>80000</v>
      </c>
      <c r="H357" s="8" t="s">
        <v>12</v>
      </c>
      <c r="I357" s="8" t="s">
        <v>40</v>
      </c>
      <c r="J357" s="8" t="s">
        <v>14</v>
      </c>
      <c r="K357" t="s">
        <v>97</v>
      </c>
      <c r="L357" t="s">
        <v>98</v>
      </c>
      <c r="M357" s="2">
        <f>VALUE(MID(L357,1,FIND("@",L357)-6))</f>
        <v>89</v>
      </c>
      <c r="N357">
        <v>5</v>
      </c>
      <c r="O357" t="str">
        <f>IF(datos_limpios[[#This Row],[Seating Capacity ]]&gt;4,"SI","NO")</f>
        <v>SI</v>
      </c>
      <c r="P357">
        <v>40</v>
      </c>
    </row>
    <row r="358" spans="1:16" x14ac:dyDescent="0.3">
      <c r="A358" s="8" t="s">
        <v>10</v>
      </c>
      <c r="B358" s="8" t="s">
        <v>481</v>
      </c>
      <c r="C358" s="9">
        <v>357</v>
      </c>
      <c r="D358" s="3">
        <v>595000</v>
      </c>
      <c r="E358" s="1">
        <f>datos_limpios[[#This Row],[Price INR   ]]*0.011</f>
        <v>6545</v>
      </c>
      <c r="F358" s="13">
        <v>2017</v>
      </c>
      <c r="G358" s="2">
        <v>99000</v>
      </c>
      <c r="H358" s="8" t="s">
        <v>12</v>
      </c>
      <c r="I358" s="8" t="s">
        <v>40</v>
      </c>
      <c r="J358" s="8" t="s">
        <v>82</v>
      </c>
      <c r="K358" t="s">
        <v>97</v>
      </c>
      <c r="L358" t="s">
        <v>98</v>
      </c>
      <c r="M358" s="2">
        <f>VALUE(MID(L358,1,FIND("@",L358)-6))</f>
        <v>89</v>
      </c>
      <c r="N358">
        <v>5</v>
      </c>
      <c r="O358" t="str">
        <f>IF(datos_limpios[[#This Row],[Seating Capacity ]]&gt;4,"SI","NO")</f>
        <v>SI</v>
      </c>
      <c r="P358">
        <v>40</v>
      </c>
    </row>
    <row r="359" spans="1:16" x14ac:dyDescent="0.3">
      <c r="A359" s="8" t="s">
        <v>10</v>
      </c>
      <c r="B359" s="8" t="s">
        <v>318</v>
      </c>
      <c r="C359" s="9">
        <v>358</v>
      </c>
      <c r="D359" s="3">
        <v>600000</v>
      </c>
      <c r="E359" s="1">
        <f>datos_limpios[[#This Row],[Price INR   ]]*0.011</f>
        <v>6600</v>
      </c>
      <c r="F359" s="13">
        <v>2014</v>
      </c>
      <c r="G359" s="2">
        <v>75574</v>
      </c>
      <c r="H359" s="8" t="s">
        <v>12</v>
      </c>
      <c r="I359" s="8" t="s">
        <v>13</v>
      </c>
      <c r="J359" s="8" t="s">
        <v>713</v>
      </c>
      <c r="K359" t="s">
        <v>165</v>
      </c>
      <c r="L359" t="s">
        <v>166</v>
      </c>
      <c r="M359" s="2">
        <f>VALUE(MID(L359,1,FIND("@",L359)-6))</f>
        <v>117</v>
      </c>
      <c r="N359">
        <v>5</v>
      </c>
      <c r="O359" t="str">
        <f>IF(datos_limpios[[#This Row],[Seating Capacity ]]&gt;4,"SI","NO")</f>
        <v>SI</v>
      </c>
      <c r="P359">
        <v>40</v>
      </c>
    </row>
    <row r="360" spans="1:16" x14ac:dyDescent="0.3">
      <c r="A360" s="8" t="s">
        <v>10</v>
      </c>
      <c r="B360" s="8" t="s">
        <v>634</v>
      </c>
      <c r="C360" s="9">
        <v>359</v>
      </c>
      <c r="D360" s="3">
        <v>600000</v>
      </c>
      <c r="E360" s="1">
        <f>datos_limpios[[#This Row],[Price INR   ]]*0.011</f>
        <v>6600</v>
      </c>
      <c r="F360" s="13">
        <v>2016</v>
      </c>
      <c r="G360" s="2">
        <v>70000</v>
      </c>
      <c r="H360" s="8" t="s">
        <v>19</v>
      </c>
      <c r="I360" s="8" t="s">
        <v>13</v>
      </c>
      <c r="J360" s="8" t="s">
        <v>77</v>
      </c>
      <c r="K360" t="s">
        <v>196</v>
      </c>
      <c r="L360" t="s">
        <v>197</v>
      </c>
      <c r="M360" s="2">
        <f>VALUE(MID(L360,1,FIND("@",L360)-6))</f>
        <v>99</v>
      </c>
      <c r="N360">
        <v>5</v>
      </c>
      <c r="O360" t="str">
        <f>IF(datos_limpios[[#This Row],[Seating Capacity ]]&gt;4,"SI","NO")</f>
        <v>SI</v>
      </c>
      <c r="P360">
        <v>40</v>
      </c>
    </row>
    <row r="361" spans="1:16" x14ac:dyDescent="0.3">
      <c r="A361" s="8" t="s">
        <v>10</v>
      </c>
      <c r="B361" s="8" t="s">
        <v>499</v>
      </c>
      <c r="C361" s="9">
        <v>360</v>
      </c>
      <c r="D361" s="3">
        <v>625000</v>
      </c>
      <c r="E361" s="1">
        <f>datos_limpios[[#This Row],[Price INR   ]]*0.011</f>
        <v>6875</v>
      </c>
      <c r="F361" s="13">
        <v>2017</v>
      </c>
      <c r="G361" s="2">
        <v>23798</v>
      </c>
      <c r="H361" s="8" t="s">
        <v>12</v>
      </c>
      <c r="I361" s="8" t="s">
        <v>13</v>
      </c>
      <c r="J361" s="8" t="s">
        <v>82</v>
      </c>
      <c r="K361" t="s">
        <v>97</v>
      </c>
      <c r="L361" t="s">
        <v>98</v>
      </c>
      <c r="M361" s="2">
        <f>VALUE(MID(L361,1,FIND("@",L361)-6))</f>
        <v>89</v>
      </c>
      <c r="N361">
        <v>5</v>
      </c>
      <c r="O361" t="str">
        <f>IF(datos_limpios[[#This Row],[Seating Capacity ]]&gt;4,"SI","NO")</f>
        <v>SI</v>
      </c>
      <c r="P361">
        <v>40</v>
      </c>
    </row>
    <row r="362" spans="1:16" x14ac:dyDescent="0.3">
      <c r="A362" s="8" t="s">
        <v>10</v>
      </c>
      <c r="B362" s="8" t="s">
        <v>786</v>
      </c>
      <c r="C362" s="9">
        <v>361</v>
      </c>
      <c r="D362" s="3">
        <v>628000</v>
      </c>
      <c r="E362" s="1">
        <f>datos_limpios[[#This Row],[Price INR   ]]*0.011</f>
        <v>6908</v>
      </c>
      <c r="F362" s="13">
        <v>2018</v>
      </c>
      <c r="G362" s="2">
        <v>53848</v>
      </c>
      <c r="H362" s="8" t="s">
        <v>12</v>
      </c>
      <c r="I362" s="8" t="s">
        <v>13</v>
      </c>
      <c r="J362" s="8" t="s">
        <v>25</v>
      </c>
      <c r="K362" t="s">
        <v>97</v>
      </c>
      <c r="L362" t="s">
        <v>98</v>
      </c>
      <c r="M362" s="2">
        <f>VALUE(MID(L362,1,FIND("@",L362)-6))</f>
        <v>89</v>
      </c>
      <c r="N362">
        <v>5</v>
      </c>
      <c r="O362" t="str">
        <f>IF(datos_limpios[[#This Row],[Seating Capacity ]]&gt;4,"SI","NO")</f>
        <v>SI</v>
      </c>
      <c r="P362">
        <v>35</v>
      </c>
    </row>
    <row r="363" spans="1:16" x14ac:dyDescent="0.3">
      <c r="A363" s="8" t="s">
        <v>10</v>
      </c>
      <c r="B363" s="8" t="s">
        <v>634</v>
      </c>
      <c r="C363" s="9">
        <v>362</v>
      </c>
      <c r="D363" s="3">
        <v>635000</v>
      </c>
      <c r="E363" s="1">
        <f>datos_limpios[[#This Row],[Price INR   ]]*0.011</f>
        <v>6985</v>
      </c>
      <c r="F363" s="13">
        <v>2016</v>
      </c>
      <c r="G363" s="2">
        <v>72200</v>
      </c>
      <c r="H363" s="8" t="s">
        <v>19</v>
      </c>
      <c r="I363" s="8" t="s">
        <v>13</v>
      </c>
      <c r="J363" s="8" t="s">
        <v>82</v>
      </c>
      <c r="K363" t="s">
        <v>196</v>
      </c>
      <c r="L363" t="s">
        <v>197</v>
      </c>
      <c r="M363" s="2">
        <f>VALUE(MID(L363,1,FIND("@",L363)-6))</f>
        <v>99</v>
      </c>
      <c r="N363">
        <v>5</v>
      </c>
      <c r="O363" t="str">
        <f>IF(datos_limpios[[#This Row],[Seating Capacity ]]&gt;4,"SI","NO")</f>
        <v>SI</v>
      </c>
      <c r="P363">
        <v>40</v>
      </c>
    </row>
    <row r="364" spans="1:16" x14ac:dyDescent="0.3">
      <c r="A364" s="8" t="s">
        <v>10</v>
      </c>
      <c r="B364" s="8" t="s">
        <v>164</v>
      </c>
      <c r="C364" s="9">
        <v>363</v>
      </c>
      <c r="D364" s="3">
        <v>645000</v>
      </c>
      <c r="E364" s="1">
        <f>datos_limpios[[#This Row],[Price INR   ]]*0.011</f>
        <v>7095</v>
      </c>
      <c r="F364" s="13">
        <v>2017</v>
      </c>
      <c r="G364" s="2">
        <v>64000</v>
      </c>
      <c r="H364" s="8" t="s">
        <v>12</v>
      </c>
      <c r="I364" s="8" t="s">
        <v>13</v>
      </c>
      <c r="J364" s="8" t="s">
        <v>20</v>
      </c>
      <c r="K364" t="s">
        <v>165</v>
      </c>
      <c r="L364" t="s">
        <v>166</v>
      </c>
      <c r="M364" s="2">
        <f>VALUE(MID(L364,1,FIND("@",L364)-6))</f>
        <v>117</v>
      </c>
      <c r="N364">
        <v>5</v>
      </c>
      <c r="O364" t="str">
        <f>IF(datos_limpios[[#This Row],[Seating Capacity ]]&gt;4,"SI","NO")</f>
        <v>SI</v>
      </c>
      <c r="P364">
        <v>40</v>
      </c>
    </row>
    <row r="365" spans="1:16" x14ac:dyDescent="0.3">
      <c r="A365" s="8" t="s">
        <v>10</v>
      </c>
      <c r="B365" s="8" t="s">
        <v>566</v>
      </c>
      <c r="C365" s="9">
        <v>364</v>
      </c>
      <c r="D365" s="3">
        <v>645000</v>
      </c>
      <c r="E365" s="1">
        <f>datos_limpios[[#This Row],[Price INR   ]]*0.011</f>
        <v>7095</v>
      </c>
      <c r="F365" s="13">
        <v>2015</v>
      </c>
      <c r="G365" s="2">
        <v>64000</v>
      </c>
      <c r="H365" s="8" t="s">
        <v>19</v>
      </c>
      <c r="I365" s="8" t="s">
        <v>13</v>
      </c>
      <c r="J365" s="8" t="s">
        <v>20</v>
      </c>
      <c r="K365" t="s">
        <v>196</v>
      </c>
      <c r="L365" t="s">
        <v>197</v>
      </c>
      <c r="M365" s="2">
        <f>VALUE(MID(L365,1,FIND("@",L365)-6))</f>
        <v>99</v>
      </c>
      <c r="N365">
        <v>5</v>
      </c>
      <c r="O365" t="str">
        <f>IF(datos_limpios[[#This Row],[Seating Capacity ]]&gt;4,"SI","NO")</f>
        <v>SI</v>
      </c>
      <c r="P365">
        <v>40</v>
      </c>
    </row>
    <row r="366" spans="1:16" x14ac:dyDescent="0.3">
      <c r="A366" s="8" t="s">
        <v>10</v>
      </c>
      <c r="B366" s="8" t="s">
        <v>1117</v>
      </c>
      <c r="C366" s="9">
        <v>365</v>
      </c>
      <c r="D366" s="3">
        <v>650000</v>
      </c>
      <c r="E366" s="1">
        <f>datos_limpios[[#This Row],[Price INR   ]]*0.011</f>
        <v>7150</v>
      </c>
      <c r="F366" s="13">
        <v>2019</v>
      </c>
      <c r="G366" s="2">
        <v>54000</v>
      </c>
      <c r="H366" s="8" t="s">
        <v>12</v>
      </c>
      <c r="I366" s="8" t="s">
        <v>40</v>
      </c>
      <c r="J366" s="8" t="s">
        <v>20</v>
      </c>
      <c r="K366" t="s">
        <v>97</v>
      </c>
      <c r="L366" t="s">
        <v>98</v>
      </c>
      <c r="M366" s="2">
        <f>VALUE(MID(L366,1,FIND("@",L366)-6))</f>
        <v>89</v>
      </c>
      <c r="N366">
        <v>5</v>
      </c>
      <c r="O366" t="str">
        <f>IF(datos_limpios[[#This Row],[Seating Capacity ]]&gt;4,"SI","NO")</f>
        <v>SI</v>
      </c>
      <c r="P366">
        <v>35</v>
      </c>
    </row>
    <row r="367" spans="1:16" x14ac:dyDescent="0.3">
      <c r="A367" s="8" t="s">
        <v>10</v>
      </c>
      <c r="B367" s="8" t="s">
        <v>1291</v>
      </c>
      <c r="C367" s="9">
        <v>366</v>
      </c>
      <c r="D367" s="3">
        <v>650000</v>
      </c>
      <c r="E367" s="1">
        <f>datos_limpios[[#This Row],[Price INR   ]]*0.011</f>
        <v>7150</v>
      </c>
      <c r="F367" s="13">
        <v>2019</v>
      </c>
      <c r="G367" s="2">
        <v>42000</v>
      </c>
      <c r="H367" s="8" t="s">
        <v>12</v>
      </c>
      <c r="I367" s="8" t="s">
        <v>13</v>
      </c>
      <c r="J367" s="8" t="s">
        <v>20</v>
      </c>
      <c r="K367" t="s">
        <v>15</v>
      </c>
      <c r="L367" t="s">
        <v>16</v>
      </c>
      <c r="M367" s="2">
        <f>VALUE(MID(L367,1,FIND("@",L367)-6))</f>
        <v>87</v>
      </c>
      <c r="N367">
        <v>5</v>
      </c>
      <c r="O367" t="str">
        <f>IF(datos_limpios[[#This Row],[Seating Capacity ]]&gt;4,"SI","NO")</f>
        <v>SI</v>
      </c>
      <c r="P367">
        <v>35</v>
      </c>
    </row>
    <row r="368" spans="1:16" x14ac:dyDescent="0.3">
      <c r="A368" s="8" t="s">
        <v>10</v>
      </c>
      <c r="B368" s="8" t="s">
        <v>746</v>
      </c>
      <c r="C368" s="9">
        <v>367</v>
      </c>
      <c r="D368" s="3">
        <v>655000</v>
      </c>
      <c r="E368" s="1">
        <f>datos_limpios[[#This Row],[Price INR   ]]*0.011</f>
        <v>7205</v>
      </c>
      <c r="F368" s="13">
        <v>2017</v>
      </c>
      <c r="G368" s="2">
        <v>24003</v>
      </c>
      <c r="H368" s="8" t="s">
        <v>12</v>
      </c>
      <c r="I368" s="8" t="s">
        <v>13</v>
      </c>
      <c r="J368" s="8" t="s">
        <v>82</v>
      </c>
      <c r="K368" t="s">
        <v>97</v>
      </c>
      <c r="L368" t="s">
        <v>98</v>
      </c>
      <c r="M368" s="2">
        <f>VALUE(MID(L368,1,FIND("@",L368)-6))</f>
        <v>89</v>
      </c>
      <c r="N368">
        <v>5</v>
      </c>
      <c r="O368" t="str">
        <f>IF(datos_limpios[[#This Row],[Seating Capacity ]]&gt;4,"SI","NO")</f>
        <v>SI</v>
      </c>
      <c r="P368">
        <v>40</v>
      </c>
    </row>
    <row r="369" spans="1:16" x14ac:dyDescent="0.3">
      <c r="A369" s="8" t="s">
        <v>10</v>
      </c>
      <c r="B369" s="8" t="s">
        <v>318</v>
      </c>
      <c r="C369" s="9">
        <v>368</v>
      </c>
      <c r="D369" s="3">
        <v>675000</v>
      </c>
      <c r="E369" s="1">
        <f>datos_limpios[[#This Row],[Price INR   ]]*0.011</f>
        <v>7425</v>
      </c>
      <c r="F369" s="13">
        <v>2016</v>
      </c>
      <c r="G369" s="2">
        <v>87693</v>
      </c>
      <c r="H369" s="8" t="s">
        <v>12</v>
      </c>
      <c r="I369" s="8" t="s">
        <v>13</v>
      </c>
      <c r="J369" s="8" t="s">
        <v>30</v>
      </c>
      <c r="K369" t="s">
        <v>165</v>
      </c>
      <c r="L369" t="s">
        <v>166</v>
      </c>
      <c r="M369" s="2">
        <f>VALUE(MID(L369,1,FIND("@",L369)-6))</f>
        <v>117</v>
      </c>
      <c r="N369">
        <v>5</v>
      </c>
      <c r="O369" t="str">
        <f>IF(datos_limpios[[#This Row],[Seating Capacity ]]&gt;4,"SI","NO")</f>
        <v>SI</v>
      </c>
      <c r="P369">
        <v>40</v>
      </c>
    </row>
    <row r="370" spans="1:16" x14ac:dyDescent="0.3">
      <c r="A370" s="8" t="s">
        <v>10</v>
      </c>
      <c r="B370" s="8" t="s">
        <v>481</v>
      </c>
      <c r="C370" s="9">
        <v>369</v>
      </c>
      <c r="D370" s="3">
        <v>675000</v>
      </c>
      <c r="E370" s="1">
        <f>datos_limpios[[#This Row],[Price INR   ]]*0.011</f>
        <v>7425</v>
      </c>
      <c r="F370" s="13">
        <v>2017</v>
      </c>
      <c r="G370" s="2">
        <v>48650</v>
      </c>
      <c r="H370" s="8" t="s">
        <v>12</v>
      </c>
      <c r="I370" s="8" t="s">
        <v>40</v>
      </c>
      <c r="J370" s="8" t="s">
        <v>82</v>
      </c>
      <c r="K370" t="s">
        <v>97</v>
      </c>
      <c r="L370" t="s">
        <v>98</v>
      </c>
      <c r="M370" s="2">
        <f>VALUE(MID(L370,1,FIND("@",L370)-6))</f>
        <v>89</v>
      </c>
      <c r="N370">
        <v>5</v>
      </c>
      <c r="O370" t="str">
        <f>IF(datos_limpios[[#This Row],[Seating Capacity ]]&gt;4,"SI","NO")</f>
        <v>SI</v>
      </c>
      <c r="P370">
        <v>40</v>
      </c>
    </row>
    <row r="371" spans="1:16" x14ac:dyDescent="0.3">
      <c r="A371" s="8" t="s">
        <v>10</v>
      </c>
      <c r="B371" s="8" t="s">
        <v>1132</v>
      </c>
      <c r="C371" s="9">
        <v>370</v>
      </c>
      <c r="D371" s="3">
        <v>675000</v>
      </c>
      <c r="E371" s="1">
        <f>datos_limpios[[#This Row],[Price INR   ]]*0.011</f>
        <v>7425</v>
      </c>
      <c r="F371" s="13">
        <v>2015</v>
      </c>
      <c r="G371" s="2">
        <v>48000</v>
      </c>
      <c r="H371" s="8" t="s">
        <v>19</v>
      </c>
      <c r="I371" s="8" t="s">
        <v>13</v>
      </c>
      <c r="J371" s="8" t="s">
        <v>20</v>
      </c>
      <c r="K371" t="s">
        <v>196</v>
      </c>
      <c r="L371" t="s">
        <v>197</v>
      </c>
      <c r="M371" s="2">
        <f>VALUE(MID(L371,1,FIND("@",L371)-6))</f>
        <v>99</v>
      </c>
      <c r="N371">
        <v>7</v>
      </c>
      <c r="O371" t="str">
        <f>IF(datos_limpios[[#This Row],[Seating Capacity ]]&gt;4,"SI","NO")</f>
        <v>SI</v>
      </c>
      <c r="P371">
        <v>42</v>
      </c>
    </row>
    <row r="372" spans="1:16" x14ac:dyDescent="0.3">
      <c r="A372" s="8" t="s">
        <v>10</v>
      </c>
      <c r="B372" s="8" t="s">
        <v>786</v>
      </c>
      <c r="C372" s="9">
        <v>371</v>
      </c>
      <c r="D372" s="3">
        <v>675000</v>
      </c>
      <c r="E372" s="1">
        <f>datos_limpios[[#This Row],[Price INR   ]]*0.011</f>
        <v>7425</v>
      </c>
      <c r="F372" s="13">
        <v>2019</v>
      </c>
      <c r="G372" s="2">
        <v>74237</v>
      </c>
      <c r="H372" s="8" t="s">
        <v>12</v>
      </c>
      <c r="I372" s="8" t="s">
        <v>13</v>
      </c>
      <c r="J372" s="8" t="s">
        <v>20</v>
      </c>
      <c r="K372" t="s">
        <v>97</v>
      </c>
      <c r="L372" t="s">
        <v>98</v>
      </c>
      <c r="M372" s="2">
        <f>VALUE(MID(L372,1,FIND("@",L372)-6))</f>
        <v>89</v>
      </c>
      <c r="N372">
        <v>5</v>
      </c>
      <c r="O372" t="str">
        <f>IF(datos_limpios[[#This Row],[Seating Capacity ]]&gt;4,"SI","NO")</f>
        <v>SI</v>
      </c>
      <c r="P372">
        <v>35</v>
      </c>
    </row>
    <row r="373" spans="1:16" x14ac:dyDescent="0.3">
      <c r="A373" s="8" t="s">
        <v>10</v>
      </c>
      <c r="B373" s="8" t="s">
        <v>1248</v>
      </c>
      <c r="C373" s="9">
        <v>372</v>
      </c>
      <c r="D373" s="3">
        <v>675000</v>
      </c>
      <c r="E373" s="1">
        <f>datos_limpios[[#This Row],[Price INR   ]]*0.011</f>
        <v>7425</v>
      </c>
      <c r="F373" s="13">
        <v>2020</v>
      </c>
      <c r="G373" s="2">
        <v>25000</v>
      </c>
      <c r="H373" s="8" t="s">
        <v>12</v>
      </c>
      <c r="I373" s="8" t="s">
        <v>13</v>
      </c>
      <c r="J373" s="8" t="s">
        <v>20</v>
      </c>
      <c r="K373" t="s">
        <v>97</v>
      </c>
      <c r="L373" t="s">
        <v>98</v>
      </c>
      <c r="M373" s="2">
        <f>VALUE(MID(L373,1,FIND("@",L373)-6))</f>
        <v>89</v>
      </c>
      <c r="N373">
        <v>5</v>
      </c>
      <c r="O373" t="str">
        <f>IF(datos_limpios[[#This Row],[Seating Capacity ]]&gt;4,"SI","NO")</f>
        <v>SI</v>
      </c>
      <c r="P373">
        <v>35</v>
      </c>
    </row>
    <row r="374" spans="1:16" x14ac:dyDescent="0.3">
      <c r="A374" s="8" t="s">
        <v>10</v>
      </c>
      <c r="B374" s="8" t="s">
        <v>318</v>
      </c>
      <c r="C374" s="9">
        <v>373</v>
      </c>
      <c r="D374" s="3">
        <v>685000</v>
      </c>
      <c r="E374" s="1">
        <f>datos_limpios[[#This Row],[Price INR   ]]*0.011</f>
        <v>7535</v>
      </c>
      <c r="F374" s="13">
        <v>2016</v>
      </c>
      <c r="G374" s="2">
        <v>68500</v>
      </c>
      <c r="H374" s="8" t="s">
        <v>12</v>
      </c>
      <c r="I374" s="8" t="s">
        <v>13</v>
      </c>
      <c r="J374" s="8" t="s">
        <v>115</v>
      </c>
      <c r="K374" t="s">
        <v>165</v>
      </c>
      <c r="L374" t="s">
        <v>166</v>
      </c>
      <c r="M374" s="2">
        <f>VALUE(MID(L374,1,FIND("@",L374)-6))</f>
        <v>117</v>
      </c>
      <c r="N374">
        <v>5</v>
      </c>
      <c r="O374" t="str">
        <f>IF(datos_limpios[[#This Row],[Seating Capacity ]]&gt;4,"SI","NO")</f>
        <v>SI</v>
      </c>
      <c r="P374">
        <v>40</v>
      </c>
    </row>
    <row r="375" spans="1:16" x14ac:dyDescent="0.3">
      <c r="A375" s="8" t="s">
        <v>10</v>
      </c>
      <c r="B375" s="8" t="s">
        <v>348</v>
      </c>
      <c r="C375" s="9">
        <v>374</v>
      </c>
      <c r="D375" s="3">
        <v>690000</v>
      </c>
      <c r="E375" s="1">
        <f>datos_limpios[[#This Row],[Price INR   ]]*0.011</f>
        <v>7590</v>
      </c>
      <c r="F375" s="13">
        <v>2014</v>
      </c>
      <c r="G375" s="2">
        <v>37000</v>
      </c>
      <c r="H375" s="8" t="s">
        <v>12</v>
      </c>
      <c r="I375" s="8" t="s">
        <v>13</v>
      </c>
      <c r="J375" s="8" t="s">
        <v>20</v>
      </c>
      <c r="K375" t="s">
        <v>165</v>
      </c>
      <c r="L375" t="s">
        <v>166</v>
      </c>
      <c r="M375" s="2">
        <f>VALUE(MID(L375,1,FIND("@",L375)-6))</f>
        <v>117</v>
      </c>
      <c r="N375">
        <v>5</v>
      </c>
      <c r="O375" t="str">
        <f>IF(datos_limpios[[#This Row],[Seating Capacity ]]&gt;4,"SI","NO")</f>
        <v>SI</v>
      </c>
      <c r="P375">
        <v>40</v>
      </c>
    </row>
    <row r="376" spans="1:16" x14ac:dyDescent="0.3">
      <c r="A376" s="8" t="s">
        <v>10</v>
      </c>
      <c r="B376" s="8" t="s">
        <v>634</v>
      </c>
      <c r="C376" s="9">
        <v>375</v>
      </c>
      <c r="D376" s="3">
        <v>690000</v>
      </c>
      <c r="E376" s="1">
        <f>datos_limpios[[#This Row],[Price INR   ]]*0.011</f>
        <v>7590</v>
      </c>
      <c r="F376" s="13">
        <v>2016</v>
      </c>
      <c r="G376" s="2">
        <v>38000</v>
      </c>
      <c r="H376" s="8" t="s">
        <v>19</v>
      </c>
      <c r="I376" s="8" t="s">
        <v>13</v>
      </c>
      <c r="J376" s="8" t="s">
        <v>82</v>
      </c>
      <c r="K376" t="s">
        <v>196</v>
      </c>
      <c r="L376" t="s">
        <v>197</v>
      </c>
      <c r="M376" s="2">
        <f>VALUE(MID(L376,1,FIND("@",L376)-6))</f>
        <v>99</v>
      </c>
      <c r="N376">
        <v>5</v>
      </c>
      <c r="O376" t="str">
        <f>IF(datos_limpios[[#This Row],[Seating Capacity ]]&gt;4,"SI","NO")</f>
        <v>SI</v>
      </c>
      <c r="P376">
        <v>40</v>
      </c>
    </row>
    <row r="377" spans="1:16" x14ac:dyDescent="0.3">
      <c r="A377" s="8" t="s">
        <v>10</v>
      </c>
      <c r="B377" s="8" t="s">
        <v>859</v>
      </c>
      <c r="C377" s="9">
        <v>376</v>
      </c>
      <c r="D377" s="3">
        <v>690000</v>
      </c>
      <c r="E377" s="1">
        <f>datos_limpios[[#This Row],[Price INR   ]]*0.011</f>
        <v>7590</v>
      </c>
      <c r="F377" s="13">
        <v>2015</v>
      </c>
      <c r="G377" s="2">
        <v>59000</v>
      </c>
      <c r="H377" s="8" t="s">
        <v>12</v>
      </c>
      <c r="I377" s="8" t="s">
        <v>40</v>
      </c>
      <c r="J377" s="8" t="s">
        <v>77</v>
      </c>
      <c r="K377" t="s">
        <v>165</v>
      </c>
      <c r="L377" t="s">
        <v>166</v>
      </c>
      <c r="M377" s="2">
        <f>VALUE(MID(L377,1,FIND("@",L377)-6))</f>
        <v>117</v>
      </c>
      <c r="N377">
        <v>5</v>
      </c>
      <c r="O377" t="str">
        <f>IF(datos_limpios[[#This Row],[Seating Capacity ]]&gt;4,"SI","NO")</f>
        <v>SI</v>
      </c>
      <c r="P377">
        <v>40</v>
      </c>
    </row>
    <row r="378" spans="1:16" x14ac:dyDescent="0.3">
      <c r="A378" s="8" t="s">
        <v>10</v>
      </c>
      <c r="B378" s="8" t="s">
        <v>996</v>
      </c>
      <c r="C378" s="9">
        <v>377</v>
      </c>
      <c r="D378" s="3">
        <v>695000</v>
      </c>
      <c r="E378" s="1">
        <f>datos_limpios[[#This Row],[Price INR   ]]*0.011</f>
        <v>7645</v>
      </c>
      <c r="F378" s="13">
        <v>2017</v>
      </c>
      <c r="G378" s="2">
        <v>51292</v>
      </c>
      <c r="H378" s="8" t="s">
        <v>12</v>
      </c>
      <c r="I378" s="8" t="s">
        <v>13</v>
      </c>
      <c r="J378" s="8" t="s">
        <v>20</v>
      </c>
      <c r="K378" t="s">
        <v>165</v>
      </c>
      <c r="L378" t="s">
        <v>166</v>
      </c>
      <c r="M378" s="2">
        <f>VALUE(MID(L378,1,FIND("@",L378)-6))</f>
        <v>117</v>
      </c>
      <c r="N378">
        <v>5</v>
      </c>
      <c r="O378" t="str">
        <f>IF(datos_limpios[[#This Row],[Seating Capacity ]]&gt;4,"SI","NO")</f>
        <v>SI</v>
      </c>
      <c r="P378">
        <v>40</v>
      </c>
    </row>
    <row r="379" spans="1:16" x14ac:dyDescent="0.3">
      <c r="A379" s="8" t="s">
        <v>10</v>
      </c>
      <c r="B379" s="8" t="s">
        <v>1226</v>
      </c>
      <c r="C379" s="9">
        <v>378</v>
      </c>
      <c r="D379" s="3">
        <v>700000</v>
      </c>
      <c r="E379" s="1">
        <f>datos_limpios[[#This Row],[Price INR   ]]*0.011</f>
        <v>7700</v>
      </c>
      <c r="F379" s="13">
        <v>2022</v>
      </c>
      <c r="G379" s="2">
        <v>1000</v>
      </c>
      <c r="H379" s="8" t="s">
        <v>12</v>
      </c>
      <c r="I379" s="8" t="s">
        <v>13</v>
      </c>
      <c r="J379" s="8" t="s">
        <v>20</v>
      </c>
      <c r="K379" t="s">
        <v>97</v>
      </c>
      <c r="L379" t="s">
        <v>98</v>
      </c>
      <c r="M379" s="2">
        <f>VALUE(MID(L379,1,FIND("@",L379)-6))</f>
        <v>89</v>
      </c>
      <c r="N379">
        <v>5</v>
      </c>
      <c r="O379" t="str">
        <f>IF(datos_limpios[[#This Row],[Seating Capacity ]]&gt;4,"SI","NO")</f>
        <v>SI</v>
      </c>
      <c r="P379">
        <v>35</v>
      </c>
    </row>
    <row r="380" spans="1:16" x14ac:dyDescent="0.3">
      <c r="A380" s="8" t="s">
        <v>10</v>
      </c>
      <c r="B380" s="8" t="s">
        <v>318</v>
      </c>
      <c r="C380" s="9">
        <v>379</v>
      </c>
      <c r="D380" s="3">
        <v>730000</v>
      </c>
      <c r="E380" s="1">
        <f>datos_limpios[[#This Row],[Price INR   ]]*0.011</f>
        <v>8029.9999999999991</v>
      </c>
      <c r="F380" s="13">
        <v>2016</v>
      </c>
      <c r="G380" s="2">
        <v>51834</v>
      </c>
      <c r="H380" s="8" t="s">
        <v>12</v>
      </c>
      <c r="I380" s="8" t="s">
        <v>13</v>
      </c>
      <c r="J380" s="8" t="s">
        <v>14</v>
      </c>
      <c r="K380" t="s">
        <v>165</v>
      </c>
      <c r="L380" t="s">
        <v>166</v>
      </c>
      <c r="M380" s="2">
        <f>VALUE(MID(L380,1,FIND("@",L380)-6))</f>
        <v>117</v>
      </c>
      <c r="N380">
        <v>5</v>
      </c>
      <c r="O380" t="str">
        <f>IF(datos_limpios[[#This Row],[Seating Capacity ]]&gt;4,"SI","NO")</f>
        <v>SI</v>
      </c>
      <c r="P380">
        <v>40</v>
      </c>
    </row>
    <row r="381" spans="1:16" x14ac:dyDescent="0.3">
      <c r="A381" s="8" t="s">
        <v>10</v>
      </c>
      <c r="B381" s="8" t="s">
        <v>318</v>
      </c>
      <c r="C381" s="9">
        <v>380</v>
      </c>
      <c r="D381" s="3">
        <v>745000</v>
      </c>
      <c r="E381" s="1">
        <f>datos_limpios[[#This Row],[Price INR   ]]*0.011</f>
        <v>8195</v>
      </c>
      <c r="F381" s="13">
        <v>2016</v>
      </c>
      <c r="G381" s="2">
        <v>38000</v>
      </c>
      <c r="H381" s="8" t="s">
        <v>12</v>
      </c>
      <c r="I381" s="8" t="s">
        <v>13</v>
      </c>
      <c r="J381" s="8" t="s">
        <v>77</v>
      </c>
      <c r="K381" t="s">
        <v>165</v>
      </c>
      <c r="L381" t="s">
        <v>166</v>
      </c>
      <c r="M381" s="2">
        <f>VALUE(MID(L381,1,FIND("@",L381)-6))</f>
        <v>117</v>
      </c>
      <c r="N381">
        <v>5</v>
      </c>
      <c r="O381" t="str">
        <f>IF(datos_limpios[[#This Row],[Seating Capacity ]]&gt;4,"SI","NO")</f>
        <v>SI</v>
      </c>
      <c r="P381">
        <v>40</v>
      </c>
    </row>
    <row r="382" spans="1:16" x14ac:dyDescent="0.3">
      <c r="A382" s="8" t="s">
        <v>10</v>
      </c>
      <c r="B382" s="8" t="s">
        <v>1369</v>
      </c>
      <c r="C382" s="9">
        <v>381</v>
      </c>
      <c r="D382" s="3">
        <v>745000</v>
      </c>
      <c r="E382" s="1">
        <f>datos_limpios[[#This Row],[Price INR   ]]*0.011</f>
        <v>8195</v>
      </c>
      <c r="F382" s="13">
        <v>2018</v>
      </c>
      <c r="G382" s="2">
        <v>54000</v>
      </c>
      <c r="H382" s="8" t="s">
        <v>12</v>
      </c>
      <c r="I382" s="8" t="s">
        <v>40</v>
      </c>
      <c r="J382" s="8" t="s">
        <v>77</v>
      </c>
      <c r="K382" t="s">
        <v>165</v>
      </c>
      <c r="L382" t="s">
        <v>166</v>
      </c>
      <c r="M382" s="2">
        <f>VALUE(MID(L382,1,FIND("@",L382)-6))</f>
        <v>117</v>
      </c>
      <c r="N382">
        <v>7</v>
      </c>
      <c r="O382" t="str">
        <f>IF(datos_limpios[[#This Row],[Seating Capacity ]]&gt;4,"SI","NO")</f>
        <v>SI</v>
      </c>
      <c r="P382">
        <v>42</v>
      </c>
    </row>
    <row r="383" spans="1:16" x14ac:dyDescent="0.3">
      <c r="A383" s="8" t="s">
        <v>10</v>
      </c>
      <c r="B383" s="8" t="s">
        <v>559</v>
      </c>
      <c r="C383" s="9">
        <v>382</v>
      </c>
      <c r="D383" s="3">
        <v>750000</v>
      </c>
      <c r="E383" s="1">
        <f>datos_limpios[[#This Row],[Price INR   ]]*0.011</f>
        <v>8250</v>
      </c>
      <c r="F383" s="13">
        <v>2018</v>
      </c>
      <c r="G383" s="2">
        <v>75000</v>
      </c>
      <c r="H383" s="8" t="s">
        <v>19</v>
      </c>
      <c r="I383" s="8" t="s">
        <v>13</v>
      </c>
      <c r="J383" s="8" t="s">
        <v>20</v>
      </c>
      <c r="K383" t="s">
        <v>196</v>
      </c>
      <c r="L383" t="s">
        <v>197</v>
      </c>
      <c r="M383" s="2">
        <f>VALUE(MID(L383,1,FIND("@",L383)-6))</f>
        <v>99</v>
      </c>
      <c r="N383">
        <v>5</v>
      </c>
      <c r="O383" t="str">
        <f>IF(datos_limpios[[#This Row],[Seating Capacity ]]&gt;4,"SI","NO")</f>
        <v>SI</v>
      </c>
      <c r="P383">
        <v>40</v>
      </c>
    </row>
    <row r="384" spans="1:16" x14ac:dyDescent="0.3">
      <c r="A384" s="8" t="s">
        <v>10</v>
      </c>
      <c r="B384" s="8" t="s">
        <v>1405</v>
      </c>
      <c r="C384" s="9">
        <v>383</v>
      </c>
      <c r="D384" s="3">
        <v>755000</v>
      </c>
      <c r="E384" s="1">
        <f>datos_limpios[[#This Row],[Price INR   ]]*0.011</f>
        <v>8305</v>
      </c>
      <c r="F384" s="13">
        <v>2017</v>
      </c>
      <c r="G384" s="2">
        <v>75650</v>
      </c>
      <c r="H384" s="8" t="s">
        <v>19</v>
      </c>
      <c r="I384" s="8" t="s">
        <v>13</v>
      </c>
      <c r="J384" s="8" t="s">
        <v>20</v>
      </c>
      <c r="K384" t="s">
        <v>196</v>
      </c>
      <c r="L384" t="s">
        <v>197</v>
      </c>
      <c r="M384" s="2">
        <f>VALUE(MID(L384,1,FIND("@",L384)-6))</f>
        <v>99</v>
      </c>
      <c r="N384">
        <v>5</v>
      </c>
      <c r="O384" t="str">
        <f>IF(datos_limpios[[#This Row],[Seating Capacity ]]&gt;4,"SI","NO")</f>
        <v>SI</v>
      </c>
      <c r="P384">
        <v>40</v>
      </c>
    </row>
    <row r="385" spans="1:16" x14ac:dyDescent="0.3">
      <c r="A385" s="8" t="s">
        <v>10</v>
      </c>
      <c r="B385" s="8" t="s">
        <v>188</v>
      </c>
      <c r="C385" s="9">
        <v>384</v>
      </c>
      <c r="D385" s="3">
        <v>761000</v>
      </c>
      <c r="E385" s="1">
        <f>datos_limpios[[#This Row],[Price INR   ]]*0.011</f>
        <v>8371</v>
      </c>
      <c r="F385" s="13">
        <v>2017</v>
      </c>
      <c r="G385" s="2">
        <v>38000</v>
      </c>
      <c r="H385" s="8" t="s">
        <v>12</v>
      </c>
      <c r="I385" s="8" t="s">
        <v>40</v>
      </c>
      <c r="J385" s="8" t="s">
        <v>14</v>
      </c>
      <c r="K385" t="s">
        <v>165</v>
      </c>
      <c r="L385" t="s">
        <v>166</v>
      </c>
      <c r="M385" s="2">
        <f>VALUE(MID(L385,1,FIND("@",L385)-6))</f>
        <v>117</v>
      </c>
      <c r="N385">
        <v>5</v>
      </c>
      <c r="O385" t="str">
        <f>IF(datos_limpios[[#This Row],[Seating Capacity ]]&gt;4,"SI","NO")</f>
        <v>SI</v>
      </c>
      <c r="P385">
        <v>40</v>
      </c>
    </row>
    <row r="386" spans="1:16" x14ac:dyDescent="0.3">
      <c r="A386" s="8" t="s">
        <v>10</v>
      </c>
      <c r="B386" s="8" t="s">
        <v>318</v>
      </c>
      <c r="C386" s="9">
        <v>385</v>
      </c>
      <c r="D386" s="3">
        <v>775000</v>
      </c>
      <c r="E386" s="1">
        <f>datos_limpios[[#This Row],[Price INR   ]]*0.011</f>
        <v>8525</v>
      </c>
      <c r="F386" s="13">
        <v>2018</v>
      </c>
      <c r="G386" s="2">
        <v>39000</v>
      </c>
      <c r="H386" s="8" t="s">
        <v>12</v>
      </c>
      <c r="I386" s="8" t="s">
        <v>13</v>
      </c>
      <c r="J386" s="8" t="s">
        <v>25</v>
      </c>
      <c r="K386" t="s">
        <v>165</v>
      </c>
      <c r="L386" t="s">
        <v>166</v>
      </c>
      <c r="M386" s="2">
        <f>VALUE(MID(L386,1,FIND("@",L386)-6))</f>
        <v>117</v>
      </c>
      <c r="N386">
        <v>5</v>
      </c>
      <c r="O386" t="str">
        <f>IF(datos_limpios[[#This Row],[Seating Capacity ]]&gt;4,"SI","NO")</f>
        <v>SI</v>
      </c>
      <c r="P386">
        <v>40</v>
      </c>
    </row>
    <row r="387" spans="1:16" x14ac:dyDescent="0.3">
      <c r="A387" s="8" t="s">
        <v>10</v>
      </c>
      <c r="B387" s="8" t="s">
        <v>859</v>
      </c>
      <c r="C387" s="9">
        <v>386</v>
      </c>
      <c r="D387" s="3">
        <v>775000</v>
      </c>
      <c r="E387" s="1">
        <f>datos_limpios[[#This Row],[Price INR   ]]*0.011</f>
        <v>8525</v>
      </c>
      <c r="F387" s="13">
        <v>2016</v>
      </c>
      <c r="G387" s="2">
        <v>42000</v>
      </c>
      <c r="H387" s="8" t="s">
        <v>12</v>
      </c>
      <c r="I387" s="8" t="s">
        <v>40</v>
      </c>
      <c r="J387" s="8" t="s">
        <v>82</v>
      </c>
      <c r="K387" t="s">
        <v>165</v>
      </c>
      <c r="L387" t="s">
        <v>166</v>
      </c>
      <c r="M387" s="2">
        <f>VALUE(MID(L387,1,FIND("@",L387)-6))</f>
        <v>117</v>
      </c>
      <c r="N387">
        <v>5</v>
      </c>
      <c r="O387" t="str">
        <f>IF(datos_limpios[[#This Row],[Seating Capacity ]]&gt;4,"SI","NO")</f>
        <v>SI</v>
      </c>
      <c r="P387">
        <v>40</v>
      </c>
    </row>
    <row r="388" spans="1:16" x14ac:dyDescent="0.3">
      <c r="A388" s="8" t="s">
        <v>10</v>
      </c>
      <c r="B388" s="8" t="s">
        <v>1296</v>
      </c>
      <c r="C388" s="9">
        <v>387</v>
      </c>
      <c r="D388" s="3">
        <v>785000</v>
      </c>
      <c r="E388" s="1">
        <f>datos_limpios[[#This Row],[Price INR   ]]*0.011</f>
        <v>8635</v>
      </c>
      <c r="F388" s="13">
        <v>2018</v>
      </c>
      <c r="G388" s="2">
        <v>23000</v>
      </c>
      <c r="H388" s="8" t="s">
        <v>12</v>
      </c>
      <c r="I388" s="8" t="s">
        <v>40</v>
      </c>
      <c r="J388" s="8" t="s">
        <v>30</v>
      </c>
      <c r="K388" t="s">
        <v>97</v>
      </c>
      <c r="L388" t="s">
        <v>98</v>
      </c>
      <c r="M388" s="2">
        <f>VALUE(MID(L388,1,FIND("@",L388)-6))</f>
        <v>89</v>
      </c>
      <c r="N388">
        <v>5</v>
      </c>
      <c r="O388" t="str">
        <f>IF(datos_limpios[[#This Row],[Seating Capacity ]]&gt;4,"SI","NO")</f>
        <v>SI</v>
      </c>
      <c r="P388">
        <v>40</v>
      </c>
    </row>
    <row r="389" spans="1:16" x14ac:dyDescent="0.3">
      <c r="A389" s="8" t="s">
        <v>10</v>
      </c>
      <c r="B389" s="8" t="s">
        <v>1141</v>
      </c>
      <c r="C389" s="9">
        <v>388</v>
      </c>
      <c r="D389" s="3">
        <v>790000</v>
      </c>
      <c r="E389" s="1">
        <f>datos_limpios[[#This Row],[Price INR   ]]*0.011</f>
        <v>8690</v>
      </c>
      <c r="F389" s="13">
        <v>2018</v>
      </c>
      <c r="G389" s="2">
        <v>41000</v>
      </c>
      <c r="H389" s="8" t="s">
        <v>19</v>
      </c>
      <c r="I389" s="8" t="s">
        <v>13</v>
      </c>
      <c r="J389" s="8" t="s">
        <v>77</v>
      </c>
      <c r="K389" t="s">
        <v>196</v>
      </c>
      <c r="L389" t="s">
        <v>197</v>
      </c>
      <c r="M389" s="2">
        <f>VALUE(MID(L389,1,FIND("@",L389)-6))</f>
        <v>99</v>
      </c>
      <c r="N389">
        <v>5</v>
      </c>
      <c r="O389" t="str">
        <f>IF(datos_limpios[[#This Row],[Seating Capacity ]]&gt;4,"SI","NO")</f>
        <v>SI</v>
      </c>
      <c r="P389">
        <v>40</v>
      </c>
    </row>
    <row r="390" spans="1:16" x14ac:dyDescent="0.3">
      <c r="A390" s="8" t="s">
        <v>10</v>
      </c>
      <c r="B390" s="8" t="s">
        <v>956</v>
      </c>
      <c r="C390" s="9">
        <v>389</v>
      </c>
      <c r="D390" s="3">
        <v>790000</v>
      </c>
      <c r="E390" s="1">
        <f>datos_limpios[[#This Row],[Price INR   ]]*0.011</f>
        <v>8690</v>
      </c>
      <c r="F390" s="13">
        <v>2016</v>
      </c>
      <c r="G390" s="2">
        <v>63088</v>
      </c>
      <c r="H390" s="8" t="s">
        <v>12</v>
      </c>
      <c r="I390" s="8" t="s">
        <v>13</v>
      </c>
      <c r="J390" s="8" t="s">
        <v>20</v>
      </c>
      <c r="K390" t="s">
        <v>165</v>
      </c>
      <c r="L390" t="s">
        <v>166</v>
      </c>
      <c r="M390" s="2">
        <f>VALUE(MID(L390,1,FIND("@",L390)-6))</f>
        <v>117</v>
      </c>
      <c r="N390">
        <v>5</v>
      </c>
      <c r="O390" t="str">
        <f>IF(datos_limpios[[#This Row],[Seating Capacity ]]&gt;4,"SI","NO")</f>
        <v>SI</v>
      </c>
      <c r="P390">
        <v>40</v>
      </c>
    </row>
    <row r="391" spans="1:16" x14ac:dyDescent="0.3">
      <c r="A391" s="8" t="s">
        <v>10</v>
      </c>
      <c r="B391" s="8" t="s">
        <v>783</v>
      </c>
      <c r="C391" s="9">
        <v>390</v>
      </c>
      <c r="D391" s="3">
        <v>795000</v>
      </c>
      <c r="E391" s="1">
        <f>datos_limpios[[#This Row],[Price INR   ]]*0.011</f>
        <v>8745</v>
      </c>
      <c r="F391" s="13">
        <v>2019</v>
      </c>
      <c r="G391" s="2">
        <v>22224</v>
      </c>
      <c r="H391" s="8" t="s">
        <v>12</v>
      </c>
      <c r="I391" s="8" t="s">
        <v>40</v>
      </c>
      <c r="J391" s="8" t="s">
        <v>14</v>
      </c>
      <c r="K391" t="s">
        <v>97</v>
      </c>
      <c r="L391" t="s">
        <v>98</v>
      </c>
      <c r="M391" s="2">
        <f>VALUE(MID(L391,1,FIND("@",L391)-6))</f>
        <v>89</v>
      </c>
      <c r="N391">
        <v>5</v>
      </c>
      <c r="O391" t="str">
        <f>IF(datos_limpios[[#This Row],[Seating Capacity ]]&gt;4,"SI","NO")</f>
        <v>SI</v>
      </c>
      <c r="P391">
        <v>35</v>
      </c>
    </row>
    <row r="392" spans="1:16" x14ac:dyDescent="0.3">
      <c r="A392" s="8" t="s">
        <v>10</v>
      </c>
      <c r="B392" s="8" t="s">
        <v>96</v>
      </c>
      <c r="C392" s="9">
        <v>391</v>
      </c>
      <c r="D392" s="3">
        <v>795000</v>
      </c>
      <c r="E392" s="1">
        <f>datos_limpios[[#This Row],[Price INR   ]]*0.011</f>
        <v>8745</v>
      </c>
      <c r="F392" s="13">
        <v>2018</v>
      </c>
      <c r="G392" s="2">
        <v>45326</v>
      </c>
      <c r="H392" s="8" t="s">
        <v>12</v>
      </c>
      <c r="I392" s="8" t="s">
        <v>13</v>
      </c>
      <c r="J392" s="8" t="s">
        <v>20</v>
      </c>
      <c r="K392" t="s">
        <v>97</v>
      </c>
      <c r="L392" t="s">
        <v>98</v>
      </c>
      <c r="M392" s="2">
        <f>VALUE(MID(L392,1,FIND("@",L392)-6))</f>
        <v>89</v>
      </c>
      <c r="N392">
        <v>5</v>
      </c>
      <c r="O392" t="str">
        <f>IF(datos_limpios[[#This Row],[Seating Capacity ]]&gt;4,"SI","NO")</f>
        <v>SI</v>
      </c>
      <c r="P392">
        <v>40</v>
      </c>
    </row>
    <row r="393" spans="1:16" x14ac:dyDescent="0.3">
      <c r="A393" s="8" t="s">
        <v>10</v>
      </c>
      <c r="B393" s="8" t="s">
        <v>96</v>
      </c>
      <c r="C393" s="9">
        <v>392</v>
      </c>
      <c r="D393" s="3">
        <v>819999</v>
      </c>
      <c r="E393" s="1">
        <f>datos_limpios[[#This Row],[Price INR   ]]*0.011</f>
        <v>9019.9889999999996</v>
      </c>
      <c r="F393" s="13">
        <v>2018</v>
      </c>
      <c r="G393" s="2">
        <v>27963</v>
      </c>
      <c r="H393" s="8" t="s">
        <v>12</v>
      </c>
      <c r="I393" s="8" t="s">
        <v>13</v>
      </c>
      <c r="J393" s="8" t="s">
        <v>20</v>
      </c>
      <c r="K393" t="s">
        <v>97</v>
      </c>
      <c r="L393" t="s">
        <v>98</v>
      </c>
      <c r="M393" s="2">
        <f>VALUE(MID(L393,1,FIND("@",L393)-6))</f>
        <v>89</v>
      </c>
      <c r="N393">
        <v>5</v>
      </c>
      <c r="O393" t="str">
        <f>IF(datos_limpios[[#This Row],[Seating Capacity ]]&gt;4,"SI","NO")</f>
        <v>SI</v>
      </c>
      <c r="P393">
        <v>40</v>
      </c>
    </row>
    <row r="394" spans="1:16" x14ac:dyDescent="0.3">
      <c r="A394" s="8" t="s">
        <v>10</v>
      </c>
      <c r="B394" s="8" t="s">
        <v>96</v>
      </c>
      <c r="C394" s="9">
        <v>393</v>
      </c>
      <c r="D394" s="3">
        <v>819999</v>
      </c>
      <c r="E394" s="1">
        <f>datos_limpios[[#This Row],[Price INR   ]]*0.011</f>
        <v>9019.9889999999996</v>
      </c>
      <c r="F394" s="13">
        <v>2018</v>
      </c>
      <c r="G394" s="2">
        <v>42000</v>
      </c>
      <c r="H394" s="8" t="s">
        <v>12</v>
      </c>
      <c r="I394" s="8" t="s">
        <v>13</v>
      </c>
      <c r="J394" s="8" t="s">
        <v>25</v>
      </c>
      <c r="K394" t="s">
        <v>97</v>
      </c>
      <c r="L394" t="s">
        <v>98</v>
      </c>
      <c r="M394" s="2">
        <f>VALUE(MID(L394,1,FIND("@",L394)-6))</f>
        <v>89</v>
      </c>
      <c r="N394">
        <v>5</v>
      </c>
      <c r="O394" t="str">
        <f>IF(datos_limpios[[#This Row],[Seating Capacity ]]&gt;4,"SI","NO")</f>
        <v>SI</v>
      </c>
      <c r="P394">
        <v>40</v>
      </c>
    </row>
    <row r="395" spans="1:16" x14ac:dyDescent="0.3">
      <c r="A395" s="8" t="s">
        <v>10</v>
      </c>
      <c r="B395" s="8" t="s">
        <v>859</v>
      </c>
      <c r="C395" s="9">
        <v>394</v>
      </c>
      <c r="D395" s="3">
        <v>825000</v>
      </c>
      <c r="E395" s="1">
        <f>datos_limpios[[#This Row],[Price INR   ]]*0.011</f>
        <v>9075</v>
      </c>
      <c r="F395" s="13">
        <v>2016</v>
      </c>
      <c r="G395" s="2">
        <v>45000</v>
      </c>
      <c r="H395" s="8" t="s">
        <v>12</v>
      </c>
      <c r="I395" s="8" t="s">
        <v>40</v>
      </c>
      <c r="J395" s="8" t="s">
        <v>20</v>
      </c>
      <c r="K395" t="s">
        <v>165</v>
      </c>
      <c r="L395" t="s">
        <v>166</v>
      </c>
      <c r="M395" s="2">
        <f>VALUE(MID(L395,1,FIND("@",L395)-6))</f>
        <v>117</v>
      </c>
      <c r="N395">
        <v>5</v>
      </c>
      <c r="O395" t="str">
        <f>IF(datos_limpios[[#This Row],[Seating Capacity ]]&gt;4,"SI","NO")</f>
        <v>SI</v>
      </c>
      <c r="P395">
        <v>40</v>
      </c>
    </row>
    <row r="396" spans="1:16" x14ac:dyDescent="0.3">
      <c r="A396" s="8" t="s">
        <v>10</v>
      </c>
      <c r="B396" s="8" t="s">
        <v>318</v>
      </c>
      <c r="C396" s="9">
        <v>395</v>
      </c>
      <c r="D396" s="3">
        <v>835000</v>
      </c>
      <c r="E396" s="1">
        <f>datos_limpios[[#This Row],[Price INR   ]]*0.011</f>
        <v>9185</v>
      </c>
      <c r="F396" s="13">
        <v>2018</v>
      </c>
      <c r="G396" s="2">
        <v>42855</v>
      </c>
      <c r="H396" s="8" t="s">
        <v>12</v>
      </c>
      <c r="I396" s="8" t="s">
        <v>13</v>
      </c>
      <c r="J396" s="8" t="s">
        <v>82</v>
      </c>
      <c r="K396" t="s">
        <v>165</v>
      </c>
      <c r="L396" t="s">
        <v>166</v>
      </c>
      <c r="M396" s="2">
        <f>VALUE(MID(L396,1,FIND("@",L396)-6))</f>
        <v>117</v>
      </c>
      <c r="N396">
        <v>5</v>
      </c>
      <c r="O396" t="str">
        <f>IF(datos_limpios[[#This Row],[Seating Capacity ]]&gt;4,"SI","NO")</f>
        <v>SI</v>
      </c>
      <c r="P396">
        <v>40</v>
      </c>
    </row>
    <row r="397" spans="1:16" x14ac:dyDescent="0.3">
      <c r="A397" s="8" t="s">
        <v>10</v>
      </c>
      <c r="B397" s="8" t="s">
        <v>597</v>
      </c>
      <c r="C397" s="9">
        <v>396</v>
      </c>
      <c r="D397" s="3">
        <v>840000</v>
      </c>
      <c r="E397" s="1">
        <f>datos_limpios[[#This Row],[Price INR   ]]*0.011</f>
        <v>9240</v>
      </c>
      <c r="F397" s="13">
        <v>2019</v>
      </c>
      <c r="G397" s="2">
        <v>34000</v>
      </c>
      <c r="H397" s="8" t="s">
        <v>12</v>
      </c>
      <c r="I397" s="8" t="s">
        <v>13</v>
      </c>
      <c r="J397" s="8" t="s">
        <v>20</v>
      </c>
      <c r="K397" t="s">
        <v>165</v>
      </c>
      <c r="L397" t="s">
        <v>166</v>
      </c>
      <c r="M397" s="2">
        <f>VALUE(MID(L397,1,FIND("@",L397)-6))</f>
        <v>117</v>
      </c>
      <c r="N397">
        <v>5</v>
      </c>
      <c r="O397" t="str">
        <f>IF(datos_limpios[[#This Row],[Seating Capacity ]]&gt;4,"SI","NO")</f>
        <v>SI</v>
      </c>
      <c r="P397">
        <v>40</v>
      </c>
    </row>
    <row r="398" spans="1:16" x14ac:dyDescent="0.3">
      <c r="A398" s="8" t="s">
        <v>10</v>
      </c>
      <c r="B398" s="8" t="s">
        <v>318</v>
      </c>
      <c r="C398" s="9">
        <v>397</v>
      </c>
      <c r="D398" s="3">
        <v>850000</v>
      </c>
      <c r="E398" s="1">
        <f>datos_limpios[[#This Row],[Price INR   ]]*0.011</f>
        <v>9350</v>
      </c>
      <c r="F398" s="13">
        <v>2018</v>
      </c>
      <c r="G398" s="2">
        <v>52890</v>
      </c>
      <c r="H398" s="8" t="s">
        <v>12</v>
      </c>
      <c r="I398" s="8" t="s">
        <v>13</v>
      </c>
      <c r="J398" s="8" t="s">
        <v>77</v>
      </c>
      <c r="K398" t="s">
        <v>165</v>
      </c>
      <c r="L398" t="s">
        <v>166</v>
      </c>
      <c r="M398" s="2">
        <f>VALUE(MID(L398,1,FIND("@",L398)-6))</f>
        <v>117</v>
      </c>
      <c r="N398">
        <v>5</v>
      </c>
      <c r="O398" t="str">
        <f>IF(datos_limpios[[#This Row],[Seating Capacity ]]&gt;4,"SI","NO")</f>
        <v>SI</v>
      </c>
      <c r="P398">
        <v>40</v>
      </c>
    </row>
    <row r="399" spans="1:16" x14ac:dyDescent="0.3">
      <c r="A399" s="8" t="s">
        <v>10</v>
      </c>
      <c r="B399" s="8" t="s">
        <v>1360</v>
      </c>
      <c r="C399" s="9">
        <v>398</v>
      </c>
      <c r="D399" s="3">
        <v>850000</v>
      </c>
      <c r="E399" s="1">
        <f>datos_limpios[[#This Row],[Price INR   ]]*0.011</f>
        <v>9350</v>
      </c>
      <c r="F399" s="13">
        <v>2017</v>
      </c>
      <c r="G399" s="2">
        <v>47255</v>
      </c>
      <c r="H399" s="8" t="s">
        <v>12</v>
      </c>
      <c r="I399" s="8" t="s">
        <v>13</v>
      </c>
      <c r="J399" s="8" t="s">
        <v>14</v>
      </c>
      <c r="K399" t="s">
        <v>165</v>
      </c>
      <c r="L399" t="s">
        <v>166</v>
      </c>
      <c r="M399" s="2">
        <f>VALUE(MID(L399,1,FIND("@",L399)-6))</f>
        <v>117</v>
      </c>
      <c r="N399">
        <v>5</v>
      </c>
      <c r="O399" t="str">
        <f>IF(datos_limpios[[#This Row],[Seating Capacity ]]&gt;4,"SI","NO")</f>
        <v>SI</v>
      </c>
      <c r="P399">
        <v>40</v>
      </c>
    </row>
    <row r="400" spans="1:16" x14ac:dyDescent="0.3">
      <c r="A400" s="8" t="s">
        <v>10</v>
      </c>
      <c r="B400" s="8" t="s">
        <v>188</v>
      </c>
      <c r="C400" s="9">
        <v>399</v>
      </c>
      <c r="D400" s="3">
        <v>865000</v>
      </c>
      <c r="E400" s="1">
        <f>datos_limpios[[#This Row],[Price INR   ]]*0.011</f>
        <v>9515</v>
      </c>
      <c r="F400" s="13">
        <v>2017</v>
      </c>
      <c r="G400" s="2">
        <v>49013</v>
      </c>
      <c r="H400" s="8" t="s">
        <v>12</v>
      </c>
      <c r="I400" s="8" t="s">
        <v>40</v>
      </c>
      <c r="J400" s="8" t="s">
        <v>14</v>
      </c>
      <c r="K400" t="s">
        <v>165</v>
      </c>
      <c r="L400" t="s">
        <v>166</v>
      </c>
      <c r="M400" s="2">
        <f>VALUE(MID(L400,1,FIND("@",L400)-6))</f>
        <v>117</v>
      </c>
      <c r="N400">
        <v>5</v>
      </c>
      <c r="O400" t="str">
        <f>IF(datos_limpios[[#This Row],[Seating Capacity ]]&gt;4,"SI","NO")</f>
        <v>SI</v>
      </c>
      <c r="P400">
        <v>40</v>
      </c>
    </row>
    <row r="401" spans="1:16" x14ac:dyDescent="0.3">
      <c r="A401" s="8" t="s">
        <v>10</v>
      </c>
      <c r="B401" s="8" t="s">
        <v>398</v>
      </c>
      <c r="C401" s="9">
        <v>400</v>
      </c>
      <c r="D401" s="3">
        <v>869000</v>
      </c>
      <c r="E401" s="1">
        <f>datos_limpios[[#This Row],[Price INR   ]]*0.011</f>
        <v>9559</v>
      </c>
      <c r="F401" s="13">
        <v>2021</v>
      </c>
      <c r="G401" s="2">
        <v>8700</v>
      </c>
      <c r="H401" s="8" t="s">
        <v>12</v>
      </c>
      <c r="I401" s="8" t="s">
        <v>40</v>
      </c>
      <c r="J401" s="8" t="s">
        <v>82</v>
      </c>
      <c r="K401" t="s">
        <v>97</v>
      </c>
      <c r="L401" t="s">
        <v>98</v>
      </c>
      <c r="M401" s="2">
        <f>VALUE(MID(L401,1,FIND("@",L401)-6))</f>
        <v>89</v>
      </c>
      <c r="N401">
        <v>5</v>
      </c>
      <c r="O401" t="str">
        <f>IF(datos_limpios[[#This Row],[Seating Capacity ]]&gt;4,"SI","NO")</f>
        <v>SI</v>
      </c>
      <c r="P401">
        <v>35</v>
      </c>
    </row>
    <row r="402" spans="1:16" x14ac:dyDescent="0.3">
      <c r="A402" s="8" t="s">
        <v>10</v>
      </c>
      <c r="B402" s="8" t="s">
        <v>318</v>
      </c>
      <c r="C402" s="9">
        <v>401</v>
      </c>
      <c r="D402" s="3">
        <v>875000</v>
      </c>
      <c r="E402" s="1">
        <f>datos_limpios[[#This Row],[Price INR   ]]*0.011</f>
        <v>9625</v>
      </c>
      <c r="F402" s="13">
        <v>2018</v>
      </c>
      <c r="G402" s="2">
        <v>28000</v>
      </c>
      <c r="H402" s="8" t="s">
        <v>12</v>
      </c>
      <c r="I402" s="8" t="s">
        <v>13</v>
      </c>
      <c r="J402" s="8" t="s">
        <v>77</v>
      </c>
      <c r="K402" t="s">
        <v>165</v>
      </c>
      <c r="L402" t="s">
        <v>166</v>
      </c>
      <c r="M402" s="2">
        <f>VALUE(MID(L402,1,FIND("@",L402)-6))</f>
        <v>117</v>
      </c>
      <c r="N402">
        <v>5</v>
      </c>
      <c r="O402" t="str">
        <f>IF(datos_limpios[[#This Row],[Seating Capacity ]]&gt;4,"SI","NO")</f>
        <v>SI</v>
      </c>
      <c r="P402">
        <v>40</v>
      </c>
    </row>
    <row r="403" spans="1:16" x14ac:dyDescent="0.3">
      <c r="A403" s="8" t="s">
        <v>10</v>
      </c>
      <c r="B403" s="8" t="s">
        <v>318</v>
      </c>
      <c r="C403" s="9">
        <v>402</v>
      </c>
      <c r="D403" s="3">
        <v>875000</v>
      </c>
      <c r="E403" s="1">
        <f>datos_limpios[[#This Row],[Price INR   ]]*0.011</f>
        <v>9625</v>
      </c>
      <c r="F403" s="13">
        <v>2019</v>
      </c>
      <c r="G403" s="2">
        <v>58618</v>
      </c>
      <c r="H403" s="8" t="s">
        <v>12</v>
      </c>
      <c r="I403" s="8" t="s">
        <v>13</v>
      </c>
      <c r="J403" s="8" t="s">
        <v>14</v>
      </c>
      <c r="K403" t="s">
        <v>165</v>
      </c>
      <c r="L403" t="s">
        <v>166</v>
      </c>
      <c r="M403" s="2">
        <f>VALUE(MID(L403,1,FIND("@",L403)-6))</f>
        <v>117</v>
      </c>
      <c r="N403">
        <v>5</v>
      </c>
      <c r="O403" t="str">
        <f>IF(datos_limpios[[#This Row],[Seating Capacity ]]&gt;4,"SI","NO")</f>
        <v>SI</v>
      </c>
      <c r="P403">
        <v>40</v>
      </c>
    </row>
    <row r="404" spans="1:16" x14ac:dyDescent="0.3">
      <c r="A404" s="8" t="s">
        <v>10</v>
      </c>
      <c r="B404" s="8" t="s">
        <v>1098</v>
      </c>
      <c r="C404" s="9">
        <v>403</v>
      </c>
      <c r="D404" s="3">
        <v>875000</v>
      </c>
      <c r="E404" s="1">
        <f>datos_limpios[[#This Row],[Price INR   ]]*0.011</f>
        <v>9625</v>
      </c>
      <c r="F404" s="13">
        <v>2018</v>
      </c>
      <c r="G404" s="2">
        <v>50000</v>
      </c>
      <c r="H404" s="8" t="s">
        <v>12</v>
      </c>
      <c r="I404" s="8" t="s">
        <v>13</v>
      </c>
      <c r="J404" s="8" t="s">
        <v>77</v>
      </c>
      <c r="K404" t="s">
        <v>165</v>
      </c>
      <c r="L404" t="s">
        <v>166</v>
      </c>
      <c r="M404" s="2">
        <f>VALUE(MID(L404,1,FIND("@",L404)-6))</f>
        <v>117</v>
      </c>
      <c r="N404">
        <v>5</v>
      </c>
      <c r="O404" t="str">
        <f>IF(datos_limpios[[#This Row],[Seating Capacity ]]&gt;4,"SI","NO")</f>
        <v>SI</v>
      </c>
      <c r="P404">
        <v>40</v>
      </c>
    </row>
    <row r="405" spans="1:16" x14ac:dyDescent="0.3">
      <c r="A405" s="8" t="s">
        <v>10</v>
      </c>
      <c r="B405" s="8" t="s">
        <v>597</v>
      </c>
      <c r="C405" s="9">
        <v>404</v>
      </c>
      <c r="D405" s="3">
        <v>875000</v>
      </c>
      <c r="E405" s="1">
        <f>datos_limpios[[#This Row],[Price INR   ]]*0.011</f>
        <v>9625</v>
      </c>
      <c r="F405" s="13">
        <v>2019</v>
      </c>
      <c r="G405" s="2">
        <v>36000</v>
      </c>
      <c r="H405" s="8" t="s">
        <v>12</v>
      </c>
      <c r="I405" s="8" t="s">
        <v>13</v>
      </c>
      <c r="J405" s="8" t="s">
        <v>115</v>
      </c>
      <c r="K405" t="s">
        <v>165</v>
      </c>
      <c r="L405" t="s">
        <v>166</v>
      </c>
      <c r="M405" s="2">
        <f>VALUE(MID(L405,1,FIND("@",L405)-6))</f>
        <v>117</v>
      </c>
      <c r="N405">
        <v>5</v>
      </c>
      <c r="O405" t="str">
        <f>IF(datos_limpios[[#This Row],[Seating Capacity ]]&gt;4,"SI","NO")</f>
        <v>SI</v>
      </c>
      <c r="P405">
        <v>40</v>
      </c>
    </row>
    <row r="406" spans="1:16" x14ac:dyDescent="0.3">
      <c r="A406" s="8" t="s">
        <v>10</v>
      </c>
      <c r="B406" s="8" t="s">
        <v>96</v>
      </c>
      <c r="C406" s="9">
        <v>405</v>
      </c>
      <c r="D406" s="3">
        <v>900000</v>
      </c>
      <c r="E406" s="1">
        <f>datos_limpios[[#This Row],[Price INR   ]]*0.011</f>
        <v>9900</v>
      </c>
      <c r="F406" s="13">
        <v>2019</v>
      </c>
      <c r="G406" s="2">
        <v>17000</v>
      </c>
      <c r="H406" s="8" t="s">
        <v>12</v>
      </c>
      <c r="I406" s="8" t="s">
        <v>13</v>
      </c>
      <c r="J406" s="8" t="s">
        <v>20</v>
      </c>
      <c r="K406" t="s">
        <v>97</v>
      </c>
      <c r="L406" t="s">
        <v>98</v>
      </c>
      <c r="M406" s="2">
        <f>VALUE(MID(L406,1,FIND("@",L406)-6))</f>
        <v>89</v>
      </c>
      <c r="N406">
        <v>5</v>
      </c>
      <c r="O406" t="str">
        <f>IF(datos_limpios[[#This Row],[Seating Capacity ]]&gt;4,"SI","NO")</f>
        <v>SI</v>
      </c>
      <c r="P406">
        <v>40</v>
      </c>
    </row>
    <row r="407" spans="1:16" x14ac:dyDescent="0.3">
      <c r="A407" s="8" t="s">
        <v>10</v>
      </c>
      <c r="B407" s="8" t="s">
        <v>1063</v>
      </c>
      <c r="C407" s="9">
        <v>406</v>
      </c>
      <c r="D407" s="3">
        <v>935000</v>
      </c>
      <c r="E407" s="1">
        <f>datos_limpios[[#This Row],[Price INR   ]]*0.011</f>
        <v>10285</v>
      </c>
      <c r="F407" s="13">
        <v>2019</v>
      </c>
      <c r="G407" s="2">
        <v>56000</v>
      </c>
      <c r="H407" s="8" t="s">
        <v>19</v>
      </c>
      <c r="I407" s="8" t="s">
        <v>13</v>
      </c>
      <c r="J407" s="8" t="s">
        <v>20</v>
      </c>
      <c r="K407" t="s">
        <v>196</v>
      </c>
      <c r="L407" t="s">
        <v>197</v>
      </c>
      <c r="M407" s="2">
        <f>VALUE(MID(L407,1,FIND("@",L407)-6))</f>
        <v>99</v>
      </c>
      <c r="N407">
        <v>5</v>
      </c>
      <c r="O407" t="str">
        <f>IF(datos_limpios[[#This Row],[Seating Capacity ]]&gt;4,"SI","NO")</f>
        <v>SI</v>
      </c>
      <c r="P407">
        <v>35</v>
      </c>
    </row>
    <row r="408" spans="1:16" x14ac:dyDescent="0.3">
      <c r="A408" s="8" t="s">
        <v>10</v>
      </c>
      <c r="B408" s="8" t="s">
        <v>318</v>
      </c>
      <c r="C408" s="9">
        <v>407</v>
      </c>
      <c r="D408" s="3">
        <v>949000</v>
      </c>
      <c r="E408" s="1">
        <f>datos_limpios[[#This Row],[Price INR   ]]*0.011</f>
        <v>10439</v>
      </c>
      <c r="F408" s="13">
        <v>2018</v>
      </c>
      <c r="G408" s="2">
        <v>37100</v>
      </c>
      <c r="H408" s="8" t="s">
        <v>12</v>
      </c>
      <c r="I408" s="8" t="s">
        <v>13</v>
      </c>
      <c r="J408" s="8" t="s">
        <v>14</v>
      </c>
      <c r="K408" t="s">
        <v>165</v>
      </c>
      <c r="L408" t="s">
        <v>166</v>
      </c>
      <c r="M408" s="2">
        <f>VALUE(MID(L408,1,FIND("@",L408)-6))</f>
        <v>117</v>
      </c>
      <c r="N408">
        <v>5</v>
      </c>
      <c r="O408" t="str">
        <f>IF(datos_limpios[[#This Row],[Seating Capacity ]]&gt;4,"SI","NO")</f>
        <v>SI</v>
      </c>
      <c r="P408">
        <v>40</v>
      </c>
    </row>
    <row r="409" spans="1:16" x14ac:dyDescent="0.3">
      <c r="A409" s="8" t="s">
        <v>10</v>
      </c>
      <c r="B409" s="8" t="s">
        <v>811</v>
      </c>
      <c r="C409" s="9">
        <v>408</v>
      </c>
      <c r="D409" s="3">
        <v>950000</v>
      </c>
      <c r="E409" s="1">
        <f>datos_limpios[[#This Row],[Price INR   ]]*0.011</f>
        <v>10450</v>
      </c>
      <c r="F409" s="13">
        <v>2020</v>
      </c>
      <c r="G409" s="2">
        <v>39000</v>
      </c>
      <c r="H409" s="8" t="s">
        <v>19</v>
      </c>
      <c r="I409" s="8" t="s">
        <v>40</v>
      </c>
      <c r="J409" s="8" t="s">
        <v>20</v>
      </c>
      <c r="K409" t="s">
        <v>196</v>
      </c>
      <c r="L409" t="s">
        <v>812</v>
      </c>
      <c r="M409" s="2">
        <f>VALUE(MID(L409,1,FIND("@",L409)-6))</f>
        <v>79</v>
      </c>
      <c r="N409">
        <v>5</v>
      </c>
      <c r="O409" t="str">
        <f>IF(datos_limpios[[#This Row],[Seating Capacity ]]&gt;4,"SI","NO")</f>
        <v>SI</v>
      </c>
      <c r="P409">
        <v>35</v>
      </c>
    </row>
    <row r="410" spans="1:16" x14ac:dyDescent="0.3">
      <c r="A410" s="8" t="s">
        <v>10</v>
      </c>
      <c r="B410" s="8" t="s">
        <v>985</v>
      </c>
      <c r="C410" s="9">
        <v>409</v>
      </c>
      <c r="D410" s="3">
        <v>950000</v>
      </c>
      <c r="E410" s="1">
        <f>datos_limpios[[#This Row],[Price INR   ]]*0.011</f>
        <v>10450</v>
      </c>
      <c r="F410" s="13">
        <v>2019</v>
      </c>
      <c r="G410" s="2">
        <v>22000</v>
      </c>
      <c r="H410" s="8" t="s">
        <v>12</v>
      </c>
      <c r="I410" s="8" t="s">
        <v>13</v>
      </c>
      <c r="J410" s="8" t="s">
        <v>20</v>
      </c>
      <c r="K410" t="s">
        <v>165</v>
      </c>
      <c r="L410" t="s">
        <v>587</v>
      </c>
      <c r="M410" s="2">
        <f>VALUE(MID(L410,1,FIND("@",L410)-6))</f>
        <v>118</v>
      </c>
      <c r="N410">
        <v>5</v>
      </c>
      <c r="O410" t="str">
        <f>IF(datos_limpios[[#This Row],[Seating Capacity ]]&gt;4,"SI","NO")</f>
        <v>SI</v>
      </c>
      <c r="P410">
        <v>40</v>
      </c>
    </row>
    <row r="411" spans="1:16" x14ac:dyDescent="0.3">
      <c r="A411" s="8" t="s">
        <v>10</v>
      </c>
      <c r="B411" s="8" t="s">
        <v>348</v>
      </c>
      <c r="C411" s="9">
        <v>410</v>
      </c>
      <c r="D411" s="3">
        <v>975000</v>
      </c>
      <c r="E411" s="1">
        <f>datos_limpios[[#This Row],[Price INR   ]]*0.011</f>
        <v>10725</v>
      </c>
      <c r="F411" s="13">
        <v>2019</v>
      </c>
      <c r="G411" s="2">
        <v>56881</v>
      </c>
      <c r="H411" s="8" t="s">
        <v>12</v>
      </c>
      <c r="I411" s="8" t="s">
        <v>13</v>
      </c>
      <c r="J411" s="8" t="s">
        <v>77</v>
      </c>
      <c r="K411" t="s">
        <v>165</v>
      </c>
      <c r="L411" t="s">
        <v>166</v>
      </c>
      <c r="M411" s="2">
        <f>VALUE(MID(L411,1,FIND("@",L411)-6))</f>
        <v>117</v>
      </c>
      <c r="N411">
        <v>5</v>
      </c>
      <c r="O411" t="str">
        <f>IF(datos_limpios[[#This Row],[Seating Capacity ]]&gt;4,"SI","NO")</f>
        <v>SI</v>
      </c>
      <c r="P411">
        <v>40</v>
      </c>
    </row>
    <row r="412" spans="1:16" x14ac:dyDescent="0.3">
      <c r="A412" s="8" t="s">
        <v>10</v>
      </c>
      <c r="B412" s="8" t="s">
        <v>188</v>
      </c>
      <c r="C412" s="9">
        <v>411</v>
      </c>
      <c r="D412" s="3">
        <v>1040000</v>
      </c>
      <c r="E412" s="1">
        <f>datos_limpios[[#This Row],[Price INR   ]]*0.011</f>
        <v>11440</v>
      </c>
      <c r="F412" s="13">
        <v>2019</v>
      </c>
      <c r="G412" s="2">
        <v>18000</v>
      </c>
      <c r="H412" s="8" t="s">
        <v>12</v>
      </c>
      <c r="I412" s="8" t="s">
        <v>40</v>
      </c>
      <c r="J412" s="8" t="s">
        <v>82</v>
      </c>
      <c r="K412" t="s">
        <v>165</v>
      </c>
      <c r="L412" t="s">
        <v>166</v>
      </c>
      <c r="M412" s="2">
        <f>VALUE(MID(L412,1,FIND("@",L412)-6))</f>
        <v>117</v>
      </c>
      <c r="N412">
        <v>5</v>
      </c>
      <c r="O412" t="str">
        <f>IF(datos_limpios[[#This Row],[Seating Capacity ]]&gt;4,"SI","NO")</f>
        <v>SI</v>
      </c>
      <c r="P412">
        <v>40</v>
      </c>
    </row>
    <row r="413" spans="1:16" x14ac:dyDescent="0.3">
      <c r="A413" s="8" t="s">
        <v>10</v>
      </c>
      <c r="B413" s="8" t="s">
        <v>976</v>
      </c>
      <c r="C413" s="9">
        <v>412</v>
      </c>
      <c r="D413" s="3">
        <v>1050000</v>
      </c>
      <c r="E413" s="1">
        <f>datos_limpios[[#This Row],[Price INR   ]]*0.011</f>
        <v>11550</v>
      </c>
      <c r="F413" s="13">
        <v>2017</v>
      </c>
      <c r="G413" s="2">
        <v>29386</v>
      </c>
      <c r="H413" s="8" t="s">
        <v>12</v>
      </c>
      <c r="I413" s="8" t="s">
        <v>40</v>
      </c>
      <c r="J413" s="8" t="s">
        <v>77</v>
      </c>
      <c r="K413" t="s">
        <v>165</v>
      </c>
      <c r="L413" t="s">
        <v>166</v>
      </c>
      <c r="M413" s="2">
        <f>VALUE(MID(L413,1,FIND("@",L413)-6))</f>
        <v>117</v>
      </c>
      <c r="N413">
        <v>5</v>
      </c>
      <c r="O413" t="str">
        <f>IF(datos_limpios[[#This Row],[Seating Capacity ]]&gt;4,"SI","NO")</f>
        <v>SI</v>
      </c>
      <c r="P413">
        <v>40</v>
      </c>
    </row>
    <row r="414" spans="1:16" x14ac:dyDescent="0.3">
      <c r="A414" s="8" t="s">
        <v>10</v>
      </c>
      <c r="B414" s="8" t="s">
        <v>318</v>
      </c>
      <c r="C414" s="9">
        <v>413</v>
      </c>
      <c r="D414" s="3">
        <v>1060000</v>
      </c>
      <c r="E414" s="1">
        <f>datos_limpios[[#This Row],[Price INR   ]]*0.011</f>
        <v>11660</v>
      </c>
      <c r="F414" s="13">
        <v>2019</v>
      </c>
      <c r="G414" s="2">
        <v>12382</v>
      </c>
      <c r="H414" s="8" t="s">
        <v>12</v>
      </c>
      <c r="I414" s="8" t="s">
        <v>13</v>
      </c>
      <c r="J414" s="8" t="s">
        <v>25</v>
      </c>
      <c r="K414" t="s">
        <v>165</v>
      </c>
      <c r="L414" t="s">
        <v>166</v>
      </c>
      <c r="M414" s="2">
        <f>VALUE(MID(L414,1,FIND("@",L414)-6))</f>
        <v>117</v>
      </c>
      <c r="N414">
        <v>5</v>
      </c>
      <c r="O414" t="str">
        <f>IF(datos_limpios[[#This Row],[Seating Capacity ]]&gt;4,"SI","NO")</f>
        <v>SI</v>
      </c>
      <c r="P414">
        <v>40</v>
      </c>
    </row>
    <row r="415" spans="1:16" x14ac:dyDescent="0.3">
      <c r="A415" s="8" t="s">
        <v>10</v>
      </c>
      <c r="B415" s="8" t="s">
        <v>985</v>
      </c>
      <c r="C415" s="9">
        <v>414</v>
      </c>
      <c r="D415" s="3">
        <v>1095000</v>
      </c>
      <c r="E415" s="1">
        <f>datos_limpios[[#This Row],[Price INR   ]]*0.011</f>
        <v>12045</v>
      </c>
      <c r="F415" s="13">
        <v>2022</v>
      </c>
      <c r="G415" s="2">
        <v>2700</v>
      </c>
      <c r="H415" s="8" t="s">
        <v>12</v>
      </c>
      <c r="I415" s="8" t="s">
        <v>13</v>
      </c>
      <c r="J415" s="8" t="s">
        <v>77</v>
      </c>
      <c r="K415" t="s">
        <v>165</v>
      </c>
      <c r="L415" t="s">
        <v>587</v>
      </c>
      <c r="M415" s="2">
        <f>VALUE(MID(L415,1,FIND("@",L415)-6))</f>
        <v>118</v>
      </c>
      <c r="N415">
        <v>5</v>
      </c>
      <c r="O415" t="str">
        <f>IF(datos_limpios[[#This Row],[Seating Capacity ]]&gt;4,"SI","NO")</f>
        <v>SI</v>
      </c>
      <c r="P415">
        <v>40</v>
      </c>
    </row>
    <row r="416" spans="1:16" x14ac:dyDescent="0.3">
      <c r="A416" s="8" t="s">
        <v>10</v>
      </c>
      <c r="B416" s="8" t="s">
        <v>1394</v>
      </c>
      <c r="C416" s="9">
        <v>415</v>
      </c>
      <c r="D416" s="3">
        <v>1130000</v>
      </c>
      <c r="E416" s="1">
        <f>datos_limpios[[#This Row],[Price INR   ]]*0.011</f>
        <v>12430</v>
      </c>
      <c r="F416" s="13">
        <v>2015</v>
      </c>
      <c r="G416" s="2">
        <v>50000</v>
      </c>
      <c r="H416" s="8" t="s">
        <v>12</v>
      </c>
      <c r="I416" s="8" t="s">
        <v>40</v>
      </c>
      <c r="J416" s="8" t="s">
        <v>82</v>
      </c>
      <c r="K416" t="s">
        <v>201</v>
      </c>
      <c r="L416" t="s">
        <v>1395</v>
      </c>
      <c r="M416" s="2">
        <f>VALUE(MID(L416,1,FIND("@",L416)-6))</f>
        <v>154</v>
      </c>
      <c r="N416">
        <v>5</v>
      </c>
      <c r="O416" t="str">
        <f>IF(datos_limpios[[#This Row],[Seating Capacity ]]&gt;4,"SI","NO")</f>
        <v>SI</v>
      </c>
      <c r="P416">
        <v>58</v>
      </c>
    </row>
    <row r="417" spans="1:16" x14ac:dyDescent="0.3">
      <c r="A417" s="8" t="s">
        <v>10</v>
      </c>
      <c r="B417" s="8" t="s">
        <v>801</v>
      </c>
      <c r="C417" s="9">
        <v>416</v>
      </c>
      <c r="D417" s="3">
        <v>1138000</v>
      </c>
      <c r="E417" s="1">
        <f>datos_limpios[[#This Row],[Price INR   ]]*0.011</f>
        <v>12518</v>
      </c>
      <c r="F417" s="13">
        <v>2018</v>
      </c>
      <c r="G417" s="2">
        <v>6000</v>
      </c>
      <c r="H417" s="8" t="s">
        <v>12</v>
      </c>
      <c r="I417" s="8" t="s">
        <v>40</v>
      </c>
      <c r="J417" s="8" t="s">
        <v>77</v>
      </c>
      <c r="K417" t="s">
        <v>165</v>
      </c>
      <c r="L417" t="s">
        <v>166</v>
      </c>
      <c r="M417" s="2">
        <f>VALUE(MID(L417,1,FIND("@",L417)-6))</f>
        <v>117</v>
      </c>
      <c r="N417">
        <v>5</v>
      </c>
      <c r="O417" t="str">
        <f>IF(datos_limpios[[#This Row],[Seating Capacity ]]&gt;4,"SI","NO")</f>
        <v>SI</v>
      </c>
      <c r="P417">
        <v>40</v>
      </c>
    </row>
    <row r="418" spans="1:16" x14ac:dyDescent="0.3">
      <c r="A418" s="8" t="s">
        <v>10</v>
      </c>
      <c r="B418" s="8" t="s">
        <v>956</v>
      </c>
      <c r="C418" s="9">
        <v>417</v>
      </c>
      <c r="D418" s="3">
        <v>1199000</v>
      </c>
      <c r="E418" s="1">
        <f>datos_limpios[[#This Row],[Price INR   ]]*0.011</f>
        <v>13189</v>
      </c>
      <c r="F418" s="13">
        <v>2020</v>
      </c>
      <c r="G418" s="2">
        <v>26497</v>
      </c>
      <c r="H418" s="8" t="s">
        <v>12</v>
      </c>
      <c r="I418" s="8" t="s">
        <v>13</v>
      </c>
      <c r="J418" s="8" t="s">
        <v>20</v>
      </c>
      <c r="K418" t="s">
        <v>165</v>
      </c>
      <c r="L418" t="s">
        <v>166</v>
      </c>
      <c r="M418" s="2">
        <f>VALUE(MID(L418,1,FIND("@",L418)-6))</f>
        <v>117</v>
      </c>
      <c r="N418">
        <v>5</v>
      </c>
      <c r="O418" t="str">
        <f>IF(datos_limpios[[#This Row],[Seating Capacity ]]&gt;4,"SI","NO")</f>
        <v>SI</v>
      </c>
      <c r="P418">
        <v>40</v>
      </c>
    </row>
    <row r="419" spans="1:16" x14ac:dyDescent="0.3">
      <c r="A419" s="8" t="s">
        <v>10</v>
      </c>
      <c r="B419" s="8" t="s">
        <v>956</v>
      </c>
      <c r="C419" s="9">
        <v>418</v>
      </c>
      <c r="D419" s="3">
        <v>1255000</v>
      </c>
      <c r="E419" s="1">
        <f>datos_limpios[[#This Row],[Price INR   ]]*0.011</f>
        <v>13805</v>
      </c>
      <c r="F419" s="13">
        <v>2021</v>
      </c>
      <c r="G419" s="2">
        <v>10000</v>
      </c>
      <c r="H419" s="8" t="s">
        <v>12</v>
      </c>
      <c r="I419" s="8" t="s">
        <v>13</v>
      </c>
      <c r="J419" s="8" t="s">
        <v>20</v>
      </c>
      <c r="K419" t="s">
        <v>165</v>
      </c>
      <c r="L419" t="s">
        <v>166</v>
      </c>
      <c r="M419" s="2">
        <f>VALUE(MID(L419,1,FIND("@",L419)-6))</f>
        <v>117</v>
      </c>
      <c r="N419">
        <v>5</v>
      </c>
      <c r="O419" t="str">
        <f>IF(datos_limpios[[#This Row],[Seating Capacity ]]&gt;4,"SI","NO")</f>
        <v>SI</v>
      </c>
      <c r="P419">
        <v>40</v>
      </c>
    </row>
    <row r="420" spans="1:16" x14ac:dyDescent="0.3">
      <c r="A420" s="8" t="s">
        <v>10</v>
      </c>
      <c r="B420" s="8" t="s">
        <v>188</v>
      </c>
      <c r="C420" s="9">
        <v>419</v>
      </c>
      <c r="D420" s="3">
        <v>1340000</v>
      </c>
      <c r="E420" s="1">
        <f>datos_limpios[[#This Row],[Price INR   ]]*0.011</f>
        <v>14740</v>
      </c>
      <c r="F420" s="13">
        <v>2021</v>
      </c>
      <c r="G420" s="2">
        <v>11000</v>
      </c>
      <c r="H420" s="8" t="s">
        <v>12</v>
      </c>
      <c r="I420" s="8" t="s">
        <v>40</v>
      </c>
      <c r="J420" s="8" t="s">
        <v>101</v>
      </c>
      <c r="K420" t="s">
        <v>165</v>
      </c>
      <c r="L420" t="s">
        <v>166</v>
      </c>
      <c r="M420" s="2">
        <f>VALUE(MID(L420,1,FIND("@",L420)-6))</f>
        <v>117</v>
      </c>
      <c r="N420">
        <v>5</v>
      </c>
      <c r="O420" t="str">
        <f>IF(datos_limpios[[#This Row],[Seating Capacity ]]&gt;4,"SI","NO")</f>
        <v>SI</v>
      </c>
      <c r="P420">
        <v>40</v>
      </c>
    </row>
    <row r="421" spans="1:16" x14ac:dyDescent="0.3">
      <c r="A421" s="8" t="s">
        <v>10</v>
      </c>
      <c r="B421" s="8" t="s">
        <v>637</v>
      </c>
      <c r="C421" s="9">
        <v>420</v>
      </c>
      <c r="D421" s="3">
        <v>1390000</v>
      </c>
      <c r="E421" s="1">
        <f>datos_limpios[[#This Row],[Price INR   ]]*0.011</f>
        <v>15290</v>
      </c>
      <c r="F421" s="13">
        <v>2022</v>
      </c>
      <c r="G421" s="2">
        <v>32000</v>
      </c>
      <c r="H421" s="8" t="s">
        <v>12</v>
      </c>
      <c r="I421" s="8" t="s">
        <v>40</v>
      </c>
      <c r="J421" s="8" t="s">
        <v>82</v>
      </c>
      <c r="K421" t="s">
        <v>196</v>
      </c>
      <c r="L421" t="s">
        <v>530</v>
      </c>
      <c r="M421" s="2">
        <f>VALUE(MID(L421,1,FIND("@",L421)-6))</f>
        <v>119</v>
      </c>
      <c r="N421">
        <v>5</v>
      </c>
      <c r="O421" t="str">
        <f>IF(datos_limpios[[#This Row],[Seating Capacity ]]&gt;4,"SI","NO")</f>
        <v>SI</v>
      </c>
      <c r="P421">
        <v>40</v>
      </c>
    </row>
    <row r="422" spans="1:16" x14ac:dyDescent="0.3">
      <c r="A422" s="8" t="s">
        <v>10</v>
      </c>
      <c r="B422" s="8" t="s">
        <v>529</v>
      </c>
      <c r="C422" s="9">
        <v>421</v>
      </c>
      <c r="D422" s="3">
        <v>1450000</v>
      </c>
      <c r="E422" s="1">
        <f>datos_limpios[[#This Row],[Price INR   ]]*0.011</f>
        <v>15949.999999999998</v>
      </c>
      <c r="F422" s="13">
        <v>2021</v>
      </c>
      <c r="G422" s="2">
        <v>13000</v>
      </c>
      <c r="H422" s="8" t="s">
        <v>12</v>
      </c>
      <c r="I422" s="8" t="s">
        <v>40</v>
      </c>
      <c r="J422" s="8" t="s">
        <v>82</v>
      </c>
      <c r="K422" t="s">
        <v>165</v>
      </c>
      <c r="L422" t="s">
        <v>587</v>
      </c>
      <c r="M422" s="2">
        <f>VALUE(MID(L422,1,FIND("@",L422)-6))</f>
        <v>118</v>
      </c>
      <c r="N422">
        <v>5</v>
      </c>
      <c r="O422" t="str">
        <f>IF(datos_limpios[[#This Row],[Seating Capacity ]]&gt;4,"SI","NO")</f>
        <v>SI</v>
      </c>
      <c r="P422">
        <v>40</v>
      </c>
    </row>
    <row r="423" spans="1:16" x14ac:dyDescent="0.3">
      <c r="A423" s="8" t="s">
        <v>10</v>
      </c>
      <c r="B423" s="8" t="s">
        <v>863</v>
      </c>
      <c r="C423" s="9">
        <v>422</v>
      </c>
      <c r="D423" s="3">
        <v>1450000</v>
      </c>
      <c r="E423" s="1">
        <f>datos_limpios[[#This Row],[Price INR   ]]*0.011</f>
        <v>15949.999999999998</v>
      </c>
      <c r="F423" s="13">
        <v>2022</v>
      </c>
      <c r="G423" s="2">
        <v>2500</v>
      </c>
      <c r="H423" s="8" t="s">
        <v>19</v>
      </c>
      <c r="I423" s="8" t="s">
        <v>13</v>
      </c>
      <c r="J423" s="8" t="s">
        <v>20</v>
      </c>
      <c r="K423" t="s">
        <v>196</v>
      </c>
      <c r="L423" t="s">
        <v>1168</v>
      </c>
      <c r="M423" s="2">
        <f>VALUE(MID(L423,1,FIND("@",L423)-6))</f>
        <v>98</v>
      </c>
      <c r="N423">
        <v>5</v>
      </c>
      <c r="O423" t="str">
        <f>IF(datos_limpios[[#This Row],[Seating Capacity ]]&gt;4,"SI","NO")</f>
        <v>SI</v>
      </c>
      <c r="P423">
        <v>40</v>
      </c>
    </row>
    <row r="424" spans="1:16" x14ac:dyDescent="0.3">
      <c r="A424" s="8" t="s">
        <v>10</v>
      </c>
      <c r="B424" s="8" t="s">
        <v>863</v>
      </c>
      <c r="C424" s="9">
        <v>423</v>
      </c>
      <c r="D424" s="3">
        <v>1490000</v>
      </c>
      <c r="E424" s="1">
        <f>datos_limpios[[#This Row],[Price INR   ]]*0.011</f>
        <v>16390</v>
      </c>
      <c r="F424" s="13">
        <v>2021</v>
      </c>
      <c r="G424" s="2">
        <v>11000</v>
      </c>
      <c r="H424" s="8" t="s">
        <v>19</v>
      </c>
      <c r="I424" s="8" t="s">
        <v>13</v>
      </c>
      <c r="J424" s="8" t="s">
        <v>20</v>
      </c>
      <c r="K424" t="s">
        <v>196</v>
      </c>
      <c r="L424" t="s">
        <v>197</v>
      </c>
      <c r="M424" s="2">
        <f>VALUE(MID(L424,1,FIND("@",L424)-6))</f>
        <v>99</v>
      </c>
      <c r="N424">
        <v>5</v>
      </c>
      <c r="O424" t="str">
        <f>IF(datos_limpios[[#This Row],[Seating Capacity ]]&gt;4,"SI","NO")</f>
        <v>SI</v>
      </c>
      <c r="P424">
        <v>40</v>
      </c>
    </row>
    <row r="425" spans="1:16" x14ac:dyDescent="0.3">
      <c r="A425" s="8" t="s">
        <v>10</v>
      </c>
      <c r="B425" s="8" t="s">
        <v>529</v>
      </c>
      <c r="C425" s="9">
        <v>424</v>
      </c>
      <c r="D425" s="3">
        <v>1530000</v>
      </c>
      <c r="E425" s="1">
        <f>datos_limpios[[#This Row],[Price INR   ]]*0.011</f>
        <v>16830</v>
      </c>
      <c r="F425" s="13">
        <v>2022</v>
      </c>
      <c r="G425" s="2">
        <v>2000</v>
      </c>
      <c r="H425" s="8" t="s">
        <v>12</v>
      </c>
      <c r="I425" s="8" t="s">
        <v>40</v>
      </c>
      <c r="J425" s="8" t="s">
        <v>14</v>
      </c>
      <c r="K425" t="s">
        <v>196</v>
      </c>
      <c r="L425" t="s">
        <v>530</v>
      </c>
      <c r="M425" s="2">
        <f>VALUE(MID(L425,1,FIND("@",L425)-6))</f>
        <v>119</v>
      </c>
      <c r="N425">
        <v>5</v>
      </c>
      <c r="O425" t="str">
        <f>IF(datos_limpios[[#This Row],[Seating Capacity ]]&gt;4,"SI","NO")</f>
        <v>SI</v>
      </c>
      <c r="P425">
        <v>40</v>
      </c>
    </row>
    <row r="426" spans="1:16" x14ac:dyDescent="0.3">
      <c r="A426" s="8" t="s">
        <v>10</v>
      </c>
      <c r="B426" s="8" t="s">
        <v>529</v>
      </c>
      <c r="C426" s="9">
        <v>425</v>
      </c>
      <c r="D426" s="3">
        <v>1700000</v>
      </c>
      <c r="E426" s="1">
        <f>datos_limpios[[#This Row],[Price INR   ]]*0.011</f>
        <v>18700</v>
      </c>
      <c r="F426" s="13">
        <v>2022</v>
      </c>
      <c r="G426" s="2">
        <v>8530</v>
      </c>
      <c r="H426" s="8" t="s">
        <v>12</v>
      </c>
      <c r="I426" s="8" t="s">
        <v>40</v>
      </c>
      <c r="J426" s="8" t="s">
        <v>20</v>
      </c>
      <c r="K426" t="s">
        <v>196</v>
      </c>
      <c r="L426" t="s">
        <v>530</v>
      </c>
      <c r="M426" s="2">
        <f>VALUE(MID(L426,1,FIND("@",L426)-6))</f>
        <v>119</v>
      </c>
      <c r="N426">
        <v>5</v>
      </c>
      <c r="O426" t="str">
        <f>IF(datos_limpios[[#This Row],[Seating Capacity ]]&gt;4,"SI","NO")</f>
        <v>SI</v>
      </c>
      <c r="P426">
        <v>40</v>
      </c>
    </row>
    <row r="427" spans="1:16" x14ac:dyDescent="0.3">
      <c r="A427" s="8" t="s">
        <v>23</v>
      </c>
      <c r="B427" s="8" t="s">
        <v>253</v>
      </c>
      <c r="C427" s="9">
        <v>426</v>
      </c>
      <c r="D427" s="3">
        <v>120000</v>
      </c>
      <c r="E427" s="1">
        <f>datos_limpios[[#This Row],[Price INR   ]]*0.011</f>
        <v>1320</v>
      </c>
      <c r="F427" s="13">
        <v>2009</v>
      </c>
      <c r="G427" s="2">
        <v>48500</v>
      </c>
      <c r="H427" s="8" t="s">
        <v>254</v>
      </c>
      <c r="I427" s="8" t="s">
        <v>13</v>
      </c>
      <c r="J427" s="8" t="s">
        <v>14</v>
      </c>
      <c r="K427" t="s">
        <v>84</v>
      </c>
      <c r="L427" t="s">
        <v>1523</v>
      </c>
      <c r="M427" s="2">
        <f>VALUE(MID(L427,1,FIND("@",L427)-6))</f>
        <v>63</v>
      </c>
      <c r="N427">
        <v>5</v>
      </c>
      <c r="O427" t="str">
        <f>IF(datos_limpios[[#This Row],[Seating Capacity ]]&gt;4,"SI","NO")</f>
        <v>SI</v>
      </c>
      <c r="P427">
        <v>35</v>
      </c>
    </row>
    <row r="428" spans="1:16" x14ac:dyDescent="0.3">
      <c r="A428" s="8" t="s">
        <v>23</v>
      </c>
      <c r="B428" s="8" t="s">
        <v>1301</v>
      </c>
      <c r="C428" s="9">
        <v>427</v>
      </c>
      <c r="D428" s="3">
        <v>130000</v>
      </c>
      <c r="E428" s="1">
        <f>datos_limpios[[#This Row],[Price INR   ]]*0.011</f>
        <v>1430</v>
      </c>
      <c r="F428" s="13">
        <v>2009</v>
      </c>
      <c r="G428" s="2">
        <v>59000</v>
      </c>
      <c r="H428" s="8" t="s">
        <v>12</v>
      </c>
      <c r="I428" s="8" t="s">
        <v>13</v>
      </c>
      <c r="J428" s="8" t="s">
        <v>77</v>
      </c>
      <c r="K428" t="s">
        <v>84</v>
      </c>
      <c r="L428" t="s">
        <v>1524</v>
      </c>
      <c r="M428" s="2">
        <f>VALUE(MID(L428,1,FIND("@",L428)-6))</f>
        <v>67</v>
      </c>
      <c r="N428">
        <v>5</v>
      </c>
      <c r="O428" t="str">
        <f>IF(datos_limpios[[#This Row],[Seating Capacity ]]&gt;4,"SI","NO")</f>
        <v>SI</v>
      </c>
      <c r="P428">
        <v>35</v>
      </c>
    </row>
    <row r="429" spans="1:16" x14ac:dyDescent="0.3">
      <c r="A429" s="8" t="s">
        <v>23</v>
      </c>
      <c r="B429" s="8" t="s">
        <v>1163</v>
      </c>
      <c r="C429" s="9">
        <v>428</v>
      </c>
      <c r="D429" s="3">
        <v>141000</v>
      </c>
      <c r="E429" s="1">
        <f>datos_limpios[[#This Row],[Price INR   ]]*0.011</f>
        <v>1551</v>
      </c>
      <c r="F429" s="13">
        <v>2009</v>
      </c>
      <c r="G429" s="2">
        <v>56400</v>
      </c>
      <c r="H429" s="8" t="s">
        <v>12</v>
      </c>
      <c r="I429" s="8" t="s">
        <v>13</v>
      </c>
      <c r="J429" s="8" t="s">
        <v>77</v>
      </c>
      <c r="K429" t="s">
        <v>84</v>
      </c>
      <c r="L429" t="s">
        <v>108</v>
      </c>
      <c r="M429" s="2">
        <f>VALUE(MID(L429,1,FIND("@",L429)-6))</f>
        <v>62</v>
      </c>
      <c r="N429">
        <v>5</v>
      </c>
      <c r="O429" t="str">
        <f>IF(datos_limpios[[#This Row],[Seating Capacity ]]&gt;4,"SI","NO")</f>
        <v>SI</v>
      </c>
      <c r="P429">
        <v>35</v>
      </c>
    </row>
    <row r="430" spans="1:16" x14ac:dyDescent="0.3">
      <c r="A430" s="8" t="s">
        <v>23</v>
      </c>
      <c r="B430" s="8" t="s">
        <v>107</v>
      </c>
      <c r="C430" s="9">
        <v>429</v>
      </c>
      <c r="D430" s="3">
        <v>145000</v>
      </c>
      <c r="E430" s="1">
        <f>datos_limpios[[#This Row],[Price INR   ]]*0.011</f>
        <v>1595</v>
      </c>
      <c r="F430" s="13">
        <v>2009</v>
      </c>
      <c r="G430" s="2">
        <v>72000</v>
      </c>
      <c r="H430" s="8" t="s">
        <v>89</v>
      </c>
      <c r="I430" s="8" t="s">
        <v>13</v>
      </c>
      <c r="J430" s="8" t="s">
        <v>77</v>
      </c>
      <c r="K430" t="s">
        <v>84</v>
      </c>
      <c r="L430" t="s">
        <v>108</v>
      </c>
      <c r="M430" s="2">
        <f>VALUE(MID(L430,1,FIND("@",L430)-6))</f>
        <v>62</v>
      </c>
      <c r="N430">
        <v>5</v>
      </c>
      <c r="O430" t="str">
        <f>IF(datos_limpios[[#This Row],[Seating Capacity ]]&gt;4,"SI","NO")</f>
        <v>SI</v>
      </c>
      <c r="P430">
        <v>35</v>
      </c>
    </row>
    <row r="431" spans="1:16" x14ac:dyDescent="0.3">
      <c r="A431" s="8" t="s">
        <v>23</v>
      </c>
      <c r="B431" s="8" t="s">
        <v>1228</v>
      </c>
      <c r="C431" s="9">
        <v>430</v>
      </c>
      <c r="D431" s="3">
        <v>150000</v>
      </c>
      <c r="E431" s="1">
        <f>datos_limpios[[#This Row],[Price INR   ]]*0.011</f>
        <v>1650</v>
      </c>
      <c r="F431" s="13">
        <v>2008</v>
      </c>
      <c r="G431" s="2">
        <v>62000</v>
      </c>
      <c r="H431" s="8" t="s">
        <v>12</v>
      </c>
      <c r="I431" s="8" t="s">
        <v>13</v>
      </c>
      <c r="J431" s="8" t="s">
        <v>30</v>
      </c>
      <c r="K431" t="s">
        <v>84</v>
      </c>
      <c r="L431" t="s">
        <v>1524</v>
      </c>
      <c r="M431" s="2">
        <f>VALUE(MID(L431,1,FIND("@",L431)-6))</f>
        <v>67</v>
      </c>
      <c r="N431">
        <v>5</v>
      </c>
      <c r="O431" t="str">
        <f>IF(datos_limpios[[#This Row],[Seating Capacity ]]&gt;4,"SI","NO")</f>
        <v>SI</v>
      </c>
      <c r="P431">
        <v>35</v>
      </c>
    </row>
    <row r="432" spans="1:16" x14ac:dyDescent="0.3">
      <c r="A432" s="8" t="s">
        <v>23</v>
      </c>
      <c r="B432" s="8" t="s">
        <v>1223</v>
      </c>
      <c r="C432" s="9">
        <v>431</v>
      </c>
      <c r="D432" s="3">
        <v>165000</v>
      </c>
      <c r="E432" s="1">
        <f>datos_limpios[[#This Row],[Price INR   ]]*0.011</f>
        <v>1815</v>
      </c>
      <c r="F432" s="13">
        <v>2009</v>
      </c>
      <c r="G432" s="2">
        <v>55000</v>
      </c>
      <c r="H432" s="8" t="s">
        <v>12</v>
      </c>
      <c r="I432" s="8" t="s">
        <v>13</v>
      </c>
      <c r="J432" s="8" t="s">
        <v>20</v>
      </c>
      <c r="K432" t="s">
        <v>26</v>
      </c>
      <c r="L432" t="s">
        <v>1500</v>
      </c>
      <c r="M432" s="2">
        <f>VALUE(MID(L432,1,FIND("@",L432)-6))</f>
        <v>80</v>
      </c>
      <c r="N432">
        <v>5</v>
      </c>
      <c r="O432" t="str">
        <f>IF(datos_limpios[[#This Row],[Seating Capacity ]]&gt;4,"SI","NO")</f>
        <v>SI</v>
      </c>
      <c r="P432">
        <v>35</v>
      </c>
    </row>
    <row r="433" spans="1:16" x14ac:dyDescent="0.3">
      <c r="A433" s="8" t="s">
        <v>23</v>
      </c>
      <c r="B433" s="8" t="s">
        <v>1146</v>
      </c>
      <c r="C433" s="9">
        <v>432</v>
      </c>
      <c r="D433" s="3">
        <v>170000</v>
      </c>
      <c r="E433" s="1">
        <f>datos_limpios[[#This Row],[Price INR   ]]*0.011</f>
        <v>1870</v>
      </c>
      <c r="F433" s="13">
        <v>2009</v>
      </c>
      <c r="G433" s="2">
        <v>135797</v>
      </c>
      <c r="H433" s="8" t="s">
        <v>12</v>
      </c>
      <c r="I433" s="8" t="s">
        <v>13</v>
      </c>
      <c r="J433" s="8" t="s">
        <v>77</v>
      </c>
      <c r="K433" t="s">
        <v>84</v>
      </c>
      <c r="L433" t="s">
        <v>1524</v>
      </c>
      <c r="M433" s="2">
        <f>VALUE(MID(L433,1,FIND("@",L433)-6))</f>
        <v>67</v>
      </c>
      <c r="N433">
        <v>5</v>
      </c>
      <c r="O433" t="str">
        <f>IF(datos_limpios[[#This Row],[Seating Capacity ]]&gt;4,"SI","NO")</f>
        <v>SI</v>
      </c>
      <c r="P433">
        <v>35</v>
      </c>
    </row>
    <row r="434" spans="1:16" x14ac:dyDescent="0.3">
      <c r="A434" s="8" t="s">
        <v>23</v>
      </c>
      <c r="B434" s="8" t="s">
        <v>1146</v>
      </c>
      <c r="C434" s="9">
        <v>433</v>
      </c>
      <c r="D434" s="3">
        <v>175000</v>
      </c>
      <c r="E434" s="1">
        <f>datos_limpios[[#This Row],[Price INR   ]]*0.011</f>
        <v>1925</v>
      </c>
      <c r="F434" s="13">
        <v>2009</v>
      </c>
      <c r="G434" s="2">
        <v>65000</v>
      </c>
      <c r="H434" s="8" t="s">
        <v>12</v>
      </c>
      <c r="I434" s="8" t="s">
        <v>13</v>
      </c>
      <c r="J434" s="8" t="s">
        <v>57</v>
      </c>
      <c r="K434" t="s">
        <v>84</v>
      </c>
      <c r="L434" t="s">
        <v>1511</v>
      </c>
      <c r="M434" s="2">
        <f>VALUE(MID(L434,1,FIND("@",L434)-6))</f>
        <v>6</v>
      </c>
      <c r="N434">
        <v>5</v>
      </c>
      <c r="O434" t="str">
        <f>IF(datos_limpios[[#This Row],[Seating Capacity ]]&gt;4,"SI","NO")</f>
        <v>SI</v>
      </c>
      <c r="P434">
        <v>35</v>
      </c>
    </row>
    <row r="435" spans="1:16" x14ac:dyDescent="0.3">
      <c r="A435" s="8" t="s">
        <v>23</v>
      </c>
      <c r="B435" s="8" t="s">
        <v>1146</v>
      </c>
      <c r="C435" s="9">
        <v>434</v>
      </c>
      <c r="D435" s="3">
        <v>175000</v>
      </c>
      <c r="E435" s="1">
        <f>datos_limpios[[#This Row],[Price INR   ]]*0.011</f>
        <v>1925</v>
      </c>
      <c r="F435" s="13">
        <v>2009</v>
      </c>
      <c r="G435" s="2">
        <v>23000</v>
      </c>
      <c r="H435" s="8" t="s">
        <v>12</v>
      </c>
      <c r="I435" s="8" t="s">
        <v>13</v>
      </c>
      <c r="J435" s="8" t="s">
        <v>30</v>
      </c>
      <c r="K435" t="s">
        <v>84</v>
      </c>
      <c r="L435" t="s">
        <v>1524</v>
      </c>
      <c r="M435" s="2">
        <f>VALUE(MID(L435,1,FIND("@",L435)-6))</f>
        <v>67</v>
      </c>
      <c r="N435">
        <v>5</v>
      </c>
      <c r="O435" t="str">
        <f>IF(datos_limpios[[#This Row],[Seating Capacity ]]&gt;4,"SI","NO")</f>
        <v>SI</v>
      </c>
      <c r="P435">
        <v>35</v>
      </c>
    </row>
    <row r="436" spans="1:16" x14ac:dyDescent="0.3">
      <c r="A436" s="8" t="s">
        <v>23</v>
      </c>
      <c r="B436" s="8" t="s">
        <v>1186</v>
      </c>
      <c r="C436" s="9">
        <v>435</v>
      </c>
      <c r="D436" s="3">
        <v>178000</v>
      </c>
      <c r="E436" s="1">
        <f>datos_limpios[[#This Row],[Price INR   ]]*0.011</f>
        <v>1958</v>
      </c>
      <c r="F436" s="13">
        <v>2007</v>
      </c>
      <c r="G436" s="2">
        <v>85000</v>
      </c>
      <c r="H436" s="8" t="s">
        <v>12</v>
      </c>
      <c r="I436" s="8" t="s">
        <v>13</v>
      </c>
      <c r="J436" s="8" t="s">
        <v>77</v>
      </c>
      <c r="K436" t="s">
        <v>84</v>
      </c>
      <c r="L436" t="s">
        <v>1523</v>
      </c>
      <c r="M436" s="2">
        <f>VALUE(MID(L436,1,FIND("@",L436)-6))</f>
        <v>63</v>
      </c>
      <c r="N436">
        <v>5</v>
      </c>
      <c r="O436" t="str">
        <f>IF(datos_limpios[[#This Row],[Seating Capacity ]]&gt;4,"SI","NO")</f>
        <v>SI</v>
      </c>
      <c r="P436">
        <v>35</v>
      </c>
    </row>
    <row r="437" spans="1:16" x14ac:dyDescent="0.3">
      <c r="A437" s="8" t="s">
        <v>23</v>
      </c>
      <c r="B437" s="8" t="s">
        <v>751</v>
      </c>
      <c r="C437" s="9">
        <v>436</v>
      </c>
      <c r="D437" s="3">
        <v>185000</v>
      </c>
      <c r="E437" s="1">
        <f>datos_limpios[[#This Row],[Price INR   ]]*0.011</f>
        <v>2034.9999999999998</v>
      </c>
      <c r="F437" s="13">
        <v>2012</v>
      </c>
      <c r="G437" s="2">
        <v>55700</v>
      </c>
      <c r="H437" s="8" t="s">
        <v>12</v>
      </c>
      <c r="I437" s="8" t="s">
        <v>13</v>
      </c>
      <c r="J437" s="8" t="s">
        <v>77</v>
      </c>
      <c r="K437" t="s">
        <v>672</v>
      </c>
      <c r="L437" t="s">
        <v>1538</v>
      </c>
      <c r="M437" s="2">
        <f>VALUE(MID(L437,1,FIND("@",L437)-6))</f>
        <v>56</v>
      </c>
      <c r="N437">
        <v>5</v>
      </c>
      <c r="O437" t="str">
        <f>IF(datos_limpios[[#This Row],[Seating Capacity ]]&gt;4,"SI","NO")</f>
        <v>SI</v>
      </c>
      <c r="P437">
        <v>32</v>
      </c>
    </row>
    <row r="438" spans="1:16" x14ac:dyDescent="0.3">
      <c r="A438" s="8" t="s">
        <v>23</v>
      </c>
      <c r="B438" s="8" t="s">
        <v>1277</v>
      </c>
      <c r="C438" s="9">
        <v>437</v>
      </c>
      <c r="D438" s="3">
        <v>185000</v>
      </c>
      <c r="E438" s="1">
        <f>datos_limpios[[#This Row],[Price INR   ]]*0.011</f>
        <v>2034.9999999999998</v>
      </c>
      <c r="F438" s="13">
        <v>2008</v>
      </c>
      <c r="G438" s="2">
        <v>61000</v>
      </c>
      <c r="H438" s="8" t="s">
        <v>12</v>
      </c>
      <c r="I438" s="8" t="s">
        <v>40</v>
      </c>
      <c r="J438" s="8" t="s">
        <v>101</v>
      </c>
      <c r="K438" t="s">
        <v>26</v>
      </c>
      <c r="L438" t="s">
        <v>1500</v>
      </c>
      <c r="M438" s="2">
        <f>VALUE(MID(L438,1,FIND("@",L438)-6))</f>
        <v>80</v>
      </c>
      <c r="N438">
        <v>5</v>
      </c>
      <c r="O438" t="str">
        <f>IF(datos_limpios[[#This Row],[Seating Capacity ]]&gt;4,"SI","NO")</f>
        <v>SI</v>
      </c>
      <c r="P438">
        <v>35</v>
      </c>
    </row>
    <row r="439" spans="1:16" x14ac:dyDescent="0.3">
      <c r="A439" s="8" t="s">
        <v>23</v>
      </c>
      <c r="B439" s="8" t="s">
        <v>751</v>
      </c>
      <c r="C439" s="9">
        <v>438</v>
      </c>
      <c r="D439" s="3">
        <v>190000</v>
      </c>
      <c r="E439" s="1">
        <f>datos_limpios[[#This Row],[Price INR   ]]*0.011</f>
        <v>2090</v>
      </c>
      <c r="F439" s="13">
        <v>2013</v>
      </c>
      <c r="G439" s="2">
        <v>63000</v>
      </c>
      <c r="H439" s="8" t="s">
        <v>12</v>
      </c>
      <c r="I439" s="8" t="s">
        <v>13</v>
      </c>
      <c r="J439" s="8" t="s">
        <v>20</v>
      </c>
      <c r="K439" t="s">
        <v>672</v>
      </c>
      <c r="L439" t="s">
        <v>1501</v>
      </c>
      <c r="M439" s="2">
        <f>VALUE(MID(L439,1,FIND("@",L439)-6))</f>
        <v>56</v>
      </c>
      <c r="N439">
        <v>5</v>
      </c>
      <c r="O439" t="str">
        <f>IF(datos_limpios[[#This Row],[Seating Capacity ]]&gt;4,"SI","NO")</f>
        <v>SI</v>
      </c>
      <c r="P439">
        <v>32</v>
      </c>
    </row>
    <row r="440" spans="1:16" x14ac:dyDescent="0.3">
      <c r="A440" s="8" t="s">
        <v>23</v>
      </c>
      <c r="B440" s="8" t="s">
        <v>457</v>
      </c>
      <c r="C440" s="9">
        <v>439</v>
      </c>
      <c r="D440" s="3">
        <v>190000</v>
      </c>
      <c r="E440" s="1">
        <f>datos_limpios[[#This Row],[Price INR   ]]*0.011</f>
        <v>2090</v>
      </c>
      <c r="F440" s="13">
        <v>2010</v>
      </c>
      <c r="G440" s="2">
        <v>60000</v>
      </c>
      <c r="H440" s="8" t="s">
        <v>12</v>
      </c>
      <c r="I440" s="8" t="s">
        <v>13</v>
      </c>
      <c r="J440" s="8" t="s">
        <v>20</v>
      </c>
      <c r="K440" t="s">
        <v>26</v>
      </c>
      <c r="L440" t="s">
        <v>1500</v>
      </c>
      <c r="M440" s="2">
        <f>VALUE(MID(L440,1,FIND("@",L440)-6))</f>
        <v>80</v>
      </c>
      <c r="N440">
        <v>5</v>
      </c>
      <c r="O440" t="str">
        <f>IF(datos_limpios[[#This Row],[Seating Capacity ]]&gt;4,"SI","NO")</f>
        <v>SI</v>
      </c>
      <c r="P440">
        <v>35</v>
      </c>
    </row>
    <row r="441" spans="1:16" x14ac:dyDescent="0.3">
      <c r="A441" s="8" t="s">
        <v>23</v>
      </c>
      <c r="B441" s="8" t="s">
        <v>107</v>
      </c>
      <c r="C441" s="9">
        <v>440</v>
      </c>
      <c r="D441" s="3">
        <v>200000</v>
      </c>
      <c r="E441" s="1">
        <f>datos_limpios[[#This Row],[Price INR   ]]*0.011</f>
        <v>2200</v>
      </c>
      <c r="F441" s="13">
        <v>2013</v>
      </c>
      <c r="G441" s="2">
        <v>57000</v>
      </c>
      <c r="H441" s="8" t="s">
        <v>89</v>
      </c>
      <c r="I441" s="8" t="s">
        <v>13</v>
      </c>
      <c r="J441" s="8" t="s">
        <v>20</v>
      </c>
      <c r="K441" t="s">
        <v>84</v>
      </c>
      <c r="L441" t="s">
        <v>108</v>
      </c>
      <c r="M441" s="2">
        <f>VALUE(MID(L441,1,FIND("@",L441)-6))</f>
        <v>62</v>
      </c>
      <c r="N441">
        <v>5</v>
      </c>
      <c r="O441" t="str">
        <f>IF(datos_limpios[[#This Row],[Seating Capacity ]]&gt;4,"SI","NO")</f>
        <v>SI</v>
      </c>
      <c r="P441">
        <v>35</v>
      </c>
    </row>
    <row r="442" spans="1:16" x14ac:dyDescent="0.3">
      <c r="A442" s="8" t="s">
        <v>23</v>
      </c>
      <c r="B442" s="8" t="s">
        <v>1399</v>
      </c>
      <c r="C442" s="9">
        <v>441</v>
      </c>
      <c r="D442" s="3">
        <v>200000</v>
      </c>
      <c r="E442" s="1">
        <f>datos_limpios[[#This Row],[Price INR   ]]*0.011</f>
        <v>2200</v>
      </c>
      <c r="F442" s="13">
        <v>2014</v>
      </c>
      <c r="G442" s="2">
        <v>56000</v>
      </c>
      <c r="H442" s="8" t="s">
        <v>19</v>
      </c>
      <c r="I442" s="8" t="s">
        <v>13</v>
      </c>
      <c r="J442" s="8" t="s">
        <v>20</v>
      </c>
      <c r="K442" t="s">
        <v>605</v>
      </c>
      <c r="L442" t="s">
        <v>606</v>
      </c>
      <c r="M442" s="2">
        <f>VALUE(MID(L442,1,FIND("@",L442)-6))</f>
        <v>71</v>
      </c>
      <c r="N442">
        <v>5</v>
      </c>
      <c r="O442" t="str">
        <f>IF(datos_limpios[[#This Row],[Seating Capacity ]]&gt;4,"SI","NO")</f>
        <v>SI</v>
      </c>
      <c r="P442">
        <v>43</v>
      </c>
    </row>
    <row r="443" spans="1:16" x14ac:dyDescent="0.3">
      <c r="A443" s="8" t="s">
        <v>23</v>
      </c>
      <c r="B443" s="8" t="s">
        <v>671</v>
      </c>
      <c r="C443" s="9">
        <v>442</v>
      </c>
      <c r="D443" s="3">
        <v>210000</v>
      </c>
      <c r="E443" s="1">
        <f>datos_limpios[[#This Row],[Price INR   ]]*0.011</f>
        <v>2310</v>
      </c>
      <c r="F443" s="13">
        <v>2014</v>
      </c>
      <c r="G443" s="2">
        <v>48000</v>
      </c>
      <c r="H443" s="8" t="s">
        <v>12</v>
      </c>
      <c r="I443" s="8" t="s">
        <v>13</v>
      </c>
      <c r="J443" s="8" t="s">
        <v>30</v>
      </c>
      <c r="K443" t="s">
        <v>672</v>
      </c>
      <c r="L443" t="s">
        <v>673</v>
      </c>
      <c r="M443" s="2">
        <f>VALUE(MID(L443,1,FIND("@",L443)-6))</f>
        <v>55</v>
      </c>
      <c r="N443">
        <v>5</v>
      </c>
      <c r="O443" t="str">
        <f>IF(datos_limpios[[#This Row],[Seating Capacity ]]&gt;4,"SI","NO")</f>
        <v>SI</v>
      </c>
      <c r="P443">
        <v>32</v>
      </c>
    </row>
    <row r="444" spans="1:16" x14ac:dyDescent="0.3">
      <c r="A444" s="8" t="s">
        <v>23</v>
      </c>
      <c r="B444" s="8" t="s">
        <v>1070</v>
      </c>
      <c r="C444" s="9">
        <v>443</v>
      </c>
      <c r="D444" s="3">
        <v>215000</v>
      </c>
      <c r="E444" s="1">
        <f>datos_limpios[[#This Row],[Price INR   ]]*0.011</f>
        <v>2365</v>
      </c>
      <c r="F444" s="13">
        <v>2012</v>
      </c>
      <c r="G444" s="2">
        <v>20000</v>
      </c>
      <c r="H444" s="8" t="s">
        <v>12</v>
      </c>
      <c r="I444" s="8" t="s">
        <v>13</v>
      </c>
      <c r="J444" s="8" t="s">
        <v>14</v>
      </c>
      <c r="K444" t="s">
        <v>672</v>
      </c>
      <c r="L444" t="s">
        <v>673</v>
      </c>
      <c r="M444" s="2">
        <f>VALUE(MID(L444,1,FIND("@",L444)-6))</f>
        <v>55</v>
      </c>
      <c r="N444">
        <v>5</v>
      </c>
      <c r="O444" t="str">
        <f>IF(datos_limpios[[#This Row],[Seating Capacity ]]&gt;4,"SI","NO")</f>
        <v>SI</v>
      </c>
      <c r="P444">
        <v>32</v>
      </c>
    </row>
    <row r="445" spans="1:16" x14ac:dyDescent="0.3">
      <c r="A445" s="8" t="s">
        <v>23</v>
      </c>
      <c r="B445" s="8" t="s">
        <v>24</v>
      </c>
      <c r="C445" s="9">
        <v>444</v>
      </c>
      <c r="D445" s="3">
        <v>220000</v>
      </c>
      <c r="E445" s="1">
        <f>datos_limpios[[#This Row],[Price INR   ]]*0.011</f>
        <v>2420</v>
      </c>
      <c r="F445" s="13">
        <v>2011</v>
      </c>
      <c r="G445" s="2">
        <v>67000</v>
      </c>
      <c r="H445" s="8" t="s">
        <v>12</v>
      </c>
      <c r="I445" s="8" t="s">
        <v>13</v>
      </c>
      <c r="J445" s="8" t="s">
        <v>25</v>
      </c>
      <c r="K445" t="s">
        <v>26</v>
      </c>
      <c r="L445" t="s">
        <v>27</v>
      </c>
      <c r="M445" s="2">
        <f>VALUE(MID(L445,1,FIND("@",L445)-6))</f>
        <v>79</v>
      </c>
      <c r="N445">
        <v>5</v>
      </c>
      <c r="O445" t="str">
        <f>IF(datos_limpios[[#This Row],[Seating Capacity ]]&gt;4,"SI","NO")</f>
        <v>SI</v>
      </c>
      <c r="P445">
        <v>35</v>
      </c>
    </row>
    <row r="446" spans="1:16" x14ac:dyDescent="0.3">
      <c r="A446" s="8" t="s">
        <v>23</v>
      </c>
      <c r="B446" s="8" t="s">
        <v>457</v>
      </c>
      <c r="C446" s="9">
        <v>445</v>
      </c>
      <c r="D446" s="3">
        <v>220000</v>
      </c>
      <c r="E446" s="1">
        <f>datos_limpios[[#This Row],[Price INR   ]]*0.011</f>
        <v>2420</v>
      </c>
      <c r="F446" s="13">
        <v>2009</v>
      </c>
      <c r="G446" s="2">
        <v>126535</v>
      </c>
      <c r="H446" s="8" t="s">
        <v>12</v>
      </c>
      <c r="I446" s="8" t="s">
        <v>13</v>
      </c>
      <c r="J446" s="8" t="s">
        <v>131</v>
      </c>
      <c r="K446" t="s">
        <v>26</v>
      </c>
      <c r="L446" t="s">
        <v>1514</v>
      </c>
      <c r="M446" s="2">
        <f>VALUE(MID(L446,1,FIND("@",L446)-6))</f>
        <v>80</v>
      </c>
      <c r="N446">
        <v>5</v>
      </c>
      <c r="O446" t="str">
        <f>IF(datos_limpios[[#This Row],[Seating Capacity ]]&gt;4,"SI","NO")</f>
        <v>SI</v>
      </c>
      <c r="P446">
        <v>35</v>
      </c>
    </row>
    <row r="447" spans="1:16" x14ac:dyDescent="0.3">
      <c r="A447" s="8" t="s">
        <v>23</v>
      </c>
      <c r="B447" s="8" t="s">
        <v>809</v>
      </c>
      <c r="C447" s="9">
        <v>446</v>
      </c>
      <c r="D447" s="3">
        <v>225000</v>
      </c>
      <c r="E447" s="1">
        <f>datos_limpios[[#This Row],[Price INR   ]]*0.011</f>
        <v>2475</v>
      </c>
      <c r="F447" s="13">
        <v>2009</v>
      </c>
      <c r="G447" s="2">
        <v>140000</v>
      </c>
      <c r="H447" s="8" t="s">
        <v>19</v>
      </c>
      <c r="I447" s="8" t="s">
        <v>13</v>
      </c>
      <c r="J447" s="8" t="s">
        <v>77</v>
      </c>
      <c r="K447" t="s">
        <v>227</v>
      </c>
      <c r="L447" t="s">
        <v>1539</v>
      </c>
      <c r="M447" s="2">
        <f>VALUE(MID(L447,1,FIND("@",L447)-6))</f>
        <v>142</v>
      </c>
      <c r="N447">
        <v>5</v>
      </c>
      <c r="O447" t="str">
        <f>IF(datos_limpios[[#This Row],[Seating Capacity ]]&gt;4,"SI","NO")</f>
        <v>SI</v>
      </c>
      <c r="P447">
        <v>70</v>
      </c>
    </row>
    <row r="448" spans="1:16" x14ac:dyDescent="0.3">
      <c r="A448" s="8" t="s">
        <v>23</v>
      </c>
      <c r="B448" s="8" t="s">
        <v>959</v>
      </c>
      <c r="C448" s="9">
        <v>447</v>
      </c>
      <c r="D448" s="3">
        <v>225000</v>
      </c>
      <c r="E448" s="1">
        <f>datos_limpios[[#This Row],[Price INR   ]]*0.011</f>
        <v>2475</v>
      </c>
      <c r="F448" s="13">
        <v>2014</v>
      </c>
      <c r="G448" s="2">
        <v>47721</v>
      </c>
      <c r="H448" s="8" t="s">
        <v>254</v>
      </c>
      <c r="I448" s="8" t="s">
        <v>13</v>
      </c>
      <c r="J448" s="8" t="s">
        <v>30</v>
      </c>
      <c r="K448" t="s">
        <v>84</v>
      </c>
      <c r="L448" t="s">
        <v>85</v>
      </c>
      <c r="M448" s="2">
        <f>VALUE(MID(L448,1,FIND("@",L448)-6))</f>
        <v>68</v>
      </c>
      <c r="N448">
        <v>5</v>
      </c>
      <c r="O448" t="str">
        <f>IF(datos_limpios[[#This Row],[Seating Capacity ]]&gt;4,"SI","NO")</f>
        <v>SI</v>
      </c>
      <c r="P448">
        <v>35</v>
      </c>
    </row>
    <row r="449" spans="1:16" x14ac:dyDescent="0.3">
      <c r="A449" s="8" t="s">
        <v>23</v>
      </c>
      <c r="B449" s="8" t="s">
        <v>1258</v>
      </c>
      <c r="C449" s="9">
        <v>448</v>
      </c>
      <c r="D449" s="3">
        <v>225000</v>
      </c>
      <c r="E449" s="1">
        <f>datos_limpios[[#This Row],[Price INR   ]]*0.011</f>
        <v>2475</v>
      </c>
      <c r="F449" s="13">
        <v>2012</v>
      </c>
      <c r="G449" s="2">
        <v>26000</v>
      </c>
      <c r="H449" s="8" t="s">
        <v>12</v>
      </c>
      <c r="I449" s="8" t="s">
        <v>13</v>
      </c>
      <c r="J449" s="8" t="s">
        <v>20</v>
      </c>
      <c r="K449" t="s">
        <v>84</v>
      </c>
      <c r="L449" t="s">
        <v>85</v>
      </c>
      <c r="M449" s="2">
        <f>VALUE(MID(L449,1,FIND("@",L449)-6))</f>
        <v>68</v>
      </c>
      <c r="N449">
        <v>5</v>
      </c>
      <c r="O449" t="str">
        <f>IF(datos_limpios[[#This Row],[Seating Capacity ]]&gt;4,"SI","NO")</f>
        <v>SI</v>
      </c>
      <c r="P449">
        <v>35</v>
      </c>
    </row>
    <row r="450" spans="1:16" x14ac:dyDescent="0.3">
      <c r="A450" s="8" t="s">
        <v>23</v>
      </c>
      <c r="B450" s="8" t="s">
        <v>671</v>
      </c>
      <c r="C450" s="9">
        <v>449</v>
      </c>
      <c r="D450" s="3">
        <v>225000</v>
      </c>
      <c r="E450" s="1">
        <f>datos_limpios[[#This Row],[Price INR   ]]*0.011</f>
        <v>2475</v>
      </c>
      <c r="F450" s="13">
        <v>2012</v>
      </c>
      <c r="G450" s="2">
        <v>56000</v>
      </c>
      <c r="H450" s="8" t="s">
        <v>12</v>
      </c>
      <c r="I450" s="8" t="s">
        <v>13</v>
      </c>
      <c r="J450" s="8" t="s">
        <v>14</v>
      </c>
      <c r="K450" t="s">
        <v>672</v>
      </c>
      <c r="L450" t="s">
        <v>673</v>
      </c>
      <c r="M450" s="2">
        <f>VALUE(MID(L450,1,FIND("@",L450)-6))</f>
        <v>55</v>
      </c>
      <c r="N450">
        <v>5</v>
      </c>
      <c r="O450" t="str">
        <f>IF(datos_limpios[[#This Row],[Seating Capacity ]]&gt;4,"SI","NO")</f>
        <v>SI</v>
      </c>
      <c r="P450">
        <v>32</v>
      </c>
    </row>
    <row r="451" spans="1:16" x14ac:dyDescent="0.3">
      <c r="A451" s="8" t="s">
        <v>23</v>
      </c>
      <c r="B451" s="8" t="s">
        <v>1043</v>
      </c>
      <c r="C451" s="9">
        <v>450</v>
      </c>
      <c r="D451" s="3">
        <v>235000</v>
      </c>
      <c r="E451" s="1">
        <f>datos_limpios[[#This Row],[Price INR   ]]*0.011</f>
        <v>2585</v>
      </c>
      <c r="F451" s="13">
        <v>2009</v>
      </c>
      <c r="G451" s="2">
        <v>115000</v>
      </c>
      <c r="H451" s="8" t="s">
        <v>12</v>
      </c>
      <c r="I451" s="8" t="s">
        <v>13</v>
      </c>
      <c r="J451" s="8" t="s">
        <v>57</v>
      </c>
      <c r="K451" t="s">
        <v>26</v>
      </c>
      <c r="L451" t="s">
        <v>1500</v>
      </c>
      <c r="M451" s="2">
        <f>VALUE(MID(L451,1,FIND("@",L451)-6))</f>
        <v>80</v>
      </c>
      <c r="N451">
        <v>5</v>
      </c>
      <c r="O451" t="str">
        <f>IF(datos_limpios[[#This Row],[Seating Capacity ]]&gt;4,"SI","NO")</f>
        <v>SI</v>
      </c>
      <c r="P451">
        <v>45</v>
      </c>
    </row>
    <row r="452" spans="1:16" x14ac:dyDescent="0.3">
      <c r="A452" s="8" t="s">
        <v>23</v>
      </c>
      <c r="B452" s="8" t="s">
        <v>1146</v>
      </c>
      <c r="C452" s="9">
        <v>451</v>
      </c>
      <c r="D452" s="3">
        <v>235000</v>
      </c>
      <c r="E452" s="1">
        <f>datos_limpios[[#This Row],[Price INR   ]]*0.011</f>
        <v>2585</v>
      </c>
      <c r="F452" s="13">
        <v>2009</v>
      </c>
      <c r="G452" s="2">
        <v>107000</v>
      </c>
      <c r="H452" s="8" t="s">
        <v>12</v>
      </c>
      <c r="I452" s="8" t="s">
        <v>13</v>
      </c>
      <c r="J452" s="8" t="s">
        <v>14</v>
      </c>
      <c r="K452" t="s">
        <v>84</v>
      </c>
      <c r="L452" t="s">
        <v>1524</v>
      </c>
      <c r="M452" s="2">
        <f>VALUE(MID(L452,1,FIND("@",L452)-6))</f>
        <v>67</v>
      </c>
      <c r="N452">
        <v>5</v>
      </c>
      <c r="O452" t="str">
        <f>IF(datos_limpios[[#This Row],[Seating Capacity ]]&gt;4,"SI","NO")</f>
        <v>SI</v>
      </c>
      <c r="P452">
        <v>35</v>
      </c>
    </row>
    <row r="453" spans="1:16" x14ac:dyDescent="0.3">
      <c r="A453" s="8" t="s">
        <v>23</v>
      </c>
      <c r="B453" s="8" t="s">
        <v>271</v>
      </c>
      <c r="C453" s="9">
        <v>452</v>
      </c>
      <c r="D453" s="3">
        <v>235000</v>
      </c>
      <c r="E453" s="1">
        <f>datos_limpios[[#This Row],[Price INR   ]]*0.011</f>
        <v>2585</v>
      </c>
      <c r="F453" s="13">
        <v>2011</v>
      </c>
      <c r="G453" s="2">
        <v>135000</v>
      </c>
      <c r="H453" s="8" t="s">
        <v>19</v>
      </c>
      <c r="I453" s="8" t="s">
        <v>13</v>
      </c>
      <c r="J453" s="8" t="s">
        <v>20</v>
      </c>
      <c r="K453" t="s">
        <v>102</v>
      </c>
      <c r="L453" t="s">
        <v>103</v>
      </c>
      <c r="M453" s="2">
        <f>VALUE(MID(L453,1,FIND("@",L453)-6))</f>
        <v>126</v>
      </c>
      <c r="N453">
        <v>5</v>
      </c>
      <c r="O453" t="str">
        <f>IF(datos_limpios[[#This Row],[Seating Capacity ]]&gt;4,"SI","NO")</f>
        <v>SI</v>
      </c>
      <c r="P453">
        <v>43</v>
      </c>
    </row>
    <row r="454" spans="1:16" x14ac:dyDescent="0.3">
      <c r="A454" s="8" t="s">
        <v>23</v>
      </c>
      <c r="B454" s="8" t="s">
        <v>573</v>
      </c>
      <c r="C454" s="9">
        <v>453</v>
      </c>
      <c r="D454" s="3">
        <v>240000</v>
      </c>
      <c r="E454" s="1">
        <f>datos_limpios[[#This Row],[Price INR   ]]*0.011</f>
        <v>2640</v>
      </c>
      <c r="F454" s="13">
        <v>2013</v>
      </c>
      <c r="G454" s="2">
        <v>64000</v>
      </c>
      <c r="H454" s="8" t="s">
        <v>12</v>
      </c>
      <c r="I454" s="8" t="s">
        <v>13</v>
      </c>
      <c r="J454" s="8" t="s">
        <v>20</v>
      </c>
      <c r="K454" t="s">
        <v>69</v>
      </c>
      <c r="L454" t="s">
        <v>574</v>
      </c>
      <c r="M454" s="2">
        <f>VALUE(MID(L454,1,FIND("@",L454)-6))</f>
        <v>68</v>
      </c>
      <c r="N454">
        <v>5</v>
      </c>
      <c r="O454" t="str">
        <f>IF(datos_limpios[[#This Row],[Seating Capacity ]]&gt;4,"SI","NO")</f>
        <v>SI</v>
      </c>
      <c r="P454">
        <v>32</v>
      </c>
    </row>
    <row r="455" spans="1:16" x14ac:dyDescent="0.3">
      <c r="A455" s="8" t="s">
        <v>23</v>
      </c>
      <c r="B455" s="8" t="s">
        <v>24</v>
      </c>
      <c r="C455" s="9">
        <v>454</v>
      </c>
      <c r="D455" s="3">
        <v>250000</v>
      </c>
      <c r="E455" s="1">
        <f>datos_limpios[[#This Row],[Price INR   ]]*0.011</f>
        <v>2750</v>
      </c>
      <c r="F455" s="13">
        <v>2012</v>
      </c>
      <c r="G455" s="2">
        <v>54556</v>
      </c>
      <c r="H455" s="8" t="s">
        <v>12</v>
      </c>
      <c r="I455" s="8" t="s">
        <v>13</v>
      </c>
      <c r="J455" s="8" t="s">
        <v>20</v>
      </c>
      <c r="K455" t="s">
        <v>26</v>
      </c>
      <c r="L455" t="s">
        <v>27</v>
      </c>
      <c r="M455" s="2">
        <f>VALUE(MID(L455,1,FIND("@",L455)-6))</f>
        <v>79</v>
      </c>
      <c r="N455">
        <v>5</v>
      </c>
      <c r="O455" t="str">
        <f>IF(datos_limpios[[#This Row],[Seating Capacity ]]&gt;4,"SI","NO")</f>
        <v>SI</v>
      </c>
      <c r="P455">
        <v>35</v>
      </c>
    </row>
    <row r="456" spans="1:16" x14ac:dyDescent="0.3">
      <c r="A456" s="8" t="s">
        <v>23</v>
      </c>
      <c r="B456" s="8" t="s">
        <v>1196</v>
      </c>
      <c r="C456" s="9">
        <v>455</v>
      </c>
      <c r="D456" s="3">
        <v>250000</v>
      </c>
      <c r="E456" s="1">
        <f>datos_limpios[[#This Row],[Price INR   ]]*0.011</f>
        <v>2750</v>
      </c>
      <c r="F456" s="13">
        <v>2014</v>
      </c>
      <c r="G456" s="2">
        <v>25000</v>
      </c>
      <c r="H456" s="8" t="s">
        <v>12</v>
      </c>
      <c r="I456" s="8" t="s">
        <v>13</v>
      </c>
      <c r="J456" s="8" t="s">
        <v>20</v>
      </c>
      <c r="K456" t="s">
        <v>672</v>
      </c>
      <c r="L456" t="s">
        <v>673</v>
      </c>
      <c r="M456" s="2">
        <f>VALUE(MID(L456,1,FIND("@",L456)-6))</f>
        <v>55</v>
      </c>
      <c r="N456">
        <v>5</v>
      </c>
      <c r="O456" t="str">
        <f>IF(datos_limpios[[#This Row],[Seating Capacity ]]&gt;4,"SI","NO")</f>
        <v>SI</v>
      </c>
      <c r="P456">
        <v>32</v>
      </c>
    </row>
    <row r="457" spans="1:16" x14ac:dyDescent="0.3">
      <c r="A457" s="8" t="s">
        <v>23</v>
      </c>
      <c r="B457" s="8" t="s">
        <v>24</v>
      </c>
      <c r="C457" s="9">
        <v>456</v>
      </c>
      <c r="D457" s="3">
        <v>250000</v>
      </c>
      <c r="E457" s="1">
        <f>datos_limpios[[#This Row],[Price INR   ]]*0.011</f>
        <v>2750</v>
      </c>
      <c r="F457" s="13">
        <v>2011</v>
      </c>
      <c r="G457" s="2">
        <v>53000</v>
      </c>
      <c r="H457" s="8" t="s">
        <v>12</v>
      </c>
      <c r="I457" s="8" t="s">
        <v>13</v>
      </c>
      <c r="J457" s="8" t="s">
        <v>20</v>
      </c>
      <c r="K457" t="s">
        <v>26</v>
      </c>
      <c r="L457" t="s">
        <v>27</v>
      </c>
      <c r="M457" s="2">
        <f>VALUE(MID(L457,1,FIND("@",L457)-6))</f>
        <v>79</v>
      </c>
      <c r="N457">
        <v>5</v>
      </c>
      <c r="O457" t="str">
        <f>IF(datos_limpios[[#This Row],[Seating Capacity ]]&gt;4,"SI","NO")</f>
        <v>SI</v>
      </c>
      <c r="P457">
        <v>35</v>
      </c>
    </row>
    <row r="458" spans="1:16" x14ac:dyDescent="0.3">
      <c r="A458" s="8" t="s">
        <v>23</v>
      </c>
      <c r="B458" s="8" t="s">
        <v>544</v>
      </c>
      <c r="C458" s="9">
        <v>457</v>
      </c>
      <c r="D458" s="3">
        <v>250000</v>
      </c>
      <c r="E458" s="1">
        <f>datos_limpios[[#This Row],[Price INR   ]]*0.011</f>
        <v>2750</v>
      </c>
      <c r="F458" s="13">
        <v>2011</v>
      </c>
      <c r="G458" s="2">
        <v>64000</v>
      </c>
      <c r="H458" s="8" t="s">
        <v>12</v>
      </c>
      <c r="I458" s="8" t="s">
        <v>13</v>
      </c>
      <c r="J458" s="8" t="s">
        <v>14</v>
      </c>
      <c r="K458" t="s">
        <v>26</v>
      </c>
      <c r="L458" t="s">
        <v>27</v>
      </c>
      <c r="M458" s="2">
        <f>VALUE(MID(L458,1,FIND("@",L458)-6))</f>
        <v>79</v>
      </c>
      <c r="N458">
        <v>5</v>
      </c>
      <c r="O458" t="str">
        <f>IF(datos_limpios[[#This Row],[Seating Capacity ]]&gt;4,"SI","NO")</f>
        <v>SI</v>
      </c>
      <c r="P458">
        <v>35</v>
      </c>
    </row>
    <row r="459" spans="1:16" x14ac:dyDescent="0.3">
      <c r="A459" s="8" t="s">
        <v>23</v>
      </c>
      <c r="B459" s="8" t="s">
        <v>1258</v>
      </c>
      <c r="C459" s="9">
        <v>458</v>
      </c>
      <c r="D459" s="3">
        <v>250000</v>
      </c>
      <c r="E459" s="1">
        <f>datos_limpios[[#This Row],[Price INR   ]]*0.011</f>
        <v>2750</v>
      </c>
      <c r="F459" s="13">
        <v>2012</v>
      </c>
      <c r="G459" s="2">
        <v>48568</v>
      </c>
      <c r="H459" s="8" t="s">
        <v>12</v>
      </c>
      <c r="I459" s="8" t="s">
        <v>13</v>
      </c>
      <c r="J459" s="8" t="s">
        <v>20</v>
      </c>
      <c r="K459" t="s">
        <v>84</v>
      </c>
      <c r="L459" t="s">
        <v>85</v>
      </c>
      <c r="M459" s="2">
        <f>VALUE(MID(L459,1,FIND("@",L459)-6))</f>
        <v>68</v>
      </c>
      <c r="N459">
        <v>5</v>
      </c>
      <c r="O459" t="str">
        <f>IF(datos_limpios[[#This Row],[Seating Capacity ]]&gt;4,"SI","NO")</f>
        <v>SI</v>
      </c>
      <c r="P459">
        <v>35</v>
      </c>
    </row>
    <row r="460" spans="1:16" x14ac:dyDescent="0.3">
      <c r="A460" s="8" t="s">
        <v>23</v>
      </c>
      <c r="B460" s="8" t="s">
        <v>1070</v>
      </c>
      <c r="C460" s="9">
        <v>459</v>
      </c>
      <c r="D460" s="3">
        <v>250000</v>
      </c>
      <c r="E460" s="1">
        <f>datos_limpios[[#This Row],[Price INR   ]]*0.011</f>
        <v>2750</v>
      </c>
      <c r="F460" s="13">
        <v>2013</v>
      </c>
      <c r="G460" s="2">
        <v>82461</v>
      </c>
      <c r="H460" s="8" t="s">
        <v>12</v>
      </c>
      <c r="I460" s="8" t="s">
        <v>13</v>
      </c>
      <c r="J460" s="8" t="s">
        <v>30</v>
      </c>
      <c r="K460" t="s">
        <v>672</v>
      </c>
      <c r="L460" t="s">
        <v>673</v>
      </c>
      <c r="M460" s="2">
        <f>VALUE(MID(L460,1,FIND("@",L460)-6))</f>
        <v>55</v>
      </c>
      <c r="N460">
        <v>5</v>
      </c>
      <c r="O460" t="str">
        <f>IF(datos_limpios[[#This Row],[Seating Capacity ]]&gt;4,"SI","NO")</f>
        <v>SI</v>
      </c>
      <c r="P460">
        <v>32</v>
      </c>
    </row>
    <row r="461" spans="1:16" x14ac:dyDescent="0.3">
      <c r="A461" s="8" t="s">
        <v>23</v>
      </c>
      <c r="B461" s="8" t="s">
        <v>823</v>
      </c>
      <c r="C461" s="9">
        <v>460</v>
      </c>
      <c r="D461" s="3">
        <v>254999</v>
      </c>
      <c r="E461" s="1">
        <f>datos_limpios[[#This Row],[Price INR   ]]*0.011</f>
        <v>2804.989</v>
      </c>
      <c r="F461" s="13">
        <v>2012</v>
      </c>
      <c r="G461" s="2">
        <v>18954</v>
      </c>
      <c r="H461" s="8" t="s">
        <v>12</v>
      </c>
      <c r="I461" s="8" t="s">
        <v>13</v>
      </c>
      <c r="J461" s="8" t="s">
        <v>20</v>
      </c>
      <c r="K461" t="s">
        <v>84</v>
      </c>
      <c r="L461" t="s">
        <v>85</v>
      </c>
      <c r="M461" s="2">
        <f>VALUE(MID(L461,1,FIND("@",L461)-6))</f>
        <v>68</v>
      </c>
      <c r="N461">
        <v>5</v>
      </c>
      <c r="O461" t="str">
        <f>IF(datos_limpios[[#This Row],[Seating Capacity ]]&gt;4,"SI","NO")</f>
        <v>SI</v>
      </c>
      <c r="P461">
        <v>35</v>
      </c>
    </row>
    <row r="462" spans="1:16" x14ac:dyDescent="0.3">
      <c r="A462" s="8" t="s">
        <v>23</v>
      </c>
      <c r="B462" s="8" t="s">
        <v>1259</v>
      </c>
      <c r="C462" s="9">
        <v>461</v>
      </c>
      <c r="D462" s="3">
        <v>254999</v>
      </c>
      <c r="E462" s="1">
        <f>datos_limpios[[#This Row],[Price INR   ]]*0.011</f>
        <v>2804.989</v>
      </c>
      <c r="F462" s="13">
        <v>2012</v>
      </c>
      <c r="G462" s="2">
        <v>17000</v>
      </c>
      <c r="H462" s="8" t="s">
        <v>12</v>
      </c>
      <c r="I462" s="8" t="s">
        <v>13</v>
      </c>
      <c r="J462" s="8" t="s">
        <v>77</v>
      </c>
      <c r="K462" t="s">
        <v>84</v>
      </c>
      <c r="L462" t="s">
        <v>108</v>
      </c>
      <c r="M462" s="2">
        <f>VALUE(MID(L462,1,FIND("@",L462)-6))</f>
        <v>62</v>
      </c>
      <c r="N462">
        <v>5</v>
      </c>
      <c r="O462" t="str">
        <f>IF(datos_limpios[[#This Row],[Seating Capacity ]]&gt;4,"SI","NO")</f>
        <v>SI</v>
      </c>
      <c r="P462">
        <v>35</v>
      </c>
    </row>
    <row r="463" spans="1:16" x14ac:dyDescent="0.3">
      <c r="A463" s="8" t="s">
        <v>23</v>
      </c>
      <c r="B463" s="8" t="s">
        <v>457</v>
      </c>
      <c r="C463" s="9">
        <v>462</v>
      </c>
      <c r="D463" s="3">
        <v>270000</v>
      </c>
      <c r="E463" s="1">
        <f>datos_limpios[[#This Row],[Price INR   ]]*0.011</f>
        <v>2970</v>
      </c>
      <c r="F463" s="13">
        <v>2010</v>
      </c>
      <c r="G463" s="2">
        <v>86000</v>
      </c>
      <c r="H463" s="8" t="s">
        <v>12</v>
      </c>
      <c r="I463" s="8" t="s">
        <v>13</v>
      </c>
      <c r="J463" s="8" t="s">
        <v>14</v>
      </c>
      <c r="K463" t="s">
        <v>26</v>
      </c>
      <c r="L463" t="s">
        <v>1514</v>
      </c>
      <c r="M463" s="2">
        <f>VALUE(MID(L463,1,FIND("@",L463)-6))</f>
        <v>80</v>
      </c>
      <c r="N463">
        <v>5</v>
      </c>
      <c r="O463" t="str">
        <f>IF(datos_limpios[[#This Row],[Seating Capacity ]]&gt;4,"SI","NO")</f>
        <v>SI</v>
      </c>
      <c r="P463">
        <v>35</v>
      </c>
    </row>
    <row r="464" spans="1:16" x14ac:dyDescent="0.3">
      <c r="A464" s="8" t="s">
        <v>23</v>
      </c>
      <c r="B464" s="8" t="s">
        <v>24</v>
      </c>
      <c r="C464" s="9">
        <v>463</v>
      </c>
      <c r="D464" s="3">
        <v>270000</v>
      </c>
      <c r="E464" s="1">
        <f>datos_limpios[[#This Row],[Price INR   ]]*0.011</f>
        <v>2970</v>
      </c>
      <c r="F464" s="13">
        <v>2012</v>
      </c>
      <c r="G464" s="2">
        <v>41200</v>
      </c>
      <c r="H464" s="8" t="s">
        <v>12</v>
      </c>
      <c r="I464" s="8" t="s">
        <v>13</v>
      </c>
      <c r="J464" s="8" t="s">
        <v>77</v>
      </c>
      <c r="K464" t="s">
        <v>26</v>
      </c>
      <c r="L464" t="s">
        <v>27</v>
      </c>
      <c r="M464" s="2">
        <f>VALUE(MID(L464,1,FIND("@",L464)-6))</f>
        <v>79</v>
      </c>
      <c r="N464">
        <v>5</v>
      </c>
      <c r="O464" t="str">
        <f>IF(datos_limpios[[#This Row],[Seating Capacity ]]&gt;4,"SI","NO")</f>
        <v>SI</v>
      </c>
      <c r="P464">
        <v>35</v>
      </c>
    </row>
    <row r="465" spans="1:16" x14ac:dyDescent="0.3">
      <c r="A465" s="8" t="s">
        <v>23</v>
      </c>
      <c r="B465" s="8" t="s">
        <v>544</v>
      </c>
      <c r="C465" s="9">
        <v>464</v>
      </c>
      <c r="D465" s="3">
        <v>275000</v>
      </c>
      <c r="E465" s="1">
        <f>datos_limpios[[#This Row],[Price INR   ]]*0.011</f>
        <v>3025</v>
      </c>
      <c r="F465" s="13">
        <v>2011</v>
      </c>
      <c r="G465" s="2">
        <v>42000</v>
      </c>
      <c r="H465" s="8" t="s">
        <v>12</v>
      </c>
      <c r="I465" s="8" t="s">
        <v>13</v>
      </c>
      <c r="J465" s="8" t="s">
        <v>14</v>
      </c>
      <c r="K465" t="s">
        <v>26</v>
      </c>
      <c r="L465" t="s">
        <v>27</v>
      </c>
      <c r="M465" s="2">
        <f>VALUE(MID(L465,1,FIND("@",L465)-6))</f>
        <v>79</v>
      </c>
      <c r="N465">
        <v>5</v>
      </c>
      <c r="O465" t="str">
        <f>IF(datos_limpios[[#This Row],[Seating Capacity ]]&gt;4,"SI","NO")</f>
        <v>SI</v>
      </c>
      <c r="P465">
        <v>35</v>
      </c>
    </row>
    <row r="466" spans="1:16" x14ac:dyDescent="0.3">
      <c r="A466" s="8" t="s">
        <v>23</v>
      </c>
      <c r="B466" s="8" t="s">
        <v>573</v>
      </c>
      <c r="C466" s="9">
        <v>465</v>
      </c>
      <c r="D466" s="3">
        <v>275000</v>
      </c>
      <c r="E466" s="1">
        <f>datos_limpios[[#This Row],[Price INR   ]]*0.011</f>
        <v>3025</v>
      </c>
      <c r="F466" s="13">
        <v>2012</v>
      </c>
      <c r="G466" s="2">
        <v>30000</v>
      </c>
      <c r="H466" s="8" t="s">
        <v>12</v>
      </c>
      <c r="I466" s="8" t="s">
        <v>13</v>
      </c>
      <c r="J466" s="8" t="s">
        <v>20</v>
      </c>
      <c r="K466" t="s">
        <v>69</v>
      </c>
      <c r="L466" t="s">
        <v>574</v>
      </c>
      <c r="M466" s="2">
        <f>VALUE(MID(L466,1,FIND("@",L466)-6))</f>
        <v>68</v>
      </c>
      <c r="N466">
        <v>5</v>
      </c>
      <c r="O466" t="str">
        <f>IF(datos_limpios[[#This Row],[Seating Capacity ]]&gt;4,"SI","NO")</f>
        <v>SI</v>
      </c>
      <c r="P466">
        <v>32</v>
      </c>
    </row>
    <row r="467" spans="1:16" x14ac:dyDescent="0.3">
      <c r="A467" s="8" t="s">
        <v>23</v>
      </c>
      <c r="B467" s="8" t="s">
        <v>107</v>
      </c>
      <c r="C467" s="9">
        <v>466</v>
      </c>
      <c r="D467" s="3">
        <v>275000</v>
      </c>
      <c r="E467" s="1">
        <f>datos_limpios[[#This Row],[Price INR   ]]*0.011</f>
        <v>3025</v>
      </c>
      <c r="F467" s="13">
        <v>2013</v>
      </c>
      <c r="G467" s="2">
        <v>76000</v>
      </c>
      <c r="H467" s="8" t="s">
        <v>89</v>
      </c>
      <c r="I467" s="8" t="s">
        <v>13</v>
      </c>
      <c r="J467" s="8" t="s">
        <v>20</v>
      </c>
      <c r="K467" t="s">
        <v>84</v>
      </c>
      <c r="L467" t="s">
        <v>108</v>
      </c>
      <c r="M467" s="2">
        <f>VALUE(MID(L467,1,FIND("@",L467)-6))</f>
        <v>62</v>
      </c>
      <c r="N467">
        <v>5</v>
      </c>
      <c r="O467" t="str">
        <f>IF(datos_limpios[[#This Row],[Seating Capacity ]]&gt;4,"SI","NO")</f>
        <v>SI</v>
      </c>
      <c r="P467">
        <v>35</v>
      </c>
    </row>
    <row r="468" spans="1:16" x14ac:dyDescent="0.3">
      <c r="A468" s="8" t="s">
        <v>23</v>
      </c>
      <c r="B468" s="8" t="s">
        <v>1070</v>
      </c>
      <c r="C468" s="9">
        <v>467</v>
      </c>
      <c r="D468" s="3">
        <v>275000</v>
      </c>
      <c r="E468" s="1">
        <f>datos_limpios[[#This Row],[Price INR   ]]*0.011</f>
        <v>3025</v>
      </c>
      <c r="F468" s="13">
        <v>2013</v>
      </c>
      <c r="G468" s="2">
        <v>34000</v>
      </c>
      <c r="H468" s="8" t="s">
        <v>12</v>
      </c>
      <c r="I468" s="8" t="s">
        <v>13</v>
      </c>
      <c r="J468" s="8" t="s">
        <v>57</v>
      </c>
      <c r="K468" t="s">
        <v>672</v>
      </c>
      <c r="L468" t="s">
        <v>673</v>
      </c>
      <c r="M468" s="2">
        <f>VALUE(MID(L468,1,FIND("@",L468)-6))</f>
        <v>55</v>
      </c>
      <c r="N468">
        <v>5</v>
      </c>
      <c r="O468" t="str">
        <f>IF(datos_limpios[[#This Row],[Seating Capacity ]]&gt;4,"SI","NO")</f>
        <v>SI</v>
      </c>
      <c r="P468">
        <v>32</v>
      </c>
    </row>
    <row r="469" spans="1:16" x14ac:dyDescent="0.3">
      <c r="A469" s="8" t="s">
        <v>23</v>
      </c>
      <c r="B469" s="8" t="s">
        <v>1196</v>
      </c>
      <c r="C469" s="9">
        <v>468</v>
      </c>
      <c r="D469" s="3">
        <v>275000</v>
      </c>
      <c r="E469" s="1">
        <f>datos_limpios[[#This Row],[Price INR   ]]*0.011</f>
        <v>3025</v>
      </c>
      <c r="F469" s="13">
        <v>2014</v>
      </c>
      <c r="G469" s="2">
        <v>83000</v>
      </c>
      <c r="H469" s="8" t="s">
        <v>12</v>
      </c>
      <c r="I469" s="8" t="s">
        <v>13</v>
      </c>
      <c r="J469" s="8" t="s">
        <v>20</v>
      </c>
      <c r="K469" t="s">
        <v>672</v>
      </c>
      <c r="L469" t="s">
        <v>673</v>
      </c>
      <c r="M469" s="2">
        <f>VALUE(MID(L469,1,FIND("@",L469)-6))</f>
        <v>55</v>
      </c>
      <c r="N469">
        <v>5</v>
      </c>
      <c r="O469" t="str">
        <f>IF(datos_limpios[[#This Row],[Seating Capacity ]]&gt;4,"SI","NO")</f>
        <v>SI</v>
      </c>
      <c r="P469">
        <v>32</v>
      </c>
    </row>
    <row r="470" spans="1:16" x14ac:dyDescent="0.3">
      <c r="A470" s="8" t="s">
        <v>23</v>
      </c>
      <c r="B470" s="8" t="s">
        <v>671</v>
      </c>
      <c r="C470" s="9">
        <v>469</v>
      </c>
      <c r="D470" s="3">
        <v>290000</v>
      </c>
      <c r="E470" s="1">
        <f>datos_limpios[[#This Row],[Price INR   ]]*0.011</f>
        <v>3190</v>
      </c>
      <c r="F470" s="13">
        <v>2018</v>
      </c>
      <c r="G470" s="2">
        <v>70000</v>
      </c>
      <c r="H470" s="8" t="s">
        <v>12</v>
      </c>
      <c r="I470" s="8" t="s">
        <v>13</v>
      </c>
      <c r="J470" s="8" t="s">
        <v>20</v>
      </c>
      <c r="K470" t="s">
        <v>672</v>
      </c>
      <c r="L470" t="s">
        <v>673</v>
      </c>
      <c r="M470" s="2">
        <f>VALUE(MID(L470,1,FIND("@",L470)-6))</f>
        <v>55</v>
      </c>
      <c r="N470">
        <v>5</v>
      </c>
      <c r="O470" t="str">
        <f>IF(datos_limpios[[#This Row],[Seating Capacity ]]&gt;4,"SI","NO")</f>
        <v>SI</v>
      </c>
      <c r="P470">
        <v>32</v>
      </c>
    </row>
    <row r="471" spans="1:16" x14ac:dyDescent="0.3">
      <c r="A471" s="8" t="s">
        <v>23</v>
      </c>
      <c r="B471" s="8" t="s">
        <v>24</v>
      </c>
      <c r="C471" s="9">
        <v>470</v>
      </c>
      <c r="D471" s="3">
        <v>290000</v>
      </c>
      <c r="E471" s="1">
        <f>datos_limpios[[#This Row],[Price INR   ]]*0.011</f>
        <v>3190</v>
      </c>
      <c r="F471" s="13">
        <v>2011</v>
      </c>
      <c r="G471" s="2">
        <v>91000</v>
      </c>
      <c r="H471" s="8" t="s">
        <v>12</v>
      </c>
      <c r="I471" s="8" t="s">
        <v>13</v>
      </c>
      <c r="J471" s="8" t="s">
        <v>20</v>
      </c>
      <c r="K471" t="s">
        <v>26</v>
      </c>
      <c r="L471" t="s">
        <v>27</v>
      </c>
      <c r="M471" s="2">
        <f>VALUE(MID(L471,1,FIND("@",L471)-6))</f>
        <v>79</v>
      </c>
      <c r="N471">
        <v>5</v>
      </c>
      <c r="O471" t="str">
        <f>IF(datos_limpios[[#This Row],[Seating Capacity ]]&gt;4,"SI","NO")</f>
        <v>SI</v>
      </c>
      <c r="P471">
        <v>35</v>
      </c>
    </row>
    <row r="472" spans="1:16" x14ac:dyDescent="0.3">
      <c r="A472" s="8" t="s">
        <v>23</v>
      </c>
      <c r="B472" s="8" t="s">
        <v>671</v>
      </c>
      <c r="C472" s="9">
        <v>471</v>
      </c>
      <c r="D472" s="3">
        <v>300000</v>
      </c>
      <c r="E472" s="1">
        <f>datos_limpios[[#This Row],[Price INR   ]]*0.011</f>
        <v>3300</v>
      </c>
      <c r="F472" s="13">
        <v>2018</v>
      </c>
      <c r="G472" s="2">
        <v>51000</v>
      </c>
      <c r="H472" s="8" t="s">
        <v>12</v>
      </c>
      <c r="I472" s="8" t="s">
        <v>13</v>
      </c>
      <c r="J472" s="8" t="s">
        <v>20</v>
      </c>
      <c r="K472" t="s">
        <v>672</v>
      </c>
      <c r="L472" t="s">
        <v>673</v>
      </c>
      <c r="M472" s="2">
        <f>VALUE(MID(L472,1,FIND("@",L472)-6))</f>
        <v>55</v>
      </c>
      <c r="N472">
        <v>5</v>
      </c>
      <c r="O472" t="str">
        <f>IF(datos_limpios[[#This Row],[Seating Capacity ]]&gt;4,"SI","NO")</f>
        <v>SI</v>
      </c>
      <c r="P472">
        <v>32</v>
      </c>
    </row>
    <row r="473" spans="1:16" x14ac:dyDescent="0.3">
      <c r="A473" s="8" t="s">
        <v>23</v>
      </c>
      <c r="B473" s="8" t="s">
        <v>284</v>
      </c>
      <c r="C473" s="9">
        <v>472</v>
      </c>
      <c r="D473" s="3">
        <v>300000</v>
      </c>
      <c r="E473" s="1">
        <f>datos_limpios[[#This Row],[Price INR   ]]*0.011</f>
        <v>3300</v>
      </c>
      <c r="F473" s="13">
        <v>2014</v>
      </c>
      <c r="G473" s="2">
        <v>40000</v>
      </c>
      <c r="H473" s="8" t="s">
        <v>12</v>
      </c>
      <c r="I473" s="8" t="s">
        <v>13</v>
      </c>
      <c r="J473" s="8" t="s">
        <v>77</v>
      </c>
      <c r="K473" t="s">
        <v>26</v>
      </c>
      <c r="L473" t="s">
        <v>137</v>
      </c>
      <c r="M473" s="2">
        <f>VALUE(MID(L473,1,FIND("@",L473)-6))</f>
        <v>83</v>
      </c>
      <c r="N473">
        <v>5</v>
      </c>
      <c r="O473" t="str">
        <f>IF(datos_limpios[[#This Row],[Seating Capacity ]]&gt;4,"SI","NO")</f>
        <v>SI</v>
      </c>
      <c r="P473">
        <v>45</v>
      </c>
    </row>
    <row r="474" spans="1:16" x14ac:dyDescent="0.3">
      <c r="A474" s="8" t="s">
        <v>23</v>
      </c>
      <c r="B474" s="8" t="s">
        <v>960</v>
      </c>
      <c r="C474" s="9">
        <v>473</v>
      </c>
      <c r="D474" s="3">
        <v>310000</v>
      </c>
      <c r="E474" s="1">
        <f>datos_limpios[[#This Row],[Price INR   ]]*0.011</f>
        <v>3410</v>
      </c>
      <c r="F474" s="13">
        <v>2011</v>
      </c>
      <c r="G474" s="2">
        <v>26000</v>
      </c>
      <c r="H474" s="8" t="s">
        <v>12</v>
      </c>
      <c r="I474" s="8" t="s">
        <v>40</v>
      </c>
      <c r="J474" s="8" t="s">
        <v>77</v>
      </c>
      <c r="K474" t="s">
        <v>322</v>
      </c>
      <c r="L474" t="s">
        <v>1540</v>
      </c>
      <c r="M474" s="2">
        <f>VALUE(MID(L474,1,FIND("@",L474)-6))</f>
        <v>100</v>
      </c>
      <c r="N474">
        <v>5</v>
      </c>
      <c r="O474" t="str">
        <f>IF(datos_limpios[[#This Row],[Seating Capacity ]]&gt;4,"SI","NO")</f>
        <v>SI</v>
      </c>
      <c r="P474">
        <v>45</v>
      </c>
    </row>
    <row r="475" spans="1:16" x14ac:dyDescent="0.3">
      <c r="A475" s="8" t="s">
        <v>23</v>
      </c>
      <c r="B475" s="8" t="s">
        <v>573</v>
      </c>
      <c r="C475" s="9">
        <v>474</v>
      </c>
      <c r="D475" s="3">
        <v>315000</v>
      </c>
      <c r="E475" s="1">
        <f>datos_limpios[[#This Row],[Price INR   ]]*0.011</f>
        <v>3465</v>
      </c>
      <c r="F475" s="13">
        <v>2013</v>
      </c>
      <c r="G475" s="2">
        <v>45000</v>
      </c>
      <c r="H475" s="8" t="s">
        <v>12</v>
      </c>
      <c r="I475" s="8" t="s">
        <v>13</v>
      </c>
      <c r="J475" s="8" t="s">
        <v>14</v>
      </c>
      <c r="K475" t="s">
        <v>69</v>
      </c>
      <c r="L475" t="s">
        <v>574</v>
      </c>
      <c r="M475" s="2">
        <f>VALUE(MID(L475,1,FIND("@",L475)-6))</f>
        <v>68</v>
      </c>
      <c r="N475">
        <v>5</v>
      </c>
      <c r="O475" t="str">
        <f>IF(datos_limpios[[#This Row],[Seating Capacity ]]&gt;4,"SI","NO")</f>
        <v>SI</v>
      </c>
      <c r="P475">
        <v>32</v>
      </c>
    </row>
    <row r="476" spans="1:16" x14ac:dyDescent="0.3">
      <c r="A476" s="8" t="s">
        <v>23</v>
      </c>
      <c r="B476" s="8" t="s">
        <v>544</v>
      </c>
      <c r="C476" s="9">
        <v>475</v>
      </c>
      <c r="D476" s="3">
        <v>315000</v>
      </c>
      <c r="E476" s="1">
        <f>datos_limpios[[#This Row],[Price INR   ]]*0.011</f>
        <v>3465</v>
      </c>
      <c r="F476" s="13">
        <v>2012</v>
      </c>
      <c r="G476" s="2">
        <v>75000</v>
      </c>
      <c r="H476" s="8" t="s">
        <v>12</v>
      </c>
      <c r="I476" s="8" t="s">
        <v>13</v>
      </c>
      <c r="J476" s="8" t="s">
        <v>20</v>
      </c>
      <c r="K476" t="s">
        <v>26</v>
      </c>
      <c r="L476" t="s">
        <v>27</v>
      </c>
      <c r="M476" s="2">
        <f>VALUE(MID(L476,1,FIND("@",L476)-6))</f>
        <v>79</v>
      </c>
      <c r="N476">
        <v>5</v>
      </c>
      <c r="O476" t="str">
        <f>IF(datos_limpios[[#This Row],[Seating Capacity ]]&gt;4,"SI","NO")</f>
        <v>SI</v>
      </c>
      <c r="P476">
        <v>35</v>
      </c>
    </row>
    <row r="477" spans="1:16" x14ac:dyDescent="0.3">
      <c r="A477" s="8" t="s">
        <v>23</v>
      </c>
      <c r="B477" s="8" t="s">
        <v>797</v>
      </c>
      <c r="C477" s="9">
        <v>476</v>
      </c>
      <c r="D477" s="3">
        <v>325000</v>
      </c>
      <c r="E477" s="1">
        <f>datos_limpios[[#This Row],[Price INR   ]]*0.011</f>
        <v>3575</v>
      </c>
      <c r="F477" s="13">
        <v>2013</v>
      </c>
      <c r="G477" s="2">
        <v>46721</v>
      </c>
      <c r="H477" s="8" t="s">
        <v>12</v>
      </c>
      <c r="I477" s="8" t="s">
        <v>40</v>
      </c>
      <c r="J477" s="8" t="s">
        <v>77</v>
      </c>
      <c r="K477" t="s">
        <v>26</v>
      </c>
      <c r="L477" t="s">
        <v>1514</v>
      </c>
      <c r="M477" s="2">
        <f>VALUE(MID(L477,1,FIND("@",L477)-6))</f>
        <v>80</v>
      </c>
      <c r="N477">
        <v>5</v>
      </c>
      <c r="O477" t="str">
        <f>IF(datos_limpios[[#This Row],[Seating Capacity ]]&gt;4,"SI","NO")</f>
        <v>SI</v>
      </c>
      <c r="P477">
        <v>35</v>
      </c>
    </row>
    <row r="478" spans="1:16" x14ac:dyDescent="0.3">
      <c r="A478" s="8" t="s">
        <v>23</v>
      </c>
      <c r="B478" s="8" t="s">
        <v>24</v>
      </c>
      <c r="C478" s="9">
        <v>477</v>
      </c>
      <c r="D478" s="3">
        <v>325000</v>
      </c>
      <c r="E478" s="1">
        <f>datos_limpios[[#This Row],[Price INR   ]]*0.011</f>
        <v>3575</v>
      </c>
      <c r="F478" s="13">
        <v>2013</v>
      </c>
      <c r="G478" s="2">
        <v>15780</v>
      </c>
      <c r="H478" s="8" t="s">
        <v>12</v>
      </c>
      <c r="I478" s="8" t="s">
        <v>13</v>
      </c>
      <c r="J478" s="8" t="s">
        <v>30</v>
      </c>
      <c r="K478" t="s">
        <v>26</v>
      </c>
      <c r="L478" t="s">
        <v>27</v>
      </c>
      <c r="M478" s="2">
        <f>VALUE(MID(L478,1,FIND("@",L478)-6))</f>
        <v>79</v>
      </c>
      <c r="N478">
        <v>5</v>
      </c>
      <c r="O478" t="str">
        <f>IF(datos_limpios[[#This Row],[Seating Capacity ]]&gt;4,"SI","NO")</f>
        <v>SI</v>
      </c>
      <c r="P478">
        <v>35</v>
      </c>
    </row>
    <row r="479" spans="1:16" x14ac:dyDescent="0.3">
      <c r="A479" s="8" t="s">
        <v>23</v>
      </c>
      <c r="B479" s="8" t="s">
        <v>1170</v>
      </c>
      <c r="C479" s="9">
        <v>478</v>
      </c>
      <c r="D479" s="3">
        <v>325000</v>
      </c>
      <c r="E479" s="1">
        <f>datos_limpios[[#This Row],[Price INR   ]]*0.011</f>
        <v>3575</v>
      </c>
      <c r="F479" s="13">
        <v>2017</v>
      </c>
      <c r="G479" s="2">
        <v>56000</v>
      </c>
      <c r="H479" s="8" t="s">
        <v>12</v>
      </c>
      <c r="I479" s="8" t="s">
        <v>13</v>
      </c>
      <c r="J479" s="8" t="s">
        <v>77</v>
      </c>
      <c r="K479" t="s">
        <v>672</v>
      </c>
      <c r="L479" t="s">
        <v>673</v>
      </c>
      <c r="M479" s="2">
        <f>VALUE(MID(L479,1,FIND("@",L479)-6))</f>
        <v>55</v>
      </c>
      <c r="N479">
        <v>5</v>
      </c>
      <c r="O479" t="str">
        <f>IF(datos_limpios[[#This Row],[Seating Capacity ]]&gt;4,"SI","NO")</f>
        <v>SI</v>
      </c>
      <c r="P479">
        <v>32</v>
      </c>
    </row>
    <row r="480" spans="1:16" x14ac:dyDescent="0.3">
      <c r="A480" s="8" t="s">
        <v>23</v>
      </c>
      <c r="B480" s="8" t="s">
        <v>455</v>
      </c>
      <c r="C480" s="9">
        <v>479</v>
      </c>
      <c r="D480" s="3">
        <v>335000</v>
      </c>
      <c r="E480" s="1">
        <f>datos_limpios[[#This Row],[Price INR   ]]*0.011</f>
        <v>3685</v>
      </c>
      <c r="F480" s="13">
        <v>2013</v>
      </c>
      <c r="G480" s="2">
        <v>78301</v>
      </c>
      <c r="H480" s="8" t="s">
        <v>12</v>
      </c>
      <c r="I480" s="8" t="s">
        <v>40</v>
      </c>
      <c r="J480" s="8" t="s">
        <v>14</v>
      </c>
      <c r="K480" t="s">
        <v>26</v>
      </c>
      <c r="L480" t="s">
        <v>27</v>
      </c>
      <c r="M480" s="2">
        <f>VALUE(MID(L480,1,FIND("@",L480)-6))</f>
        <v>79</v>
      </c>
      <c r="N480">
        <v>5</v>
      </c>
      <c r="O480" t="str">
        <f>IF(datos_limpios[[#This Row],[Seating Capacity ]]&gt;4,"SI","NO")</f>
        <v>SI</v>
      </c>
      <c r="P480">
        <v>35</v>
      </c>
    </row>
    <row r="481" spans="1:16" x14ac:dyDescent="0.3">
      <c r="A481" s="8" t="s">
        <v>23</v>
      </c>
      <c r="B481" s="8" t="s">
        <v>1244</v>
      </c>
      <c r="C481" s="9">
        <v>480</v>
      </c>
      <c r="D481" s="3">
        <v>335000</v>
      </c>
      <c r="E481" s="1">
        <f>datos_limpios[[#This Row],[Price INR   ]]*0.011</f>
        <v>3685</v>
      </c>
      <c r="F481" s="13">
        <v>2016</v>
      </c>
      <c r="G481" s="2">
        <v>64000</v>
      </c>
      <c r="H481" s="8" t="s">
        <v>19</v>
      </c>
      <c r="I481" s="8" t="s">
        <v>13</v>
      </c>
      <c r="J481" s="8" t="s">
        <v>20</v>
      </c>
      <c r="K481" t="s">
        <v>551</v>
      </c>
      <c r="L481" t="s">
        <v>22</v>
      </c>
      <c r="M481" s="2">
        <f>VALUE(MID(L481,1,FIND("@",L481)-6))</f>
        <v>74</v>
      </c>
      <c r="N481">
        <v>5</v>
      </c>
      <c r="O481" t="str">
        <f>IF(datos_limpios[[#This Row],[Seating Capacity ]]&gt;4,"SI","NO")</f>
        <v>SI</v>
      </c>
      <c r="P481">
        <v>43</v>
      </c>
    </row>
    <row r="482" spans="1:16" x14ac:dyDescent="0.3">
      <c r="A482" s="8" t="s">
        <v>23</v>
      </c>
      <c r="B482" s="8" t="s">
        <v>368</v>
      </c>
      <c r="C482" s="9">
        <v>481</v>
      </c>
      <c r="D482" s="3">
        <v>340000</v>
      </c>
      <c r="E482" s="1">
        <f>datos_limpios[[#This Row],[Price INR   ]]*0.011</f>
        <v>3740</v>
      </c>
      <c r="F482" s="13">
        <v>2013</v>
      </c>
      <c r="G482" s="2">
        <v>98500</v>
      </c>
      <c r="H482" s="8" t="s">
        <v>19</v>
      </c>
      <c r="I482" s="8" t="s">
        <v>13</v>
      </c>
      <c r="J482" s="8" t="s">
        <v>77</v>
      </c>
      <c r="K482" t="s">
        <v>369</v>
      </c>
      <c r="L482" t="s">
        <v>140</v>
      </c>
      <c r="M482" s="2">
        <f>VALUE(MID(L482,1,FIND("@",L482)-6))</f>
        <v>89</v>
      </c>
      <c r="N482">
        <v>5</v>
      </c>
      <c r="O482" t="str">
        <f>IF(datos_limpios[[#This Row],[Seating Capacity ]]&gt;4,"SI","NO")</f>
        <v>SI</v>
      </c>
      <c r="P482">
        <v>45</v>
      </c>
    </row>
    <row r="483" spans="1:16" x14ac:dyDescent="0.3">
      <c r="A483" s="8" t="s">
        <v>23</v>
      </c>
      <c r="B483" s="8" t="s">
        <v>1436</v>
      </c>
      <c r="C483" s="9">
        <v>482</v>
      </c>
      <c r="D483" s="3">
        <v>345000</v>
      </c>
      <c r="E483" s="1">
        <f>datos_limpios[[#This Row],[Price INR   ]]*0.011</f>
        <v>3795</v>
      </c>
      <c r="F483" s="13">
        <v>2016</v>
      </c>
      <c r="G483" s="2">
        <v>71000</v>
      </c>
      <c r="H483" s="8" t="s">
        <v>19</v>
      </c>
      <c r="I483" s="8" t="s">
        <v>13</v>
      </c>
      <c r="J483" s="8" t="s">
        <v>20</v>
      </c>
      <c r="K483" t="s">
        <v>605</v>
      </c>
      <c r="L483" t="s">
        <v>1437</v>
      </c>
      <c r="M483" s="2">
        <f>VALUE(MID(L483,1,FIND("@",L483)-6))</f>
        <v>70</v>
      </c>
      <c r="N483">
        <v>5</v>
      </c>
      <c r="O483" t="str">
        <f>IF(datos_limpios[[#This Row],[Seating Capacity ]]&gt;4,"SI","NO")</f>
        <v>SI</v>
      </c>
      <c r="P483">
        <v>43</v>
      </c>
    </row>
    <row r="484" spans="1:16" x14ac:dyDescent="0.3">
      <c r="A484" s="8" t="s">
        <v>23</v>
      </c>
      <c r="B484" s="8" t="s">
        <v>24</v>
      </c>
      <c r="C484" s="9">
        <v>483</v>
      </c>
      <c r="D484" s="3">
        <v>350000</v>
      </c>
      <c r="E484" s="1">
        <f>datos_limpios[[#This Row],[Price INR   ]]*0.011</f>
        <v>3850</v>
      </c>
      <c r="F484" s="13">
        <v>2011</v>
      </c>
      <c r="G484" s="2">
        <v>21000</v>
      </c>
      <c r="H484" s="8" t="s">
        <v>12</v>
      </c>
      <c r="I484" s="8" t="s">
        <v>13</v>
      </c>
      <c r="J484" s="8" t="s">
        <v>30</v>
      </c>
      <c r="K484" t="s">
        <v>26</v>
      </c>
      <c r="L484" t="s">
        <v>27</v>
      </c>
      <c r="M484" s="2">
        <f>VALUE(MID(L484,1,FIND("@",L484)-6))</f>
        <v>79</v>
      </c>
      <c r="N484">
        <v>5</v>
      </c>
      <c r="O484" t="str">
        <f>IF(datos_limpios[[#This Row],[Seating Capacity ]]&gt;4,"SI","NO")</f>
        <v>SI</v>
      </c>
      <c r="P484">
        <v>35</v>
      </c>
    </row>
    <row r="485" spans="1:16" x14ac:dyDescent="0.3">
      <c r="A485" s="8" t="s">
        <v>23</v>
      </c>
      <c r="B485" s="8" t="s">
        <v>628</v>
      </c>
      <c r="C485" s="9">
        <v>484</v>
      </c>
      <c r="D485" s="3">
        <v>360000</v>
      </c>
      <c r="E485" s="1">
        <f>datos_limpios[[#This Row],[Price INR   ]]*0.011</f>
        <v>3959.9999999999995</v>
      </c>
      <c r="F485" s="13">
        <v>2015</v>
      </c>
      <c r="G485" s="2">
        <v>16205</v>
      </c>
      <c r="H485" s="8" t="s">
        <v>12</v>
      </c>
      <c r="I485" s="8" t="s">
        <v>13</v>
      </c>
      <c r="J485" s="8" t="s">
        <v>20</v>
      </c>
      <c r="K485" t="s">
        <v>69</v>
      </c>
      <c r="L485" t="s">
        <v>574</v>
      </c>
      <c r="M485" s="2">
        <f>VALUE(MID(L485,1,FIND("@",L485)-6))</f>
        <v>68</v>
      </c>
      <c r="N485">
        <v>5</v>
      </c>
      <c r="O485" t="str">
        <f>IF(datos_limpios[[#This Row],[Seating Capacity ]]&gt;4,"SI","NO")</f>
        <v>SI</v>
      </c>
      <c r="P485">
        <v>32</v>
      </c>
    </row>
    <row r="486" spans="1:16" x14ac:dyDescent="0.3">
      <c r="A486" s="8" t="s">
        <v>23</v>
      </c>
      <c r="B486" s="8" t="s">
        <v>893</v>
      </c>
      <c r="C486" s="9">
        <v>485</v>
      </c>
      <c r="D486" s="3">
        <v>360000</v>
      </c>
      <c r="E486" s="1">
        <f>datos_limpios[[#This Row],[Price INR   ]]*0.011</f>
        <v>3959.9999999999995</v>
      </c>
      <c r="F486" s="13">
        <v>2013</v>
      </c>
      <c r="G486" s="2">
        <v>95610</v>
      </c>
      <c r="H486" s="8" t="s">
        <v>19</v>
      </c>
      <c r="I486" s="8" t="s">
        <v>13</v>
      </c>
      <c r="J486" s="8" t="s">
        <v>20</v>
      </c>
      <c r="K486" t="s">
        <v>369</v>
      </c>
      <c r="L486" t="s">
        <v>140</v>
      </c>
      <c r="M486" s="2">
        <f>VALUE(MID(L486,1,FIND("@",L486)-6))</f>
        <v>89</v>
      </c>
      <c r="N486">
        <v>5</v>
      </c>
      <c r="O486" t="str">
        <f>IF(datos_limpios[[#This Row],[Seating Capacity ]]&gt;4,"SI","NO")</f>
        <v>SI</v>
      </c>
      <c r="P486">
        <v>45</v>
      </c>
    </row>
    <row r="487" spans="1:16" x14ac:dyDescent="0.3">
      <c r="A487" s="8" t="s">
        <v>23</v>
      </c>
      <c r="B487" s="8" t="s">
        <v>739</v>
      </c>
      <c r="C487" s="9">
        <v>486</v>
      </c>
      <c r="D487" s="3">
        <v>365000</v>
      </c>
      <c r="E487" s="1">
        <f>datos_limpios[[#This Row],[Price INR   ]]*0.011</f>
        <v>4014.9999999999995</v>
      </c>
      <c r="F487" s="13">
        <v>2014</v>
      </c>
      <c r="G487" s="2">
        <v>76000</v>
      </c>
      <c r="H487" s="8" t="s">
        <v>12</v>
      </c>
      <c r="I487" s="8" t="s">
        <v>13</v>
      </c>
      <c r="J487" s="8" t="s">
        <v>20</v>
      </c>
      <c r="K487" t="s">
        <v>26</v>
      </c>
      <c r="L487" t="s">
        <v>261</v>
      </c>
      <c r="M487" s="2">
        <f>VALUE(MID(L487,1,FIND("@",L487)-6))</f>
        <v>81</v>
      </c>
      <c r="N487">
        <v>5</v>
      </c>
      <c r="O487" t="str">
        <f>IF(datos_limpios[[#This Row],[Seating Capacity ]]&gt;4,"SI","NO")</f>
        <v>SI</v>
      </c>
      <c r="P487">
        <v>43</v>
      </c>
    </row>
    <row r="488" spans="1:16" x14ac:dyDescent="0.3">
      <c r="A488" s="8" t="s">
        <v>23</v>
      </c>
      <c r="B488" s="8" t="s">
        <v>455</v>
      </c>
      <c r="C488" s="9">
        <v>487</v>
      </c>
      <c r="D488" s="3">
        <v>370000</v>
      </c>
      <c r="E488" s="1">
        <f>datos_limpios[[#This Row],[Price INR   ]]*0.011</f>
        <v>4069.9999999999995</v>
      </c>
      <c r="F488" s="13">
        <v>2013</v>
      </c>
      <c r="G488" s="2">
        <v>41000</v>
      </c>
      <c r="H488" s="8" t="s">
        <v>12</v>
      </c>
      <c r="I488" s="8" t="s">
        <v>40</v>
      </c>
      <c r="J488" s="8" t="s">
        <v>20</v>
      </c>
      <c r="K488" t="s">
        <v>26</v>
      </c>
      <c r="L488" t="s">
        <v>27</v>
      </c>
      <c r="M488" s="2">
        <f>VALUE(MID(L488,1,FIND("@",L488)-6))</f>
        <v>79</v>
      </c>
      <c r="N488">
        <v>5</v>
      </c>
      <c r="O488" t="str">
        <f>IF(datos_limpios[[#This Row],[Seating Capacity ]]&gt;4,"SI","NO")</f>
        <v>SI</v>
      </c>
      <c r="P488">
        <v>35</v>
      </c>
    </row>
    <row r="489" spans="1:16" x14ac:dyDescent="0.3">
      <c r="A489" s="8" t="s">
        <v>23</v>
      </c>
      <c r="B489" s="8" t="s">
        <v>260</v>
      </c>
      <c r="C489" s="9">
        <v>488</v>
      </c>
      <c r="D489" s="3">
        <v>375000</v>
      </c>
      <c r="E489" s="1">
        <f>datos_limpios[[#This Row],[Price INR   ]]*0.011</f>
        <v>4125</v>
      </c>
      <c r="F489" s="13">
        <v>2015</v>
      </c>
      <c r="G489" s="2">
        <v>87500</v>
      </c>
      <c r="H489" s="8" t="s">
        <v>12</v>
      </c>
      <c r="I489" s="8" t="s">
        <v>13</v>
      </c>
      <c r="J489" s="8" t="s">
        <v>14</v>
      </c>
      <c r="K489" t="s">
        <v>26</v>
      </c>
      <c r="L489" t="s">
        <v>261</v>
      </c>
      <c r="M489" s="2">
        <f>VALUE(MID(L489,1,FIND("@",L489)-6))</f>
        <v>81</v>
      </c>
      <c r="N489">
        <v>5</v>
      </c>
      <c r="O489" t="str">
        <f>IF(datos_limpios[[#This Row],[Seating Capacity ]]&gt;4,"SI","NO")</f>
        <v>SI</v>
      </c>
      <c r="P489">
        <v>43</v>
      </c>
    </row>
    <row r="490" spans="1:16" x14ac:dyDescent="0.3">
      <c r="A490" s="8" t="s">
        <v>23</v>
      </c>
      <c r="B490" s="8" t="s">
        <v>479</v>
      </c>
      <c r="C490" s="9">
        <v>489</v>
      </c>
      <c r="D490" s="3">
        <v>375000</v>
      </c>
      <c r="E490" s="1">
        <f>datos_limpios[[#This Row],[Price INR   ]]*0.011</f>
        <v>4125</v>
      </c>
      <c r="F490" s="13">
        <v>2013</v>
      </c>
      <c r="G490" s="2">
        <v>29135</v>
      </c>
      <c r="H490" s="8" t="s">
        <v>12</v>
      </c>
      <c r="I490" s="8" t="s">
        <v>13</v>
      </c>
      <c r="J490" s="8" t="s">
        <v>20</v>
      </c>
      <c r="K490" t="s">
        <v>26</v>
      </c>
      <c r="L490" t="s">
        <v>137</v>
      </c>
      <c r="M490" s="2">
        <f>VALUE(MID(L490,1,FIND("@",L490)-6))</f>
        <v>83</v>
      </c>
      <c r="N490">
        <v>5</v>
      </c>
      <c r="O490" t="str">
        <f>IF(datos_limpios[[#This Row],[Seating Capacity ]]&gt;4,"SI","NO")</f>
        <v>SI</v>
      </c>
      <c r="P490">
        <v>45</v>
      </c>
    </row>
    <row r="491" spans="1:16" x14ac:dyDescent="0.3">
      <c r="A491" s="8" t="s">
        <v>23</v>
      </c>
      <c r="B491" s="8" t="s">
        <v>455</v>
      </c>
      <c r="C491" s="9">
        <v>490</v>
      </c>
      <c r="D491" s="3">
        <v>375000</v>
      </c>
      <c r="E491" s="1">
        <f>datos_limpios[[#This Row],[Price INR   ]]*0.011</f>
        <v>4125</v>
      </c>
      <c r="F491" s="13">
        <v>2013</v>
      </c>
      <c r="G491" s="2">
        <v>34000</v>
      </c>
      <c r="H491" s="8" t="s">
        <v>12</v>
      </c>
      <c r="I491" s="8" t="s">
        <v>40</v>
      </c>
      <c r="J491" s="8" t="s">
        <v>30</v>
      </c>
      <c r="K491" t="s">
        <v>26</v>
      </c>
      <c r="L491" t="s">
        <v>27</v>
      </c>
      <c r="M491" s="2">
        <f>VALUE(MID(L491,1,FIND("@",L491)-6))</f>
        <v>79</v>
      </c>
      <c r="N491">
        <v>5</v>
      </c>
      <c r="O491" t="str">
        <f>IF(datos_limpios[[#This Row],[Seating Capacity ]]&gt;4,"SI","NO")</f>
        <v>SI</v>
      </c>
      <c r="P491">
        <v>35</v>
      </c>
    </row>
    <row r="492" spans="1:16" x14ac:dyDescent="0.3">
      <c r="A492" s="8" t="s">
        <v>23</v>
      </c>
      <c r="B492" s="8" t="s">
        <v>1299</v>
      </c>
      <c r="C492" s="9">
        <v>491</v>
      </c>
      <c r="D492" s="3">
        <v>375000</v>
      </c>
      <c r="E492" s="1">
        <f>datos_limpios[[#This Row],[Price INR   ]]*0.011</f>
        <v>4125</v>
      </c>
      <c r="F492" s="13">
        <v>2012</v>
      </c>
      <c r="G492" s="2">
        <v>82000</v>
      </c>
      <c r="H492" s="8" t="s">
        <v>19</v>
      </c>
      <c r="I492" s="8" t="s">
        <v>13</v>
      </c>
      <c r="J492" s="8" t="s">
        <v>20</v>
      </c>
      <c r="K492" t="s">
        <v>369</v>
      </c>
      <c r="L492" t="s">
        <v>140</v>
      </c>
      <c r="M492" s="2">
        <f>VALUE(MID(L492,1,FIND("@",L492)-6))</f>
        <v>89</v>
      </c>
      <c r="N492">
        <v>5</v>
      </c>
      <c r="O492" t="str">
        <f>IF(datos_limpios[[#This Row],[Seating Capacity ]]&gt;4,"SI","NO")</f>
        <v>SI</v>
      </c>
      <c r="P492">
        <v>45</v>
      </c>
    </row>
    <row r="493" spans="1:16" x14ac:dyDescent="0.3">
      <c r="A493" s="8" t="s">
        <v>23</v>
      </c>
      <c r="B493" s="8" t="s">
        <v>467</v>
      </c>
      <c r="C493" s="9">
        <v>492</v>
      </c>
      <c r="D493" s="3">
        <v>380000</v>
      </c>
      <c r="E493" s="1">
        <f>datos_limpios[[#This Row],[Price INR   ]]*0.011</f>
        <v>4180</v>
      </c>
      <c r="F493" s="13">
        <v>2012</v>
      </c>
      <c r="G493" s="2">
        <v>53000</v>
      </c>
      <c r="H493" s="8" t="s">
        <v>12</v>
      </c>
      <c r="I493" s="8" t="s">
        <v>13</v>
      </c>
      <c r="J493" s="8" t="s">
        <v>14</v>
      </c>
      <c r="K493" t="s">
        <v>78</v>
      </c>
      <c r="L493" t="s">
        <v>231</v>
      </c>
      <c r="M493" s="2">
        <f>VALUE(MID(L493,1,FIND("@",L493)-6))</f>
        <v>121</v>
      </c>
      <c r="N493">
        <v>5</v>
      </c>
      <c r="O493" t="str">
        <f>IF(datos_limpios[[#This Row],[Seating Capacity ]]&gt;4,"SI","NO")</f>
        <v>SI</v>
      </c>
      <c r="P493">
        <v>43</v>
      </c>
    </row>
    <row r="494" spans="1:16" x14ac:dyDescent="0.3">
      <c r="A494" s="8" t="s">
        <v>23</v>
      </c>
      <c r="B494" s="8" t="s">
        <v>1203</v>
      </c>
      <c r="C494" s="9">
        <v>493</v>
      </c>
      <c r="D494" s="3">
        <v>380000</v>
      </c>
      <c r="E494" s="1">
        <f>datos_limpios[[#This Row],[Price INR   ]]*0.011</f>
        <v>4180</v>
      </c>
      <c r="F494" s="13">
        <v>2013</v>
      </c>
      <c r="G494" s="2">
        <v>57000</v>
      </c>
      <c r="H494" s="8" t="s">
        <v>12</v>
      </c>
      <c r="I494" s="8" t="s">
        <v>40</v>
      </c>
      <c r="J494" s="8" t="s">
        <v>20</v>
      </c>
      <c r="K494" t="s">
        <v>26</v>
      </c>
      <c r="L494" t="s">
        <v>27</v>
      </c>
      <c r="M494" s="2">
        <f>VALUE(MID(L494,1,FIND("@",L494)-6))</f>
        <v>79</v>
      </c>
      <c r="N494">
        <v>5</v>
      </c>
      <c r="O494" t="str">
        <f>IF(datos_limpios[[#This Row],[Seating Capacity ]]&gt;4,"SI","NO")</f>
        <v>SI</v>
      </c>
      <c r="P494">
        <v>35</v>
      </c>
    </row>
    <row r="495" spans="1:16" x14ac:dyDescent="0.3">
      <c r="A495" s="8" t="s">
        <v>23</v>
      </c>
      <c r="B495" s="8" t="s">
        <v>896</v>
      </c>
      <c r="C495" s="9">
        <v>494</v>
      </c>
      <c r="D495" s="3">
        <v>380000</v>
      </c>
      <c r="E495" s="1">
        <f>datos_limpios[[#This Row],[Price INR   ]]*0.011</f>
        <v>4180</v>
      </c>
      <c r="F495" s="13">
        <v>2015</v>
      </c>
      <c r="G495" s="2">
        <v>55660</v>
      </c>
      <c r="H495" s="8" t="s">
        <v>12</v>
      </c>
      <c r="I495" s="8" t="s">
        <v>13</v>
      </c>
      <c r="J495" s="8" t="s">
        <v>14</v>
      </c>
      <c r="K495" t="s">
        <v>26</v>
      </c>
      <c r="L495" t="s">
        <v>261</v>
      </c>
      <c r="M495" s="2">
        <f>VALUE(MID(L495,1,FIND("@",L495)-6))</f>
        <v>81</v>
      </c>
      <c r="N495">
        <v>5</v>
      </c>
      <c r="O495" t="str">
        <f>IF(datos_limpios[[#This Row],[Seating Capacity ]]&gt;4,"SI","NO")</f>
        <v>SI</v>
      </c>
      <c r="P495">
        <v>43</v>
      </c>
    </row>
    <row r="496" spans="1:16" x14ac:dyDescent="0.3">
      <c r="A496" s="8" t="s">
        <v>23</v>
      </c>
      <c r="B496" s="8" t="s">
        <v>284</v>
      </c>
      <c r="C496" s="9">
        <v>495</v>
      </c>
      <c r="D496" s="3">
        <v>385000</v>
      </c>
      <c r="E496" s="1">
        <f>datos_limpios[[#This Row],[Price INR   ]]*0.011</f>
        <v>4235</v>
      </c>
      <c r="F496" s="13">
        <v>2013</v>
      </c>
      <c r="G496" s="2">
        <v>79287</v>
      </c>
      <c r="H496" s="8" t="s">
        <v>12</v>
      </c>
      <c r="I496" s="8" t="s">
        <v>13</v>
      </c>
      <c r="J496" s="8" t="s">
        <v>20</v>
      </c>
      <c r="K496" t="s">
        <v>26</v>
      </c>
      <c r="L496" t="s">
        <v>137</v>
      </c>
      <c r="M496" s="2">
        <f>VALUE(MID(L496,1,FIND("@",L496)-6))</f>
        <v>83</v>
      </c>
      <c r="N496">
        <v>5</v>
      </c>
      <c r="O496" t="str">
        <f>IF(datos_limpios[[#This Row],[Seating Capacity ]]&gt;4,"SI","NO")</f>
        <v>SI</v>
      </c>
      <c r="P496">
        <v>45</v>
      </c>
    </row>
    <row r="497" spans="1:16" x14ac:dyDescent="0.3">
      <c r="A497" s="8" t="s">
        <v>23</v>
      </c>
      <c r="B497" s="8" t="s">
        <v>284</v>
      </c>
      <c r="C497" s="9">
        <v>496</v>
      </c>
      <c r="D497" s="3">
        <v>385000</v>
      </c>
      <c r="E497" s="1">
        <f>datos_limpios[[#This Row],[Price INR   ]]*0.011</f>
        <v>4235</v>
      </c>
      <c r="F497" s="13">
        <v>2014</v>
      </c>
      <c r="G497" s="2">
        <v>46000</v>
      </c>
      <c r="H497" s="8" t="s">
        <v>12</v>
      </c>
      <c r="I497" s="8" t="s">
        <v>13</v>
      </c>
      <c r="J497" s="8" t="s">
        <v>25</v>
      </c>
      <c r="K497" t="s">
        <v>26</v>
      </c>
      <c r="L497" t="s">
        <v>137</v>
      </c>
      <c r="M497" s="2">
        <f>VALUE(MID(L497,1,FIND("@",L497)-6))</f>
        <v>83</v>
      </c>
      <c r="N497">
        <v>5</v>
      </c>
      <c r="O497" t="str">
        <f>IF(datos_limpios[[#This Row],[Seating Capacity ]]&gt;4,"SI","NO")</f>
        <v>SI</v>
      </c>
      <c r="P497">
        <v>45</v>
      </c>
    </row>
    <row r="498" spans="1:16" x14ac:dyDescent="0.3">
      <c r="A498" s="8" t="s">
        <v>23</v>
      </c>
      <c r="B498" s="8" t="s">
        <v>298</v>
      </c>
      <c r="C498" s="9">
        <v>497</v>
      </c>
      <c r="D498" s="3">
        <v>385000</v>
      </c>
      <c r="E498" s="1">
        <f>datos_limpios[[#This Row],[Price INR   ]]*0.011</f>
        <v>4235</v>
      </c>
      <c r="F498" s="13">
        <v>2011</v>
      </c>
      <c r="G498" s="2">
        <v>73000</v>
      </c>
      <c r="H498" s="8" t="s">
        <v>12</v>
      </c>
      <c r="I498" s="8" t="s">
        <v>13</v>
      </c>
      <c r="J498" s="8" t="s">
        <v>14</v>
      </c>
      <c r="K498" t="s">
        <v>78</v>
      </c>
      <c r="L498" t="s">
        <v>231</v>
      </c>
      <c r="M498" s="2">
        <f>VALUE(MID(L498,1,FIND("@",L498)-6))</f>
        <v>121</v>
      </c>
      <c r="N498">
        <v>5</v>
      </c>
      <c r="O498" t="str">
        <f>IF(datos_limpios[[#This Row],[Seating Capacity ]]&gt;4,"SI","NO")</f>
        <v>SI</v>
      </c>
      <c r="P498">
        <v>43</v>
      </c>
    </row>
    <row r="499" spans="1:16" x14ac:dyDescent="0.3">
      <c r="A499" s="8" t="s">
        <v>23</v>
      </c>
      <c r="B499" s="8" t="s">
        <v>896</v>
      </c>
      <c r="C499" s="9">
        <v>498</v>
      </c>
      <c r="D499" s="3">
        <v>390000</v>
      </c>
      <c r="E499" s="1">
        <f>datos_limpios[[#This Row],[Price INR   ]]*0.011</f>
        <v>4290</v>
      </c>
      <c r="F499" s="13">
        <v>2014</v>
      </c>
      <c r="G499" s="2">
        <v>57000</v>
      </c>
      <c r="H499" s="8" t="s">
        <v>12</v>
      </c>
      <c r="I499" s="8" t="s">
        <v>13</v>
      </c>
      <c r="J499" s="8" t="s">
        <v>14</v>
      </c>
      <c r="K499" t="s">
        <v>26</v>
      </c>
      <c r="L499" t="s">
        <v>261</v>
      </c>
      <c r="M499" s="2">
        <f>VALUE(MID(L499,1,FIND("@",L499)-6))</f>
        <v>81</v>
      </c>
      <c r="N499">
        <v>5</v>
      </c>
      <c r="O499" t="str">
        <f>IF(datos_limpios[[#This Row],[Seating Capacity ]]&gt;4,"SI","NO")</f>
        <v>SI</v>
      </c>
      <c r="P499">
        <v>43</v>
      </c>
    </row>
    <row r="500" spans="1:16" x14ac:dyDescent="0.3">
      <c r="A500" s="8" t="s">
        <v>23</v>
      </c>
      <c r="B500" s="8" t="s">
        <v>24</v>
      </c>
      <c r="C500" s="9">
        <v>499</v>
      </c>
      <c r="D500" s="3">
        <v>390000</v>
      </c>
      <c r="E500" s="1">
        <f>datos_limpios[[#This Row],[Price INR   ]]*0.011</f>
        <v>4290</v>
      </c>
      <c r="F500" s="13">
        <v>2015</v>
      </c>
      <c r="G500" s="2">
        <v>49123</v>
      </c>
      <c r="H500" s="8" t="s">
        <v>12</v>
      </c>
      <c r="I500" s="8" t="s">
        <v>13</v>
      </c>
      <c r="J500" s="8" t="s">
        <v>20</v>
      </c>
      <c r="K500" t="s">
        <v>26</v>
      </c>
      <c r="L500" t="s">
        <v>27</v>
      </c>
      <c r="M500" s="2">
        <f>VALUE(MID(L500,1,FIND("@",L500)-6))</f>
        <v>79</v>
      </c>
      <c r="N500">
        <v>5</v>
      </c>
      <c r="O500" t="str">
        <f>IF(datos_limpios[[#This Row],[Seating Capacity ]]&gt;4,"SI","NO")</f>
        <v>SI</v>
      </c>
      <c r="P500">
        <v>35</v>
      </c>
    </row>
    <row r="501" spans="1:16" x14ac:dyDescent="0.3">
      <c r="A501" s="8" t="s">
        <v>23</v>
      </c>
      <c r="B501" s="8" t="s">
        <v>1231</v>
      </c>
      <c r="C501" s="9">
        <v>500</v>
      </c>
      <c r="D501" s="3">
        <v>390000</v>
      </c>
      <c r="E501" s="1">
        <f>datos_limpios[[#This Row],[Price INR   ]]*0.011</f>
        <v>4290</v>
      </c>
      <c r="F501" s="13">
        <v>2014</v>
      </c>
      <c r="G501" s="2">
        <v>81000</v>
      </c>
      <c r="H501" s="8" t="s">
        <v>19</v>
      </c>
      <c r="I501" s="8" t="s">
        <v>13</v>
      </c>
      <c r="J501" s="8" t="s">
        <v>20</v>
      </c>
      <c r="K501" t="s">
        <v>605</v>
      </c>
      <c r="L501" t="s">
        <v>606</v>
      </c>
      <c r="M501" s="2">
        <f>VALUE(MID(L501,1,FIND("@",L501)-6))</f>
        <v>71</v>
      </c>
      <c r="N501">
        <v>5</v>
      </c>
      <c r="O501" t="str">
        <f>IF(datos_limpios[[#This Row],[Seating Capacity ]]&gt;4,"SI","NO")</f>
        <v>SI</v>
      </c>
      <c r="P501">
        <v>43</v>
      </c>
    </row>
    <row r="502" spans="1:16" x14ac:dyDescent="0.3">
      <c r="A502" s="8" t="s">
        <v>23</v>
      </c>
      <c r="B502" s="8" t="s">
        <v>276</v>
      </c>
      <c r="C502" s="9">
        <v>501</v>
      </c>
      <c r="D502" s="3">
        <v>390000</v>
      </c>
      <c r="E502" s="1">
        <f>datos_limpios[[#This Row],[Price INR   ]]*0.011</f>
        <v>4290</v>
      </c>
      <c r="F502" s="13">
        <v>2014</v>
      </c>
      <c r="G502" s="2">
        <v>46000</v>
      </c>
      <c r="H502" s="8" t="s">
        <v>12</v>
      </c>
      <c r="I502" s="8" t="s">
        <v>13</v>
      </c>
      <c r="J502" s="8" t="s">
        <v>62</v>
      </c>
      <c r="K502" t="s">
        <v>26</v>
      </c>
      <c r="L502" t="s">
        <v>261</v>
      </c>
      <c r="M502" s="2">
        <f>VALUE(MID(L502,1,FIND("@",L502)-6))</f>
        <v>81</v>
      </c>
      <c r="N502">
        <v>5</v>
      </c>
      <c r="O502" t="str">
        <f>IF(datos_limpios[[#This Row],[Seating Capacity ]]&gt;4,"SI","NO")</f>
        <v>SI</v>
      </c>
      <c r="P502">
        <v>43</v>
      </c>
    </row>
    <row r="503" spans="1:16" x14ac:dyDescent="0.3">
      <c r="A503" s="8" t="s">
        <v>23</v>
      </c>
      <c r="B503" s="8" t="s">
        <v>544</v>
      </c>
      <c r="C503" s="9">
        <v>502</v>
      </c>
      <c r="D503" s="3">
        <v>395000</v>
      </c>
      <c r="E503" s="1">
        <f>datos_limpios[[#This Row],[Price INR   ]]*0.011</f>
        <v>4345</v>
      </c>
      <c r="F503" s="13">
        <v>2016</v>
      </c>
      <c r="G503" s="2">
        <v>28000</v>
      </c>
      <c r="H503" s="8" t="s">
        <v>12</v>
      </c>
      <c r="I503" s="8" t="s">
        <v>13</v>
      </c>
      <c r="J503" s="8" t="s">
        <v>25</v>
      </c>
      <c r="K503" t="s">
        <v>26</v>
      </c>
      <c r="L503" t="s">
        <v>27</v>
      </c>
      <c r="M503" s="2">
        <f>VALUE(MID(L503,1,FIND("@",L503)-6))</f>
        <v>79</v>
      </c>
      <c r="N503">
        <v>5</v>
      </c>
      <c r="O503" t="str">
        <f>IF(datos_limpios[[#This Row],[Seating Capacity ]]&gt;4,"SI","NO")</f>
        <v>SI</v>
      </c>
      <c r="P503">
        <v>35</v>
      </c>
    </row>
    <row r="504" spans="1:16" x14ac:dyDescent="0.3">
      <c r="A504" s="8" t="s">
        <v>23</v>
      </c>
      <c r="B504" s="8" t="s">
        <v>1224</v>
      </c>
      <c r="C504" s="9">
        <v>503</v>
      </c>
      <c r="D504" s="3">
        <v>399000</v>
      </c>
      <c r="E504" s="1">
        <f>datos_limpios[[#This Row],[Price INR   ]]*0.011</f>
        <v>4389</v>
      </c>
      <c r="F504" s="13">
        <v>2014</v>
      </c>
      <c r="G504" s="2">
        <v>74000</v>
      </c>
      <c r="H504" s="8" t="s">
        <v>12</v>
      </c>
      <c r="I504" s="8" t="s">
        <v>13</v>
      </c>
      <c r="J504" s="8" t="s">
        <v>20</v>
      </c>
      <c r="K504" t="s">
        <v>26</v>
      </c>
      <c r="L504" t="s">
        <v>261</v>
      </c>
      <c r="M504" s="2">
        <f>VALUE(MID(L504,1,FIND("@",L504)-6))</f>
        <v>81</v>
      </c>
      <c r="N504">
        <v>5</v>
      </c>
      <c r="O504" t="str">
        <f>IF(datos_limpios[[#This Row],[Seating Capacity ]]&gt;4,"SI","NO")</f>
        <v>SI</v>
      </c>
      <c r="P504">
        <v>43</v>
      </c>
    </row>
    <row r="505" spans="1:16" x14ac:dyDescent="0.3">
      <c r="A505" s="8" t="s">
        <v>23</v>
      </c>
      <c r="B505" s="8" t="s">
        <v>276</v>
      </c>
      <c r="C505" s="9">
        <v>504</v>
      </c>
      <c r="D505" s="3">
        <v>399000</v>
      </c>
      <c r="E505" s="1">
        <f>datos_limpios[[#This Row],[Price INR   ]]*0.011</f>
        <v>4389</v>
      </c>
      <c r="F505" s="13">
        <v>2018</v>
      </c>
      <c r="G505" s="2">
        <v>38000</v>
      </c>
      <c r="H505" s="8" t="s">
        <v>12</v>
      </c>
      <c r="I505" s="8" t="s">
        <v>13</v>
      </c>
      <c r="J505" s="8" t="s">
        <v>77</v>
      </c>
      <c r="K505" t="s">
        <v>26</v>
      </c>
      <c r="L505" t="s">
        <v>261</v>
      </c>
      <c r="M505" s="2">
        <f>VALUE(MID(L505,1,FIND("@",L505)-6))</f>
        <v>81</v>
      </c>
      <c r="N505">
        <v>5</v>
      </c>
      <c r="O505" t="str">
        <f>IF(datos_limpios[[#This Row],[Seating Capacity ]]&gt;4,"SI","NO")</f>
        <v>SI</v>
      </c>
      <c r="P505">
        <v>43</v>
      </c>
    </row>
    <row r="506" spans="1:16" x14ac:dyDescent="0.3">
      <c r="A506" s="8" t="s">
        <v>23</v>
      </c>
      <c r="B506" s="8" t="s">
        <v>1049</v>
      </c>
      <c r="C506" s="9">
        <v>505</v>
      </c>
      <c r="D506" s="3">
        <v>400000</v>
      </c>
      <c r="E506" s="1">
        <f>datos_limpios[[#This Row],[Price INR   ]]*0.011</f>
        <v>4400</v>
      </c>
      <c r="F506" s="13">
        <v>2015</v>
      </c>
      <c r="G506" s="2">
        <v>41273</v>
      </c>
      <c r="H506" s="8" t="s">
        <v>12</v>
      </c>
      <c r="I506" s="8" t="s">
        <v>13</v>
      </c>
      <c r="J506" s="8" t="s">
        <v>20</v>
      </c>
      <c r="K506" t="s">
        <v>1050</v>
      </c>
      <c r="L506" t="s">
        <v>1051</v>
      </c>
      <c r="M506" s="2">
        <f>VALUE(MID(L506,1,FIND("@",L506)-6))</f>
        <v>94</v>
      </c>
      <c r="N506">
        <v>5</v>
      </c>
      <c r="O506" t="str">
        <f>IF(datos_limpios[[#This Row],[Seating Capacity ]]&gt;4,"SI","NO")</f>
        <v>SI</v>
      </c>
      <c r="P506">
        <v>45</v>
      </c>
    </row>
    <row r="507" spans="1:16" x14ac:dyDescent="0.3">
      <c r="A507" s="8" t="s">
        <v>23</v>
      </c>
      <c r="B507" s="8" t="s">
        <v>271</v>
      </c>
      <c r="C507" s="9">
        <v>506</v>
      </c>
      <c r="D507" s="3">
        <v>400000</v>
      </c>
      <c r="E507" s="1">
        <f>datos_limpios[[#This Row],[Price INR   ]]*0.011</f>
        <v>4400</v>
      </c>
      <c r="F507" s="13">
        <v>2013</v>
      </c>
      <c r="G507" s="2">
        <v>71000</v>
      </c>
      <c r="H507" s="8" t="s">
        <v>19</v>
      </c>
      <c r="I507" s="8" t="s">
        <v>13</v>
      </c>
      <c r="J507" s="8" t="s">
        <v>14</v>
      </c>
      <c r="K507" t="s">
        <v>102</v>
      </c>
      <c r="L507" t="s">
        <v>103</v>
      </c>
      <c r="M507" s="2">
        <f>VALUE(MID(L507,1,FIND("@",L507)-6))</f>
        <v>126</v>
      </c>
      <c r="N507">
        <v>5</v>
      </c>
      <c r="O507" t="str">
        <f>IF(datos_limpios[[#This Row],[Seating Capacity ]]&gt;4,"SI","NO")</f>
        <v>SI</v>
      </c>
      <c r="P507">
        <v>43</v>
      </c>
    </row>
    <row r="508" spans="1:16" x14ac:dyDescent="0.3">
      <c r="A508" s="8" t="s">
        <v>23</v>
      </c>
      <c r="B508" s="8" t="s">
        <v>862</v>
      </c>
      <c r="C508" s="9">
        <v>507</v>
      </c>
      <c r="D508" s="3">
        <v>400000</v>
      </c>
      <c r="E508" s="1">
        <f>datos_limpios[[#This Row],[Price INR   ]]*0.011</f>
        <v>4400</v>
      </c>
      <c r="F508" s="13">
        <v>2017</v>
      </c>
      <c r="G508" s="2">
        <v>35000</v>
      </c>
      <c r="H508" s="8" t="s">
        <v>12</v>
      </c>
      <c r="I508" s="8" t="s">
        <v>13</v>
      </c>
      <c r="J508" s="8" t="s">
        <v>57</v>
      </c>
      <c r="K508" t="s">
        <v>26</v>
      </c>
      <c r="L508" t="s">
        <v>261</v>
      </c>
      <c r="M508" s="2">
        <f>VALUE(MID(L508,1,FIND("@",L508)-6))</f>
        <v>81</v>
      </c>
      <c r="N508">
        <v>5</v>
      </c>
      <c r="O508" t="str">
        <f>IF(datos_limpios[[#This Row],[Seating Capacity ]]&gt;4,"SI","NO")</f>
        <v>SI</v>
      </c>
      <c r="P508">
        <v>43</v>
      </c>
    </row>
    <row r="509" spans="1:16" x14ac:dyDescent="0.3">
      <c r="A509" s="8" t="s">
        <v>23</v>
      </c>
      <c r="B509" s="8" t="s">
        <v>1170</v>
      </c>
      <c r="C509" s="9">
        <v>508</v>
      </c>
      <c r="D509" s="3">
        <v>405000</v>
      </c>
      <c r="E509" s="1">
        <f>datos_limpios[[#This Row],[Price INR   ]]*0.011</f>
        <v>4455</v>
      </c>
      <c r="F509" s="13">
        <v>2018</v>
      </c>
      <c r="G509" s="2">
        <v>34000</v>
      </c>
      <c r="H509" s="8" t="s">
        <v>12</v>
      </c>
      <c r="I509" s="8" t="s">
        <v>13</v>
      </c>
      <c r="J509" s="8" t="s">
        <v>30</v>
      </c>
      <c r="K509" t="s">
        <v>672</v>
      </c>
      <c r="L509" t="s">
        <v>673</v>
      </c>
      <c r="M509" s="2">
        <f>VALUE(MID(L509,1,FIND("@",L509)-6))</f>
        <v>55</v>
      </c>
      <c r="N509">
        <v>5</v>
      </c>
      <c r="O509" t="str">
        <f>IF(datos_limpios[[#This Row],[Seating Capacity ]]&gt;4,"SI","NO")</f>
        <v>SI</v>
      </c>
      <c r="P509">
        <v>32</v>
      </c>
    </row>
    <row r="510" spans="1:16" x14ac:dyDescent="0.3">
      <c r="A510" s="8" t="s">
        <v>23</v>
      </c>
      <c r="B510" s="8" t="s">
        <v>967</v>
      </c>
      <c r="C510" s="9">
        <v>509</v>
      </c>
      <c r="D510" s="3">
        <v>409999</v>
      </c>
      <c r="E510" s="1">
        <f>datos_limpios[[#This Row],[Price INR   ]]*0.011</f>
        <v>4509.9889999999996</v>
      </c>
      <c r="F510" s="13">
        <v>2019</v>
      </c>
      <c r="G510" s="2">
        <v>32000</v>
      </c>
      <c r="H510" s="8" t="s">
        <v>12</v>
      </c>
      <c r="I510" s="8" t="s">
        <v>13</v>
      </c>
      <c r="J510" s="8" t="s">
        <v>77</v>
      </c>
      <c r="K510" t="s">
        <v>84</v>
      </c>
      <c r="L510" t="s">
        <v>85</v>
      </c>
      <c r="M510" s="2">
        <f>VALUE(MID(L510,1,FIND("@",L510)-6))</f>
        <v>68</v>
      </c>
      <c r="N510">
        <v>5</v>
      </c>
      <c r="O510" t="str">
        <f>IF(datos_limpios[[#This Row],[Seating Capacity ]]&gt;4,"SI","NO")</f>
        <v>SI</v>
      </c>
      <c r="P510">
        <v>35</v>
      </c>
    </row>
    <row r="511" spans="1:16" x14ac:dyDescent="0.3">
      <c r="A511" s="8" t="s">
        <v>23</v>
      </c>
      <c r="B511" s="8" t="s">
        <v>896</v>
      </c>
      <c r="C511" s="9">
        <v>510</v>
      </c>
      <c r="D511" s="3">
        <v>409999</v>
      </c>
      <c r="E511" s="1">
        <f>datos_limpios[[#This Row],[Price INR   ]]*0.011</f>
        <v>4509.9889999999996</v>
      </c>
      <c r="F511" s="13">
        <v>2014</v>
      </c>
      <c r="G511" s="2">
        <v>55000</v>
      </c>
      <c r="H511" s="8" t="s">
        <v>12</v>
      </c>
      <c r="I511" s="8" t="s">
        <v>13</v>
      </c>
      <c r="J511" s="8" t="s">
        <v>77</v>
      </c>
      <c r="K511" t="s">
        <v>26</v>
      </c>
      <c r="L511" t="s">
        <v>261</v>
      </c>
      <c r="M511" s="2">
        <f>VALUE(MID(L511,1,FIND("@",L511)-6))</f>
        <v>81</v>
      </c>
      <c r="N511">
        <v>5</v>
      </c>
      <c r="O511" t="str">
        <f>IF(datos_limpios[[#This Row],[Seating Capacity ]]&gt;4,"SI","NO")</f>
        <v>SI</v>
      </c>
      <c r="P511">
        <v>43</v>
      </c>
    </row>
    <row r="512" spans="1:16" x14ac:dyDescent="0.3">
      <c r="A512" s="8" t="s">
        <v>23</v>
      </c>
      <c r="B512" s="8" t="s">
        <v>893</v>
      </c>
      <c r="C512" s="9">
        <v>511</v>
      </c>
      <c r="D512" s="3">
        <v>409999</v>
      </c>
      <c r="E512" s="1">
        <f>datos_limpios[[#This Row],[Price INR   ]]*0.011</f>
        <v>4509.9889999999996</v>
      </c>
      <c r="F512" s="13">
        <v>2014</v>
      </c>
      <c r="G512" s="2">
        <v>68000</v>
      </c>
      <c r="H512" s="8" t="s">
        <v>19</v>
      </c>
      <c r="I512" s="8" t="s">
        <v>13</v>
      </c>
      <c r="J512" s="8" t="s">
        <v>77</v>
      </c>
      <c r="K512" t="s">
        <v>322</v>
      </c>
      <c r="L512" t="s">
        <v>1526</v>
      </c>
      <c r="M512" s="2">
        <f>VALUE(MID(L512,1,FIND("@",L512)-6))</f>
        <v>90</v>
      </c>
      <c r="N512">
        <v>5</v>
      </c>
      <c r="O512" t="str">
        <f>IF(datos_limpios[[#This Row],[Seating Capacity ]]&gt;4,"SI","NO")</f>
        <v>SI</v>
      </c>
      <c r="P512">
        <v>45</v>
      </c>
    </row>
    <row r="513" spans="1:16" x14ac:dyDescent="0.3">
      <c r="A513" s="8" t="s">
        <v>23</v>
      </c>
      <c r="B513" s="8" t="s">
        <v>271</v>
      </c>
      <c r="C513" s="9">
        <v>512</v>
      </c>
      <c r="D513" s="3">
        <v>415000</v>
      </c>
      <c r="E513" s="1">
        <f>datos_limpios[[#This Row],[Price INR   ]]*0.011</f>
        <v>4565</v>
      </c>
      <c r="F513" s="13">
        <v>2014</v>
      </c>
      <c r="G513" s="2">
        <v>62000</v>
      </c>
      <c r="H513" s="8" t="s">
        <v>19</v>
      </c>
      <c r="I513" s="8" t="s">
        <v>13</v>
      </c>
      <c r="J513" s="8" t="s">
        <v>77</v>
      </c>
      <c r="K513" t="s">
        <v>102</v>
      </c>
      <c r="L513" t="s">
        <v>103</v>
      </c>
      <c r="M513" s="2">
        <f>VALUE(MID(L513,1,FIND("@",L513)-6))</f>
        <v>126</v>
      </c>
      <c r="N513">
        <v>5</v>
      </c>
      <c r="O513" t="str">
        <f>IF(datos_limpios[[#This Row],[Seating Capacity ]]&gt;4,"SI","NO")</f>
        <v>SI</v>
      </c>
      <c r="P513">
        <v>43</v>
      </c>
    </row>
    <row r="514" spans="1:16" x14ac:dyDescent="0.3">
      <c r="A514" s="8" t="s">
        <v>23</v>
      </c>
      <c r="B514" s="8" t="s">
        <v>271</v>
      </c>
      <c r="C514" s="9">
        <v>513</v>
      </c>
      <c r="D514" s="3">
        <v>425000</v>
      </c>
      <c r="E514" s="1">
        <f>datos_limpios[[#This Row],[Price INR   ]]*0.011</f>
        <v>4675</v>
      </c>
      <c r="F514" s="13">
        <v>2012</v>
      </c>
      <c r="G514" s="2">
        <v>70000</v>
      </c>
      <c r="H514" s="8" t="s">
        <v>19</v>
      </c>
      <c r="I514" s="8" t="s">
        <v>13</v>
      </c>
      <c r="J514" s="8" t="s">
        <v>20</v>
      </c>
      <c r="K514" t="s">
        <v>102</v>
      </c>
      <c r="L514" t="s">
        <v>103</v>
      </c>
      <c r="M514" s="2">
        <f>VALUE(MID(L514,1,FIND("@",L514)-6))</f>
        <v>126</v>
      </c>
      <c r="N514">
        <v>5</v>
      </c>
      <c r="O514" t="str">
        <f>IF(datos_limpios[[#This Row],[Seating Capacity ]]&gt;4,"SI","NO")</f>
        <v>SI</v>
      </c>
      <c r="P514">
        <v>43</v>
      </c>
    </row>
    <row r="515" spans="1:16" x14ac:dyDescent="0.3">
      <c r="A515" s="8" t="s">
        <v>23</v>
      </c>
      <c r="B515" s="8" t="s">
        <v>317</v>
      </c>
      <c r="C515" s="9">
        <v>514</v>
      </c>
      <c r="D515" s="3">
        <v>425000</v>
      </c>
      <c r="E515" s="1">
        <f>datos_limpios[[#This Row],[Price INR   ]]*0.011</f>
        <v>4675</v>
      </c>
      <c r="F515" s="13">
        <v>2015</v>
      </c>
      <c r="G515" s="2">
        <v>48000</v>
      </c>
      <c r="H515" s="8" t="s">
        <v>12</v>
      </c>
      <c r="I515" s="8" t="s">
        <v>13</v>
      </c>
      <c r="J515" s="8" t="s">
        <v>77</v>
      </c>
      <c r="K515" t="s">
        <v>26</v>
      </c>
      <c r="L515" t="s">
        <v>261</v>
      </c>
      <c r="M515" s="2">
        <f>VALUE(MID(L515,1,FIND("@",L515)-6))</f>
        <v>81</v>
      </c>
      <c r="N515">
        <v>5</v>
      </c>
      <c r="O515" t="str">
        <f>IF(datos_limpios[[#This Row],[Seating Capacity ]]&gt;4,"SI","NO")</f>
        <v>SI</v>
      </c>
      <c r="P515">
        <v>43</v>
      </c>
    </row>
    <row r="516" spans="1:16" x14ac:dyDescent="0.3">
      <c r="A516" s="8" t="s">
        <v>23</v>
      </c>
      <c r="B516" s="8" t="s">
        <v>305</v>
      </c>
      <c r="C516" s="9">
        <v>515</v>
      </c>
      <c r="D516" s="3">
        <v>425000</v>
      </c>
      <c r="E516" s="1">
        <f>datos_limpios[[#This Row],[Price INR   ]]*0.011</f>
        <v>4675</v>
      </c>
      <c r="F516" s="13">
        <v>2015</v>
      </c>
      <c r="G516" s="2">
        <v>11628</v>
      </c>
      <c r="H516" s="8" t="s">
        <v>12</v>
      </c>
      <c r="I516" s="8" t="s">
        <v>13</v>
      </c>
      <c r="J516" s="8" t="s">
        <v>101</v>
      </c>
      <c r="K516" t="s">
        <v>26</v>
      </c>
      <c r="L516" t="s">
        <v>261</v>
      </c>
      <c r="M516" s="2">
        <f>VALUE(MID(L516,1,FIND("@",L516)-6))</f>
        <v>81</v>
      </c>
      <c r="N516">
        <v>5</v>
      </c>
      <c r="O516" t="str">
        <f>IF(datos_limpios[[#This Row],[Seating Capacity ]]&gt;4,"SI","NO")</f>
        <v>SI</v>
      </c>
      <c r="P516">
        <v>43</v>
      </c>
    </row>
    <row r="517" spans="1:16" x14ac:dyDescent="0.3">
      <c r="A517" s="8" t="s">
        <v>23</v>
      </c>
      <c r="B517" s="8" t="s">
        <v>953</v>
      </c>
      <c r="C517" s="9">
        <v>516</v>
      </c>
      <c r="D517" s="3">
        <v>434999</v>
      </c>
      <c r="E517" s="1">
        <f>datos_limpios[[#This Row],[Price INR   ]]*0.011</f>
        <v>4784.9889999999996</v>
      </c>
      <c r="F517" s="13">
        <v>2017</v>
      </c>
      <c r="G517" s="2">
        <v>27000</v>
      </c>
      <c r="H517" s="8" t="s">
        <v>19</v>
      </c>
      <c r="I517" s="8" t="s">
        <v>13</v>
      </c>
      <c r="J517" s="8" t="s">
        <v>20</v>
      </c>
      <c r="K517" t="s">
        <v>551</v>
      </c>
      <c r="L517" t="s">
        <v>22</v>
      </c>
      <c r="M517" s="2">
        <f>VALUE(MID(L517,1,FIND("@",L517)-6))</f>
        <v>74</v>
      </c>
      <c r="N517">
        <v>5</v>
      </c>
      <c r="O517" t="str">
        <f>IF(datos_limpios[[#This Row],[Seating Capacity ]]&gt;4,"SI","NO")</f>
        <v>SI</v>
      </c>
      <c r="P517">
        <v>43</v>
      </c>
    </row>
    <row r="518" spans="1:16" x14ac:dyDescent="0.3">
      <c r="A518" s="8" t="s">
        <v>23</v>
      </c>
      <c r="B518" s="8" t="s">
        <v>83</v>
      </c>
      <c r="C518" s="9">
        <v>517</v>
      </c>
      <c r="D518" s="3">
        <v>434999</v>
      </c>
      <c r="E518" s="1">
        <f>datos_limpios[[#This Row],[Price INR   ]]*0.011</f>
        <v>4784.9889999999996</v>
      </c>
      <c r="F518" s="13">
        <v>2019</v>
      </c>
      <c r="G518" s="2">
        <v>34400</v>
      </c>
      <c r="H518" s="8" t="s">
        <v>12</v>
      </c>
      <c r="I518" s="8" t="s">
        <v>40</v>
      </c>
      <c r="J518" s="8" t="s">
        <v>77</v>
      </c>
      <c r="K518" t="s">
        <v>84</v>
      </c>
      <c r="L518" t="s">
        <v>85</v>
      </c>
      <c r="M518" s="2">
        <f>VALUE(MID(L518,1,FIND("@",L518)-6))</f>
        <v>68</v>
      </c>
      <c r="N518">
        <v>5</v>
      </c>
      <c r="O518" t="str">
        <f>IF(datos_limpios[[#This Row],[Seating Capacity ]]&gt;4,"SI","NO")</f>
        <v>SI</v>
      </c>
      <c r="P518">
        <v>35</v>
      </c>
    </row>
    <row r="519" spans="1:16" x14ac:dyDescent="0.3">
      <c r="A519" s="8" t="s">
        <v>23</v>
      </c>
      <c r="B519" s="8" t="s">
        <v>1274</v>
      </c>
      <c r="C519" s="9">
        <v>518</v>
      </c>
      <c r="D519" s="3">
        <v>434999</v>
      </c>
      <c r="E519" s="1">
        <f>datos_limpios[[#This Row],[Price INR   ]]*0.011</f>
        <v>4784.9889999999996</v>
      </c>
      <c r="F519" s="13">
        <v>2012</v>
      </c>
      <c r="G519" s="2">
        <v>76148</v>
      </c>
      <c r="H519" s="8" t="s">
        <v>19</v>
      </c>
      <c r="I519" s="8" t="s">
        <v>13</v>
      </c>
      <c r="J519" s="8" t="s">
        <v>77</v>
      </c>
      <c r="K519" t="s">
        <v>322</v>
      </c>
      <c r="L519" t="s">
        <v>1526</v>
      </c>
      <c r="M519" s="2">
        <f>VALUE(MID(L519,1,FIND("@",L519)-6))</f>
        <v>90</v>
      </c>
      <c r="N519">
        <v>5</v>
      </c>
      <c r="O519" t="str">
        <f>IF(datos_limpios[[#This Row],[Seating Capacity ]]&gt;4,"SI","NO")</f>
        <v>SI</v>
      </c>
      <c r="P519">
        <v>45</v>
      </c>
    </row>
    <row r="520" spans="1:16" x14ac:dyDescent="0.3">
      <c r="A520" s="8" t="s">
        <v>23</v>
      </c>
      <c r="B520" s="8" t="s">
        <v>173</v>
      </c>
      <c r="C520" s="9">
        <v>519</v>
      </c>
      <c r="D520" s="3">
        <v>436000</v>
      </c>
      <c r="E520" s="1">
        <f>datos_limpios[[#This Row],[Price INR   ]]*0.011</f>
        <v>4796</v>
      </c>
      <c r="F520" s="13">
        <v>2014</v>
      </c>
      <c r="G520" s="2">
        <v>37959</v>
      </c>
      <c r="H520" s="8" t="s">
        <v>12</v>
      </c>
      <c r="I520" s="8" t="s">
        <v>40</v>
      </c>
      <c r="J520" s="8" t="s">
        <v>20</v>
      </c>
      <c r="K520" t="s">
        <v>26</v>
      </c>
      <c r="L520" t="s">
        <v>27</v>
      </c>
      <c r="M520" s="2">
        <f>VALUE(MID(L520,1,FIND("@",L520)-6))</f>
        <v>79</v>
      </c>
      <c r="N520">
        <v>5</v>
      </c>
      <c r="O520" t="str">
        <f>IF(datos_limpios[[#This Row],[Seating Capacity ]]&gt;4,"SI","NO")</f>
        <v>SI</v>
      </c>
      <c r="P520">
        <v>43</v>
      </c>
    </row>
    <row r="521" spans="1:16" x14ac:dyDescent="0.3">
      <c r="A521" s="8" t="s">
        <v>23</v>
      </c>
      <c r="B521" s="8" t="s">
        <v>424</v>
      </c>
      <c r="C521" s="9">
        <v>520</v>
      </c>
      <c r="D521" s="3">
        <v>445000</v>
      </c>
      <c r="E521" s="1">
        <f>datos_limpios[[#This Row],[Price INR   ]]*0.011</f>
        <v>4895</v>
      </c>
      <c r="F521" s="13">
        <v>2016</v>
      </c>
      <c r="G521" s="2">
        <v>22402</v>
      </c>
      <c r="H521" s="8" t="s">
        <v>12</v>
      </c>
      <c r="I521" s="8" t="s">
        <v>13</v>
      </c>
      <c r="J521" s="8" t="s">
        <v>14</v>
      </c>
      <c r="K521" t="s">
        <v>26</v>
      </c>
      <c r="L521" t="s">
        <v>261</v>
      </c>
      <c r="M521" s="2">
        <f>VALUE(MID(L521,1,FIND("@",L521)-6))</f>
        <v>81</v>
      </c>
      <c r="N521">
        <v>5</v>
      </c>
      <c r="O521" t="str">
        <f>IF(datos_limpios[[#This Row],[Seating Capacity ]]&gt;4,"SI","NO")</f>
        <v>SI</v>
      </c>
      <c r="P521">
        <v>43</v>
      </c>
    </row>
    <row r="522" spans="1:16" x14ac:dyDescent="0.3">
      <c r="A522" s="8" t="s">
        <v>23</v>
      </c>
      <c r="B522" s="8" t="s">
        <v>550</v>
      </c>
      <c r="C522" s="9">
        <v>521</v>
      </c>
      <c r="D522" s="3">
        <v>445000</v>
      </c>
      <c r="E522" s="1">
        <f>datos_limpios[[#This Row],[Price INR   ]]*0.011</f>
        <v>4895</v>
      </c>
      <c r="F522" s="13">
        <v>2018</v>
      </c>
      <c r="G522" s="2">
        <v>65555</v>
      </c>
      <c r="H522" s="8" t="s">
        <v>19</v>
      </c>
      <c r="I522" s="8" t="s">
        <v>13</v>
      </c>
      <c r="J522" s="8" t="s">
        <v>20</v>
      </c>
      <c r="K522" t="s">
        <v>551</v>
      </c>
      <c r="L522" t="s">
        <v>22</v>
      </c>
      <c r="M522" s="2">
        <f>VALUE(MID(L522,1,FIND("@",L522)-6))</f>
        <v>74</v>
      </c>
      <c r="N522">
        <v>5</v>
      </c>
      <c r="O522" t="str">
        <f>IF(datos_limpios[[#This Row],[Seating Capacity ]]&gt;4,"SI","NO")</f>
        <v>SI</v>
      </c>
      <c r="P522">
        <v>43</v>
      </c>
    </row>
    <row r="523" spans="1:16" x14ac:dyDescent="0.3">
      <c r="A523" s="8" t="s">
        <v>23</v>
      </c>
      <c r="B523" s="8" t="s">
        <v>424</v>
      </c>
      <c r="C523" s="9">
        <v>522</v>
      </c>
      <c r="D523" s="3">
        <v>450000</v>
      </c>
      <c r="E523" s="1">
        <f>datos_limpios[[#This Row],[Price INR   ]]*0.011</f>
        <v>4950</v>
      </c>
      <c r="F523" s="13">
        <v>2016</v>
      </c>
      <c r="G523" s="2">
        <v>53300</v>
      </c>
      <c r="H523" s="8" t="s">
        <v>12</v>
      </c>
      <c r="I523" s="8" t="s">
        <v>13</v>
      </c>
      <c r="J523" s="8" t="s">
        <v>25</v>
      </c>
      <c r="K523" t="s">
        <v>26</v>
      </c>
      <c r="L523" t="s">
        <v>261</v>
      </c>
      <c r="M523" s="2">
        <f>VALUE(MID(L523,1,FIND("@",L523)-6))</f>
        <v>81</v>
      </c>
      <c r="N523">
        <v>5</v>
      </c>
      <c r="O523" t="str">
        <f>IF(datos_limpios[[#This Row],[Seating Capacity ]]&gt;4,"SI","NO")</f>
        <v>SI</v>
      </c>
      <c r="P523">
        <v>43</v>
      </c>
    </row>
    <row r="524" spans="1:16" x14ac:dyDescent="0.3">
      <c r="A524" s="8" t="s">
        <v>23</v>
      </c>
      <c r="B524" s="8" t="s">
        <v>1044</v>
      </c>
      <c r="C524" s="9">
        <v>523</v>
      </c>
      <c r="D524" s="3">
        <v>450000</v>
      </c>
      <c r="E524" s="1">
        <f>datos_limpios[[#This Row],[Price INR   ]]*0.011</f>
        <v>4950</v>
      </c>
      <c r="F524" s="13">
        <v>2014</v>
      </c>
      <c r="G524" s="2">
        <v>23000</v>
      </c>
      <c r="H524" s="8" t="s">
        <v>12</v>
      </c>
      <c r="I524" s="8" t="s">
        <v>13</v>
      </c>
      <c r="J524" s="8" t="s">
        <v>82</v>
      </c>
      <c r="K524" t="s">
        <v>26</v>
      </c>
      <c r="L524" t="s">
        <v>137</v>
      </c>
      <c r="M524" s="2">
        <f>VALUE(MID(L524,1,FIND("@",L524)-6))</f>
        <v>83</v>
      </c>
      <c r="N524">
        <v>5</v>
      </c>
      <c r="O524" t="str">
        <f>IF(datos_limpios[[#This Row],[Seating Capacity ]]&gt;4,"SI","NO")</f>
        <v>SI</v>
      </c>
      <c r="P524">
        <v>45</v>
      </c>
    </row>
    <row r="525" spans="1:16" x14ac:dyDescent="0.3">
      <c r="A525" s="8" t="s">
        <v>23</v>
      </c>
      <c r="B525" s="8" t="s">
        <v>260</v>
      </c>
      <c r="C525" s="9">
        <v>524</v>
      </c>
      <c r="D525" s="3">
        <v>450000</v>
      </c>
      <c r="E525" s="1">
        <f>datos_limpios[[#This Row],[Price INR   ]]*0.011</f>
        <v>4950</v>
      </c>
      <c r="F525" s="13">
        <v>2016</v>
      </c>
      <c r="G525" s="2">
        <v>47000</v>
      </c>
      <c r="H525" s="8" t="s">
        <v>12</v>
      </c>
      <c r="I525" s="8" t="s">
        <v>13</v>
      </c>
      <c r="J525" s="8" t="s">
        <v>14</v>
      </c>
      <c r="K525" t="s">
        <v>26</v>
      </c>
      <c r="L525" t="s">
        <v>261</v>
      </c>
      <c r="M525" s="2">
        <f>VALUE(MID(L525,1,FIND("@",L525)-6))</f>
        <v>81</v>
      </c>
      <c r="N525">
        <v>5</v>
      </c>
      <c r="O525" t="str">
        <f>IF(datos_limpios[[#This Row],[Seating Capacity ]]&gt;4,"SI","NO")</f>
        <v>SI</v>
      </c>
      <c r="P525">
        <v>43</v>
      </c>
    </row>
    <row r="526" spans="1:16" x14ac:dyDescent="0.3">
      <c r="A526" s="8" t="s">
        <v>23</v>
      </c>
      <c r="B526" s="8" t="s">
        <v>1371</v>
      </c>
      <c r="C526" s="9">
        <v>525</v>
      </c>
      <c r="D526" s="3">
        <v>451000</v>
      </c>
      <c r="E526" s="1">
        <f>datos_limpios[[#This Row],[Price INR   ]]*0.011</f>
        <v>4961</v>
      </c>
      <c r="F526" s="13">
        <v>2017</v>
      </c>
      <c r="G526" s="2">
        <v>55000</v>
      </c>
      <c r="H526" s="8" t="s">
        <v>19</v>
      </c>
      <c r="I526" s="8" t="s">
        <v>13</v>
      </c>
      <c r="J526" s="8" t="s">
        <v>20</v>
      </c>
      <c r="K526" t="s">
        <v>605</v>
      </c>
      <c r="L526" t="s">
        <v>606</v>
      </c>
      <c r="M526" s="2">
        <f>VALUE(MID(L526,1,FIND("@",L526)-6))</f>
        <v>71</v>
      </c>
      <c r="N526">
        <v>5</v>
      </c>
      <c r="O526" t="str">
        <f>IF(datos_limpios[[#This Row],[Seating Capacity ]]&gt;4,"SI","NO")</f>
        <v>SI</v>
      </c>
      <c r="P526">
        <v>43</v>
      </c>
    </row>
    <row r="527" spans="1:16" x14ac:dyDescent="0.3">
      <c r="A527" s="8" t="s">
        <v>23</v>
      </c>
      <c r="B527" s="8" t="s">
        <v>173</v>
      </c>
      <c r="C527" s="9">
        <v>526</v>
      </c>
      <c r="D527" s="3">
        <v>455000</v>
      </c>
      <c r="E527" s="1">
        <f>datos_limpios[[#This Row],[Price INR   ]]*0.011</f>
        <v>5005</v>
      </c>
      <c r="F527" s="13">
        <v>2015</v>
      </c>
      <c r="G527" s="2">
        <v>69700</v>
      </c>
      <c r="H527" s="8" t="s">
        <v>12</v>
      </c>
      <c r="I527" s="8" t="s">
        <v>40</v>
      </c>
      <c r="J527" s="8" t="s">
        <v>57</v>
      </c>
      <c r="K527" t="s">
        <v>26</v>
      </c>
      <c r="L527" t="s">
        <v>27</v>
      </c>
      <c r="M527" s="2">
        <f>VALUE(MID(L527,1,FIND("@",L527)-6))</f>
        <v>79</v>
      </c>
      <c r="N527">
        <v>5</v>
      </c>
      <c r="O527" t="str">
        <f>IF(datos_limpios[[#This Row],[Seating Capacity ]]&gt;4,"SI","NO")</f>
        <v>SI</v>
      </c>
      <c r="P527">
        <v>43</v>
      </c>
    </row>
    <row r="528" spans="1:16" x14ac:dyDescent="0.3">
      <c r="A528" s="8" t="s">
        <v>23</v>
      </c>
      <c r="B528" s="8" t="s">
        <v>276</v>
      </c>
      <c r="C528" s="9">
        <v>527</v>
      </c>
      <c r="D528" s="3">
        <v>459999</v>
      </c>
      <c r="E528" s="1">
        <f>datos_limpios[[#This Row],[Price INR   ]]*0.011</f>
        <v>5059.9889999999996</v>
      </c>
      <c r="F528" s="13">
        <v>2016</v>
      </c>
      <c r="G528" s="2">
        <v>61223</v>
      </c>
      <c r="H528" s="8" t="s">
        <v>12</v>
      </c>
      <c r="I528" s="8" t="s">
        <v>13</v>
      </c>
      <c r="J528" s="8" t="s">
        <v>20</v>
      </c>
      <c r="K528" t="s">
        <v>26</v>
      </c>
      <c r="L528" t="s">
        <v>261</v>
      </c>
      <c r="M528" s="2">
        <f>VALUE(MID(L528,1,FIND("@",L528)-6))</f>
        <v>81</v>
      </c>
      <c r="N528">
        <v>5</v>
      </c>
      <c r="O528" t="str">
        <f>IF(datos_limpios[[#This Row],[Seating Capacity ]]&gt;4,"SI","NO")</f>
        <v>SI</v>
      </c>
      <c r="P528">
        <v>43</v>
      </c>
    </row>
    <row r="529" spans="1:16" x14ac:dyDescent="0.3">
      <c r="A529" s="8" t="s">
        <v>23</v>
      </c>
      <c r="B529" s="8" t="s">
        <v>594</v>
      </c>
      <c r="C529" s="9">
        <v>528</v>
      </c>
      <c r="D529" s="3">
        <v>459999</v>
      </c>
      <c r="E529" s="1">
        <f>datos_limpios[[#This Row],[Price INR   ]]*0.011</f>
        <v>5059.9889999999996</v>
      </c>
      <c r="F529" s="13">
        <v>2016</v>
      </c>
      <c r="G529" s="2">
        <v>82844</v>
      </c>
      <c r="H529" s="8" t="s">
        <v>19</v>
      </c>
      <c r="I529" s="8" t="s">
        <v>13</v>
      </c>
      <c r="J529" s="8" t="s">
        <v>14</v>
      </c>
      <c r="K529" t="s">
        <v>551</v>
      </c>
      <c r="L529" t="s">
        <v>22</v>
      </c>
      <c r="M529" s="2">
        <f>VALUE(MID(L529,1,FIND("@",L529)-6))</f>
        <v>74</v>
      </c>
      <c r="N529">
        <v>5</v>
      </c>
      <c r="O529" t="str">
        <f>IF(datos_limpios[[#This Row],[Seating Capacity ]]&gt;4,"SI","NO")</f>
        <v>SI</v>
      </c>
      <c r="P529">
        <v>43</v>
      </c>
    </row>
    <row r="530" spans="1:16" x14ac:dyDescent="0.3">
      <c r="A530" s="8" t="s">
        <v>23</v>
      </c>
      <c r="B530" s="8" t="s">
        <v>271</v>
      </c>
      <c r="C530" s="9">
        <v>529</v>
      </c>
      <c r="D530" s="3">
        <v>459999</v>
      </c>
      <c r="E530" s="1">
        <f>datos_limpios[[#This Row],[Price INR   ]]*0.011</f>
        <v>5059.9889999999996</v>
      </c>
      <c r="F530" s="13">
        <v>2013</v>
      </c>
      <c r="G530" s="2">
        <v>78000</v>
      </c>
      <c r="H530" s="8" t="s">
        <v>19</v>
      </c>
      <c r="I530" s="8" t="s">
        <v>13</v>
      </c>
      <c r="J530" s="8" t="s">
        <v>20</v>
      </c>
      <c r="K530" t="s">
        <v>102</v>
      </c>
      <c r="L530" t="s">
        <v>103</v>
      </c>
      <c r="M530" s="2">
        <f>VALUE(MID(L530,1,FIND("@",L530)-6))</f>
        <v>126</v>
      </c>
      <c r="N530">
        <v>5</v>
      </c>
      <c r="O530" t="str">
        <f>IF(datos_limpios[[#This Row],[Seating Capacity ]]&gt;4,"SI","NO")</f>
        <v>SI</v>
      </c>
      <c r="P530">
        <v>43</v>
      </c>
    </row>
    <row r="531" spans="1:16" x14ac:dyDescent="0.3">
      <c r="A531" s="8" t="s">
        <v>23</v>
      </c>
      <c r="B531" s="8" t="s">
        <v>83</v>
      </c>
      <c r="C531" s="9">
        <v>530</v>
      </c>
      <c r="D531" s="3">
        <v>465000</v>
      </c>
      <c r="E531" s="1">
        <f>datos_limpios[[#This Row],[Price INR   ]]*0.011</f>
        <v>5115</v>
      </c>
      <c r="F531" s="13">
        <v>2019</v>
      </c>
      <c r="G531" s="2">
        <v>19000</v>
      </c>
      <c r="H531" s="8" t="s">
        <v>12</v>
      </c>
      <c r="I531" s="8" t="s">
        <v>40</v>
      </c>
      <c r="J531" s="8" t="s">
        <v>131</v>
      </c>
      <c r="K531" t="s">
        <v>84</v>
      </c>
      <c r="L531" t="s">
        <v>85</v>
      </c>
      <c r="M531" s="2">
        <f>VALUE(MID(L531,1,FIND("@",L531)-6))</f>
        <v>68</v>
      </c>
      <c r="N531">
        <v>5</v>
      </c>
      <c r="O531" t="str">
        <f>IF(datos_limpios[[#This Row],[Seating Capacity ]]&gt;4,"SI","NO")</f>
        <v>SI</v>
      </c>
      <c r="P531">
        <v>35</v>
      </c>
    </row>
    <row r="532" spans="1:16" x14ac:dyDescent="0.3">
      <c r="A532" s="8" t="s">
        <v>23</v>
      </c>
      <c r="B532" s="8" t="s">
        <v>1134</v>
      </c>
      <c r="C532" s="9">
        <v>531</v>
      </c>
      <c r="D532" s="3">
        <v>465000</v>
      </c>
      <c r="E532" s="1">
        <f>datos_limpios[[#This Row],[Price INR   ]]*0.011</f>
        <v>5115</v>
      </c>
      <c r="F532" s="13">
        <v>2019</v>
      </c>
      <c r="G532" s="2">
        <v>28000</v>
      </c>
      <c r="H532" s="8" t="s">
        <v>89</v>
      </c>
      <c r="I532" s="8" t="s">
        <v>13</v>
      </c>
      <c r="J532" s="8" t="s">
        <v>20</v>
      </c>
      <c r="K532" t="s">
        <v>84</v>
      </c>
      <c r="L532" t="s">
        <v>411</v>
      </c>
      <c r="M532" s="2">
        <f>VALUE(MID(L532,1,FIND("@",L532)-6))</f>
        <v>58</v>
      </c>
      <c r="N532">
        <v>5</v>
      </c>
      <c r="O532" t="str">
        <f>IF(datos_limpios[[#This Row],[Seating Capacity ]]&gt;4,"SI","NO")</f>
        <v>SI</v>
      </c>
      <c r="P532">
        <v>60</v>
      </c>
    </row>
    <row r="533" spans="1:16" x14ac:dyDescent="0.3">
      <c r="A533" s="8" t="s">
        <v>23</v>
      </c>
      <c r="B533" s="8" t="s">
        <v>271</v>
      </c>
      <c r="C533" s="9">
        <v>532</v>
      </c>
      <c r="D533" s="3">
        <v>470000</v>
      </c>
      <c r="E533" s="1">
        <f>datos_limpios[[#This Row],[Price INR   ]]*0.011</f>
        <v>5170</v>
      </c>
      <c r="F533" s="13">
        <v>2013</v>
      </c>
      <c r="G533" s="2">
        <v>66000</v>
      </c>
      <c r="H533" s="8" t="s">
        <v>19</v>
      </c>
      <c r="I533" s="8" t="s">
        <v>13</v>
      </c>
      <c r="J533" s="8" t="s">
        <v>14</v>
      </c>
      <c r="K533" t="s">
        <v>102</v>
      </c>
      <c r="L533" t="s">
        <v>103</v>
      </c>
      <c r="M533" s="2">
        <f>VALUE(MID(L533,1,FIND("@",L533)-6))</f>
        <v>126</v>
      </c>
      <c r="N533">
        <v>5</v>
      </c>
      <c r="O533" t="str">
        <f>IF(datos_limpios[[#This Row],[Seating Capacity ]]&gt;4,"SI","NO")</f>
        <v>SI</v>
      </c>
      <c r="P533">
        <v>43</v>
      </c>
    </row>
    <row r="534" spans="1:16" x14ac:dyDescent="0.3">
      <c r="A534" s="8" t="s">
        <v>23</v>
      </c>
      <c r="B534" s="8" t="s">
        <v>173</v>
      </c>
      <c r="C534" s="9">
        <v>533</v>
      </c>
      <c r="D534" s="3">
        <v>475000</v>
      </c>
      <c r="E534" s="1">
        <f>datos_limpios[[#This Row],[Price INR   ]]*0.011</f>
        <v>5225</v>
      </c>
      <c r="F534" s="13">
        <v>2014</v>
      </c>
      <c r="G534" s="2">
        <v>61866</v>
      </c>
      <c r="H534" s="8" t="s">
        <v>12</v>
      </c>
      <c r="I534" s="8" t="s">
        <v>40</v>
      </c>
      <c r="J534" s="8" t="s">
        <v>20</v>
      </c>
      <c r="K534" t="s">
        <v>26</v>
      </c>
      <c r="L534" t="s">
        <v>27</v>
      </c>
      <c r="M534" s="2">
        <f>VALUE(MID(L534,1,FIND("@",L534)-6))</f>
        <v>79</v>
      </c>
      <c r="N534">
        <v>5</v>
      </c>
      <c r="O534" t="str">
        <f>IF(datos_limpios[[#This Row],[Seating Capacity ]]&gt;4,"SI","NO")</f>
        <v>SI</v>
      </c>
      <c r="P534">
        <v>43</v>
      </c>
    </row>
    <row r="535" spans="1:16" x14ac:dyDescent="0.3">
      <c r="A535" s="8" t="s">
        <v>23</v>
      </c>
      <c r="B535" s="8" t="s">
        <v>1093</v>
      </c>
      <c r="C535" s="9">
        <v>534</v>
      </c>
      <c r="D535" s="3">
        <v>475000</v>
      </c>
      <c r="E535" s="1">
        <f>datos_limpios[[#This Row],[Price INR   ]]*0.011</f>
        <v>5225</v>
      </c>
      <c r="F535" s="13">
        <v>2014</v>
      </c>
      <c r="G535" s="2">
        <v>72900</v>
      </c>
      <c r="H535" s="8" t="s">
        <v>12</v>
      </c>
      <c r="I535" s="8" t="s">
        <v>40</v>
      </c>
      <c r="J535" s="8" t="s">
        <v>57</v>
      </c>
      <c r="K535" t="s">
        <v>78</v>
      </c>
      <c r="L535" t="s">
        <v>231</v>
      </c>
      <c r="M535" s="2">
        <f>VALUE(MID(L535,1,FIND("@",L535)-6))</f>
        <v>121</v>
      </c>
      <c r="N535">
        <v>5</v>
      </c>
      <c r="O535" t="str">
        <f>IF(datos_limpios[[#This Row],[Seating Capacity ]]&gt;4,"SI","NO")</f>
        <v>SI</v>
      </c>
      <c r="P535">
        <v>43</v>
      </c>
    </row>
    <row r="536" spans="1:16" x14ac:dyDescent="0.3">
      <c r="A536" s="8" t="s">
        <v>23</v>
      </c>
      <c r="B536" s="8" t="s">
        <v>298</v>
      </c>
      <c r="C536" s="9">
        <v>535</v>
      </c>
      <c r="D536" s="3">
        <v>475000</v>
      </c>
      <c r="E536" s="1">
        <f>datos_limpios[[#This Row],[Price INR   ]]*0.011</f>
        <v>5225</v>
      </c>
      <c r="F536" s="13">
        <v>2014</v>
      </c>
      <c r="G536" s="2">
        <v>62000</v>
      </c>
      <c r="H536" s="8" t="s">
        <v>12</v>
      </c>
      <c r="I536" s="8" t="s">
        <v>13</v>
      </c>
      <c r="J536" s="8" t="s">
        <v>77</v>
      </c>
      <c r="K536" t="s">
        <v>78</v>
      </c>
      <c r="L536" t="s">
        <v>231</v>
      </c>
      <c r="M536" s="2">
        <f>VALUE(MID(L536,1,FIND("@",L536)-6))</f>
        <v>121</v>
      </c>
      <c r="N536">
        <v>5</v>
      </c>
      <c r="O536" t="str">
        <f>IF(datos_limpios[[#This Row],[Seating Capacity ]]&gt;4,"SI","NO")</f>
        <v>SI</v>
      </c>
      <c r="P536">
        <v>43</v>
      </c>
    </row>
    <row r="537" spans="1:16" x14ac:dyDescent="0.3">
      <c r="A537" s="8" t="s">
        <v>23</v>
      </c>
      <c r="B537" s="8" t="s">
        <v>896</v>
      </c>
      <c r="C537" s="9">
        <v>536</v>
      </c>
      <c r="D537" s="3">
        <v>475000</v>
      </c>
      <c r="E537" s="1">
        <f>datos_limpios[[#This Row],[Price INR   ]]*0.011</f>
        <v>5225</v>
      </c>
      <c r="F537" s="13">
        <v>2016</v>
      </c>
      <c r="G537" s="2">
        <v>16630</v>
      </c>
      <c r="H537" s="8" t="s">
        <v>12</v>
      </c>
      <c r="I537" s="8" t="s">
        <v>13</v>
      </c>
      <c r="J537" s="8" t="s">
        <v>25</v>
      </c>
      <c r="K537" t="s">
        <v>26</v>
      </c>
      <c r="L537" t="s">
        <v>261</v>
      </c>
      <c r="M537" s="2">
        <f>VALUE(MID(L537,1,FIND("@",L537)-6))</f>
        <v>81</v>
      </c>
      <c r="N537">
        <v>5</v>
      </c>
      <c r="O537" t="str">
        <f>IF(datos_limpios[[#This Row],[Seating Capacity ]]&gt;4,"SI","NO")</f>
        <v>SI</v>
      </c>
      <c r="P537">
        <v>43</v>
      </c>
    </row>
    <row r="538" spans="1:16" x14ac:dyDescent="0.3">
      <c r="A538" s="8" t="s">
        <v>23</v>
      </c>
      <c r="B538" s="8" t="s">
        <v>862</v>
      </c>
      <c r="C538" s="9">
        <v>537</v>
      </c>
      <c r="D538" s="3">
        <v>480000</v>
      </c>
      <c r="E538" s="1">
        <f>datos_limpios[[#This Row],[Price INR   ]]*0.011</f>
        <v>5280</v>
      </c>
      <c r="F538" s="13">
        <v>2019</v>
      </c>
      <c r="G538" s="2">
        <v>10265</v>
      </c>
      <c r="H538" s="8" t="s">
        <v>12</v>
      </c>
      <c r="I538" s="8" t="s">
        <v>13</v>
      </c>
      <c r="J538" s="8" t="s">
        <v>14</v>
      </c>
      <c r="K538" t="s">
        <v>26</v>
      </c>
      <c r="L538" t="s">
        <v>261</v>
      </c>
      <c r="M538" s="2">
        <f>VALUE(MID(L538,1,FIND("@",L538)-6))</f>
        <v>81</v>
      </c>
      <c r="N538">
        <v>5</v>
      </c>
      <c r="O538" t="str">
        <f>IF(datos_limpios[[#This Row],[Seating Capacity ]]&gt;4,"SI","NO")</f>
        <v>SI</v>
      </c>
      <c r="P538">
        <v>43</v>
      </c>
    </row>
    <row r="539" spans="1:16" x14ac:dyDescent="0.3">
      <c r="A539" s="8" t="s">
        <v>23</v>
      </c>
      <c r="B539" s="8" t="s">
        <v>276</v>
      </c>
      <c r="C539" s="9">
        <v>538</v>
      </c>
      <c r="D539" s="3">
        <v>484999</v>
      </c>
      <c r="E539" s="1">
        <f>datos_limpios[[#This Row],[Price INR   ]]*0.011</f>
        <v>5334.9889999999996</v>
      </c>
      <c r="F539" s="13">
        <v>2018</v>
      </c>
      <c r="G539" s="2">
        <v>55221</v>
      </c>
      <c r="H539" s="8" t="s">
        <v>12</v>
      </c>
      <c r="I539" s="8" t="s">
        <v>13</v>
      </c>
      <c r="J539" s="8" t="s">
        <v>20</v>
      </c>
      <c r="K539" t="s">
        <v>26</v>
      </c>
      <c r="L539" t="s">
        <v>261</v>
      </c>
      <c r="M539" s="2">
        <f>VALUE(MID(L539,1,FIND("@",L539)-6))</f>
        <v>81</v>
      </c>
      <c r="N539">
        <v>5</v>
      </c>
      <c r="O539" t="str">
        <f>IF(datos_limpios[[#This Row],[Seating Capacity ]]&gt;4,"SI","NO")</f>
        <v>SI</v>
      </c>
      <c r="P539">
        <v>43</v>
      </c>
    </row>
    <row r="540" spans="1:16" x14ac:dyDescent="0.3">
      <c r="A540" s="8" t="s">
        <v>23</v>
      </c>
      <c r="B540" s="8" t="s">
        <v>283</v>
      </c>
      <c r="C540" s="9">
        <v>539</v>
      </c>
      <c r="D540" s="3">
        <v>484999</v>
      </c>
      <c r="E540" s="1">
        <f>datos_limpios[[#This Row],[Price INR   ]]*0.011</f>
        <v>5334.9889999999996</v>
      </c>
      <c r="F540" s="13">
        <v>2013</v>
      </c>
      <c r="G540" s="2">
        <v>87000</v>
      </c>
      <c r="H540" s="8" t="s">
        <v>19</v>
      </c>
      <c r="I540" s="8" t="s">
        <v>13</v>
      </c>
      <c r="J540" s="8" t="s">
        <v>20</v>
      </c>
      <c r="K540" t="s">
        <v>102</v>
      </c>
      <c r="L540" t="s">
        <v>103</v>
      </c>
      <c r="M540" s="2">
        <f>VALUE(MID(L540,1,FIND("@",L540)-6))</f>
        <v>126</v>
      </c>
      <c r="N540">
        <v>5</v>
      </c>
      <c r="O540" t="str">
        <f>IF(datos_limpios[[#This Row],[Seating Capacity ]]&gt;4,"SI","NO")</f>
        <v>SI</v>
      </c>
      <c r="P540">
        <v>45</v>
      </c>
    </row>
    <row r="541" spans="1:16" x14ac:dyDescent="0.3">
      <c r="A541" s="8" t="s">
        <v>23</v>
      </c>
      <c r="B541" s="8" t="s">
        <v>271</v>
      </c>
      <c r="C541" s="9">
        <v>540</v>
      </c>
      <c r="D541" s="3">
        <v>484999</v>
      </c>
      <c r="E541" s="1">
        <f>datos_limpios[[#This Row],[Price INR   ]]*0.011</f>
        <v>5334.9889999999996</v>
      </c>
      <c r="F541" s="13">
        <v>2013</v>
      </c>
      <c r="G541" s="2">
        <v>107000</v>
      </c>
      <c r="H541" s="8" t="s">
        <v>19</v>
      </c>
      <c r="I541" s="8" t="s">
        <v>13</v>
      </c>
      <c r="J541" s="8" t="s">
        <v>20</v>
      </c>
      <c r="K541" t="s">
        <v>102</v>
      </c>
      <c r="L541" t="s">
        <v>103</v>
      </c>
      <c r="M541" s="2">
        <f>VALUE(MID(L541,1,FIND("@",L541)-6))</f>
        <v>126</v>
      </c>
      <c r="N541">
        <v>5</v>
      </c>
      <c r="O541" t="str">
        <f>IF(datos_limpios[[#This Row],[Seating Capacity ]]&gt;4,"SI","NO")</f>
        <v>SI</v>
      </c>
      <c r="P541">
        <v>43</v>
      </c>
    </row>
    <row r="542" spans="1:16" x14ac:dyDescent="0.3">
      <c r="A542" s="8" t="s">
        <v>23</v>
      </c>
      <c r="B542" s="8" t="s">
        <v>305</v>
      </c>
      <c r="C542" s="9">
        <v>541</v>
      </c>
      <c r="D542" s="3">
        <v>490000</v>
      </c>
      <c r="E542" s="1">
        <f>datos_limpios[[#This Row],[Price INR   ]]*0.011</f>
        <v>5390</v>
      </c>
      <c r="F542" s="13">
        <v>2015</v>
      </c>
      <c r="G542" s="2">
        <v>23103</v>
      </c>
      <c r="H542" s="8" t="s">
        <v>12</v>
      </c>
      <c r="I542" s="8" t="s">
        <v>13</v>
      </c>
      <c r="J542" s="8" t="s">
        <v>20</v>
      </c>
      <c r="K542" t="s">
        <v>26</v>
      </c>
      <c r="L542" t="s">
        <v>261</v>
      </c>
      <c r="M542" s="2">
        <f>VALUE(MID(L542,1,FIND("@",L542)-6))</f>
        <v>81</v>
      </c>
      <c r="N542">
        <v>5</v>
      </c>
      <c r="O542" t="str">
        <f>IF(datos_limpios[[#This Row],[Seating Capacity ]]&gt;4,"SI","NO")</f>
        <v>SI</v>
      </c>
      <c r="P542">
        <v>43</v>
      </c>
    </row>
    <row r="543" spans="1:16" x14ac:dyDescent="0.3">
      <c r="A543" s="8" t="s">
        <v>23</v>
      </c>
      <c r="B543" s="8" t="s">
        <v>1224</v>
      </c>
      <c r="C543" s="9">
        <v>542</v>
      </c>
      <c r="D543" s="3">
        <v>490000</v>
      </c>
      <c r="E543" s="1">
        <f>datos_limpios[[#This Row],[Price INR   ]]*0.011</f>
        <v>5390</v>
      </c>
      <c r="F543" s="13">
        <v>2018</v>
      </c>
      <c r="G543" s="2">
        <v>66000</v>
      </c>
      <c r="H543" s="8" t="s">
        <v>12</v>
      </c>
      <c r="I543" s="8" t="s">
        <v>13</v>
      </c>
      <c r="J543" s="8" t="s">
        <v>20</v>
      </c>
      <c r="K543" t="s">
        <v>26</v>
      </c>
      <c r="L543" t="s">
        <v>261</v>
      </c>
      <c r="M543" s="2">
        <f>VALUE(MID(L543,1,FIND("@",L543)-6))</f>
        <v>81</v>
      </c>
      <c r="N543">
        <v>5</v>
      </c>
      <c r="O543" t="str">
        <f>IF(datos_limpios[[#This Row],[Seating Capacity ]]&gt;4,"SI","NO")</f>
        <v>SI</v>
      </c>
      <c r="P543">
        <v>43</v>
      </c>
    </row>
    <row r="544" spans="1:16" x14ac:dyDescent="0.3">
      <c r="A544" s="8" t="s">
        <v>23</v>
      </c>
      <c r="B544" s="8" t="s">
        <v>627</v>
      </c>
      <c r="C544" s="9">
        <v>543</v>
      </c>
      <c r="D544" s="3">
        <v>495000</v>
      </c>
      <c r="E544" s="1">
        <f>datos_limpios[[#This Row],[Price INR   ]]*0.011</f>
        <v>5445</v>
      </c>
      <c r="F544" s="13">
        <v>2015</v>
      </c>
      <c r="G544" s="2">
        <v>42000</v>
      </c>
      <c r="H544" s="8" t="s">
        <v>12</v>
      </c>
      <c r="I544" s="8" t="s">
        <v>13</v>
      </c>
      <c r="J544" s="8" t="s">
        <v>30</v>
      </c>
      <c r="K544" t="s">
        <v>78</v>
      </c>
      <c r="L544" t="s">
        <v>231</v>
      </c>
      <c r="M544" s="2">
        <f>VALUE(MID(L544,1,FIND("@",L544)-6))</f>
        <v>121</v>
      </c>
      <c r="N544">
        <v>5</v>
      </c>
      <c r="O544" t="str">
        <f>IF(datos_limpios[[#This Row],[Seating Capacity ]]&gt;4,"SI","NO")</f>
        <v>SI</v>
      </c>
      <c r="P544">
        <v>43</v>
      </c>
    </row>
    <row r="545" spans="1:16" x14ac:dyDescent="0.3">
      <c r="A545" s="8" t="s">
        <v>23</v>
      </c>
      <c r="B545" s="8" t="s">
        <v>827</v>
      </c>
      <c r="C545" s="9">
        <v>544</v>
      </c>
      <c r="D545" s="3">
        <v>495000</v>
      </c>
      <c r="E545" s="1">
        <f>datos_limpios[[#This Row],[Price INR   ]]*0.011</f>
        <v>5445</v>
      </c>
      <c r="F545" s="13">
        <v>2017</v>
      </c>
      <c r="G545" s="2">
        <v>47000</v>
      </c>
      <c r="H545" s="8" t="s">
        <v>12</v>
      </c>
      <c r="I545" s="8" t="s">
        <v>13</v>
      </c>
      <c r="J545" s="8" t="s">
        <v>77</v>
      </c>
      <c r="K545" t="s">
        <v>26</v>
      </c>
      <c r="L545" t="s">
        <v>261</v>
      </c>
      <c r="M545" s="2">
        <f>VALUE(MID(L545,1,FIND("@",L545)-6))</f>
        <v>81</v>
      </c>
      <c r="N545">
        <v>5</v>
      </c>
      <c r="O545" t="str">
        <f>IF(datos_limpios[[#This Row],[Seating Capacity ]]&gt;4,"SI","NO")</f>
        <v>SI</v>
      </c>
      <c r="P545">
        <v>43</v>
      </c>
    </row>
    <row r="546" spans="1:16" x14ac:dyDescent="0.3">
      <c r="A546" s="8" t="s">
        <v>23</v>
      </c>
      <c r="B546" s="8" t="s">
        <v>922</v>
      </c>
      <c r="C546" s="9">
        <v>545</v>
      </c>
      <c r="D546" s="3">
        <v>495000</v>
      </c>
      <c r="E546" s="1">
        <f>datos_limpios[[#This Row],[Price INR   ]]*0.011</f>
        <v>5445</v>
      </c>
      <c r="F546" s="13">
        <v>2017</v>
      </c>
      <c r="G546" s="2">
        <v>30000</v>
      </c>
      <c r="H546" s="8" t="s">
        <v>12</v>
      </c>
      <c r="I546" s="8" t="s">
        <v>13</v>
      </c>
      <c r="J546" s="8" t="s">
        <v>62</v>
      </c>
      <c r="K546" t="s">
        <v>26</v>
      </c>
      <c r="L546" t="s">
        <v>261</v>
      </c>
      <c r="M546" s="2">
        <f>VALUE(MID(L546,1,FIND("@",L546)-6))</f>
        <v>81</v>
      </c>
      <c r="N546">
        <v>5</v>
      </c>
      <c r="O546" t="str">
        <f>IF(datos_limpios[[#This Row],[Seating Capacity ]]&gt;4,"SI","NO")</f>
        <v>SI</v>
      </c>
      <c r="P546">
        <v>43</v>
      </c>
    </row>
    <row r="547" spans="1:16" x14ac:dyDescent="0.3">
      <c r="A547" s="8" t="s">
        <v>23</v>
      </c>
      <c r="B547" s="8" t="s">
        <v>276</v>
      </c>
      <c r="C547" s="9">
        <v>546</v>
      </c>
      <c r="D547" s="3">
        <v>495000</v>
      </c>
      <c r="E547" s="1">
        <f>datos_limpios[[#This Row],[Price INR   ]]*0.011</f>
        <v>5445</v>
      </c>
      <c r="F547" s="13">
        <v>2018</v>
      </c>
      <c r="G547" s="2">
        <v>45000</v>
      </c>
      <c r="H547" s="8" t="s">
        <v>12</v>
      </c>
      <c r="I547" s="8" t="s">
        <v>13</v>
      </c>
      <c r="J547" s="8" t="s">
        <v>20</v>
      </c>
      <c r="K547" t="s">
        <v>26</v>
      </c>
      <c r="L547" t="s">
        <v>261</v>
      </c>
      <c r="M547" s="2">
        <f>VALUE(MID(L547,1,FIND("@",L547)-6))</f>
        <v>81</v>
      </c>
      <c r="N547">
        <v>5</v>
      </c>
      <c r="O547" t="str">
        <f>IF(datos_limpios[[#This Row],[Seating Capacity ]]&gt;4,"SI","NO")</f>
        <v>SI</v>
      </c>
      <c r="P547">
        <v>43</v>
      </c>
    </row>
    <row r="548" spans="1:16" x14ac:dyDescent="0.3">
      <c r="A548" s="8" t="s">
        <v>23</v>
      </c>
      <c r="B548" s="8" t="s">
        <v>1134</v>
      </c>
      <c r="C548" s="9">
        <v>547</v>
      </c>
      <c r="D548" s="3">
        <v>495000</v>
      </c>
      <c r="E548" s="1">
        <f>datos_limpios[[#This Row],[Price INR   ]]*0.011</f>
        <v>5445</v>
      </c>
      <c r="F548" s="13">
        <v>2019</v>
      </c>
      <c r="G548" s="2">
        <v>46000</v>
      </c>
      <c r="H548" s="8" t="s">
        <v>89</v>
      </c>
      <c r="I548" s="8" t="s">
        <v>13</v>
      </c>
      <c r="J548" s="8" t="s">
        <v>77</v>
      </c>
      <c r="K548" t="s">
        <v>84</v>
      </c>
      <c r="L548" t="s">
        <v>411</v>
      </c>
      <c r="M548" s="2">
        <f>VALUE(MID(L548,1,FIND("@",L548)-6))</f>
        <v>58</v>
      </c>
      <c r="N548">
        <v>5</v>
      </c>
      <c r="O548" t="str">
        <f>IF(datos_limpios[[#This Row],[Seating Capacity ]]&gt;4,"SI","NO")</f>
        <v>SI</v>
      </c>
      <c r="P548">
        <v>60</v>
      </c>
    </row>
    <row r="549" spans="1:16" x14ac:dyDescent="0.3">
      <c r="A549" s="8" t="s">
        <v>23</v>
      </c>
      <c r="B549" s="8" t="s">
        <v>860</v>
      </c>
      <c r="C549" s="9">
        <v>548</v>
      </c>
      <c r="D549" s="3">
        <v>509999</v>
      </c>
      <c r="E549" s="1">
        <f>datos_limpios[[#This Row],[Price INR   ]]*0.011</f>
        <v>5609.9889999999996</v>
      </c>
      <c r="F549" s="13">
        <v>2019</v>
      </c>
      <c r="G549" s="2">
        <v>30858</v>
      </c>
      <c r="H549" s="8" t="s">
        <v>12</v>
      </c>
      <c r="I549" s="8" t="s">
        <v>13</v>
      </c>
      <c r="J549" s="8" t="s">
        <v>77</v>
      </c>
      <c r="K549" t="s">
        <v>84</v>
      </c>
      <c r="L549" t="s">
        <v>85</v>
      </c>
      <c r="M549" s="2">
        <f>VALUE(MID(L549,1,FIND("@",L549)-6))</f>
        <v>68</v>
      </c>
      <c r="N549">
        <v>5</v>
      </c>
      <c r="O549" t="str">
        <f>IF(datos_limpios[[#This Row],[Seating Capacity ]]&gt;4,"SI","NO")</f>
        <v>SI</v>
      </c>
      <c r="P549">
        <v>35</v>
      </c>
    </row>
    <row r="550" spans="1:16" x14ac:dyDescent="0.3">
      <c r="A550" s="8" t="s">
        <v>23</v>
      </c>
      <c r="B550" s="8" t="s">
        <v>1401</v>
      </c>
      <c r="C550" s="9">
        <v>549</v>
      </c>
      <c r="D550" s="3">
        <v>515000</v>
      </c>
      <c r="E550" s="1">
        <f>datos_limpios[[#This Row],[Price INR   ]]*0.011</f>
        <v>5665</v>
      </c>
      <c r="F550" s="13">
        <v>2022</v>
      </c>
      <c r="G550" s="2">
        <v>3395</v>
      </c>
      <c r="H550" s="8" t="s">
        <v>12</v>
      </c>
      <c r="I550" s="8" t="s">
        <v>13</v>
      </c>
      <c r="J550" s="8" t="s">
        <v>713</v>
      </c>
      <c r="K550" t="s">
        <v>84</v>
      </c>
      <c r="L550" t="s">
        <v>85</v>
      </c>
      <c r="M550" s="2">
        <f>VALUE(MID(L550,1,FIND("@",L550)-6))</f>
        <v>68</v>
      </c>
      <c r="N550">
        <v>5</v>
      </c>
      <c r="O550" t="str">
        <f>IF(datos_limpios[[#This Row],[Seating Capacity ]]&gt;4,"SI","NO")</f>
        <v>SI</v>
      </c>
      <c r="P550">
        <v>35</v>
      </c>
    </row>
    <row r="551" spans="1:16" x14ac:dyDescent="0.3">
      <c r="A551" s="8" t="s">
        <v>23</v>
      </c>
      <c r="B551" s="8" t="s">
        <v>95</v>
      </c>
      <c r="C551" s="9">
        <v>550</v>
      </c>
      <c r="D551" s="3">
        <v>525000</v>
      </c>
      <c r="E551" s="1">
        <f>datos_limpios[[#This Row],[Price INR   ]]*0.011</f>
        <v>5775</v>
      </c>
      <c r="F551" s="13">
        <v>2015</v>
      </c>
      <c r="G551" s="2">
        <v>68397</v>
      </c>
      <c r="H551" s="8" t="s">
        <v>12</v>
      </c>
      <c r="I551" s="8" t="s">
        <v>13</v>
      </c>
      <c r="J551" s="8" t="s">
        <v>131</v>
      </c>
      <c r="K551" t="s">
        <v>26</v>
      </c>
      <c r="L551" t="s">
        <v>31</v>
      </c>
      <c r="M551" s="2">
        <f>VALUE(MID(L551,1,FIND("@",L551)-6))</f>
        <v>82</v>
      </c>
      <c r="N551">
        <v>5</v>
      </c>
      <c r="O551" t="str">
        <f>IF(datos_limpios[[#This Row],[Seating Capacity ]]&gt;4,"SI","NO")</f>
        <v>SI</v>
      </c>
      <c r="P551">
        <v>45</v>
      </c>
    </row>
    <row r="552" spans="1:16" x14ac:dyDescent="0.3">
      <c r="A552" s="8" t="s">
        <v>23</v>
      </c>
      <c r="B552" s="8" t="s">
        <v>229</v>
      </c>
      <c r="C552" s="9">
        <v>551</v>
      </c>
      <c r="D552" s="3">
        <v>525000</v>
      </c>
      <c r="E552" s="1">
        <f>datos_limpios[[#This Row],[Price INR   ]]*0.011</f>
        <v>5775</v>
      </c>
      <c r="F552" s="13">
        <v>2015</v>
      </c>
      <c r="G552" s="2">
        <v>68766</v>
      </c>
      <c r="H552" s="8" t="s">
        <v>12</v>
      </c>
      <c r="I552" s="8" t="s">
        <v>13</v>
      </c>
      <c r="J552" s="8" t="s">
        <v>77</v>
      </c>
      <c r="K552" t="s">
        <v>26</v>
      </c>
      <c r="L552" t="s">
        <v>31</v>
      </c>
      <c r="M552" s="2">
        <f>VALUE(MID(L552,1,FIND("@",L552)-6))</f>
        <v>82</v>
      </c>
      <c r="N552">
        <v>5</v>
      </c>
      <c r="O552" t="str">
        <f>IF(datos_limpios[[#This Row],[Seating Capacity ]]&gt;4,"SI","NO")</f>
        <v>SI</v>
      </c>
      <c r="P552">
        <v>45</v>
      </c>
    </row>
    <row r="553" spans="1:16" x14ac:dyDescent="0.3">
      <c r="A553" s="8" t="s">
        <v>23</v>
      </c>
      <c r="B553" s="8" t="s">
        <v>604</v>
      </c>
      <c r="C553" s="9">
        <v>552</v>
      </c>
      <c r="D553" s="3">
        <v>525000</v>
      </c>
      <c r="E553" s="1">
        <f>datos_limpios[[#This Row],[Price INR   ]]*0.011</f>
        <v>5775</v>
      </c>
      <c r="F553" s="13">
        <v>2018</v>
      </c>
      <c r="G553" s="2">
        <v>78900</v>
      </c>
      <c r="H553" s="8" t="s">
        <v>19</v>
      </c>
      <c r="I553" s="8" t="s">
        <v>13</v>
      </c>
      <c r="J553" s="8" t="s">
        <v>77</v>
      </c>
      <c r="K553" t="s">
        <v>605</v>
      </c>
      <c r="L553" t="s">
        <v>606</v>
      </c>
      <c r="M553" s="2">
        <f>VALUE(MID(L553,1,FIND("@",L553)-6))</f>
        <v>71</v>
      </c>
      <c r="N553">
        <v>5</v>
      </c>
      <c r="O553" t="str">
        <f>IF(datos_limpios[[#This Row],[Seating Capacity ]]&gt;4,"SI","NO")</f>
        <v>SI</v>
      </c>
      <c r="P553">
        <v>43</v>
      </c>
    </row>
    <row r="554" spans="1:16" x14ac:dyDescent="0.3">
      <c r="A554" s="8" t="s">
        <v>23</v>
      </c>
      <c r="B554" s="8" t="s">
        <v>1254</v>
      </c>
      <c r="C554" s="9">
        <v>553</v>
      </c>
      <c r="D554" s="3">
        <v>525000</v>
      </c>
      <c r="E554" s="1">
        <f>datos_limpios[[#This Row],[Price INR   ]]*0.011</f>
        <v>5775</v>
      </c>
      <c r="F554" s="13">
        <v>2014</v>
      </c>
      <c r="G554" s="2">
        <v>64000</v>
      </c>
      <c r="H554" s="8" t="s">
        <v>19</v>
      </c>
      <c r="I554" s="8" t="s">
        <v>13</v>
      </c>
      <c r="J554" s="8" t="s">
        <v>20</v>
      </c>
      <c r="K554" t="s">
        <v>102</v>
      </c>
      <c r="L554" t="s">
        <v>103</v>
      </c>
      <c r="M554" s="2">
        <f>VALUE(MID(L554,1,FIND("@",L554)-6))</f>
        <v>126</v>
      </c>
      <c r="N554">
        <v>5</v>
      </c>
      <c r="O554" t="str">
        <f>IF(datos_limpios[[#This Row],[Seating Capacity ]]&gt;4,"SI","NO")</f>
        <v>SI</v>
      </c>
      <c r="P554">
        <v>43</v>
      </c>
    </row>
    <row r="555" spans="1:16" x14ac:dyDescent="0.3">
      <c r="A555" s="8" t="s">
        <v>23</v>
      </c>
      <c r="B555" s="8" t="s">
        <v>761</v>
      </c>
      <c r="C555" s="9">
        <v>554</v>
      </c>
      <c r="D555" s="3">
        <v>529000</v>
      </c>
      <c r="E555" s="1">
        <f>datos_limpios[[#This Row],[Price INR   ]]*0.011</f>
        <v>5819</v>
      </c>
      <c r="F555" s="13">
        <v>2015</v>
      </c>
      <c r="G555" s="2">
        <v>57654</v>
      </c>
      <c r="H555" s="8" t="s">
        <v>12</v>
      </c>
      <c r="I555" s="8" t="s">
        <v>13</v>
      </c>
      <c r="J555" s="8" t="s">
        <v>20</v>
      </c>
      <c r="K555" t="s">
        <v>26</v>
      </c>
      <c r="L555" t="s">
        <v>31</v>
      </c>
      <c r="M555" s="2">
        <f>VALUE(MID(L555,1,FIND("@",L555)-6))</f>
        <v>82</v>
      </c>
      <c r="N555">
        <v>5</v>
      </c>
      <c r="O555" t="str">
        <f>IF(datos_limpios[[#This Row],[Seating Capacity ]]&gt;4,"SI","NO")</f>
        <v>SI</v>
      </c>
      <c r="P555">
        <v>45</v>
      </c>
    </row>
    <row r="556" spans="1:16" x14ac:dyDescent="0.3">
      <c r="A556" s="8" t="s">
        <v>23</v>
      </c>
      <c r="B556" s="8" t="s">
        <v>718</v>
      </c>
      <c r="C556" s="9">
        <v>555</v>
      </c>
      <c r="D556" s="3">
        <v>535000</v>
      </c>
      <c r="E556" s="1">
        <f>datos_limpios[[#This Row],[Price INR   ]]*0.011</f>
        <v>5885</v>
      </c>
      <c r="F556" s="13">
        <v>2016</v>
      </c>
      <c r="G556" s="2">
        <v>58339</v>
      </c>
      <c r="H556" s="8" t="s">
        <v>19</v>
      </c>
      <c r="I556" s="8" t="s">
        <v>13</v>
      </c>
      <c r="J556" s="8" t="s">
        <v>14</v>
      </c>
      <c r="K556" t="s">
        <v>322</v>
      </c>
      <c r="L556" t="s">
        <v>140</v>
      </c>
      <c r="M556" s="2">
        <f>VALUE(MID(L556,1,FIND("@",L556)-6))</f>
        <v>89</v>
      </c>
      <c r="N556">
        <v>5</v>
      </c>
      <c r="O556" t="str">
        <f>IF(datos_limpios[[#This Row],[Seating Capacity ]]&gt;4,"SI","NO")</f>
        <v>SI</v>
      </c>
      <c r="P556">
        <v>45</v>
      </c>
    </row>
    <row r="557" spans="1:16" x14ac:dyDescent="0.3">
      <c r="A557" s="8" t="s">
        <v>23</v>
      </c>
      <c r="B557" s="8" t="s">
        <v>271</v>
      </c>
      <c r="C557" s="9">
        <v>556</v>
      </c>
      <c r="D557" s="3">
        <v>540000</v>
      </c>
      <c r="E557" s="1">
        <f>datos_limpios[[#This Row],[Price INR   ]]*0.011</f>
        <v>5940</v>
      </c>
      <c r="F557" s="13">
        <v>2014</v>
      </c>
      <c r="G557" s="2">
        <v>86000</v>
      </c>
      <c r="H557" s="8" t="s">
        <v>19</v>
      </c>
      <c r="I557" s="8" t="s">
        <v>13</v>
      </c>
      <c r="J557" s="8" t="s">
        <v>77</v>
      </c>
      <c r="K557" t="s">
        <v>102</v>
      </c>
      <c r="L557" t="s">
        <v>103</v>
      </c>
      <c r="M557" s="2">
        <f>VALUE(MID(L557,1,FIND("@",L557)-6))</f>
        <v>126</v>
      </c>
      <c r="N557">
        <v>5</v>
      </c>
      <c r="O557" t="str">
        <f>IF(datos_limpios[[#This Row],[Seating Capacity ]]&gt;4,"SI","NO")</f>
        <v>SI</v>
      </c>
      <c r="P557">
        <v>43</v>
      </c>
    </row>
    <row r="558" spans="1:16" x14ac:dyDescent="0.3">
      <c r="A558" s="8" t="s">
        <v>23</v>
      </c>
      <c r="B558" s="8" t="s">
        <v>562</v>
      </c>
      <c r="C558" s="9">
        <v>557</v>
      </c>
      <c r="D558" s="3">
        <v>540000</v>
      </c>
      <c r="E558" s="1">
        <f>datos_limpios[[#This Row],[Price INR   ]]*0.011</f>
        <v>5940</v>
      </c>
      <c r="F558" s="13">
        <v>2015</v>
      </c>
      <c r="G558" s="2">
        <v>59000</v>
      </c>
      <c r="H558" s="8" t="s">
        <v>19</v>
      </c>
      <c r="I558" s="8" t="s">
        <v>13</v>
      </c>
      <c r="J558" s="8" t="s">
        <v>77</v>
      </c>
      <c r="K558" t="s">
        <v>322</v>
      </c>
      <c r="L558" t="s">
        <v>140</v>
      </c>
      <c r="M558" s="2">
        <f>VALUE(MID(L558,1,FIND("@",L558)-6))</f>
        <v>89</v>
      </c>
      <c r="N558">
        <v>5</v>
      </c>
      <c r="O558" t="str">
        <f>IF(datos_limpios[[#This Row],[Seating Capacity ]]&gt;4,"SI","NO")</f>
        <v>SI</v>
      </c>
      <c r="P558">
        <v>45</v>
      </c>
    </row>
    <row r="559" spans="1:16" x14ac:dyDescent="0.3">
      <c r="A559" s="8" t="s">
        <v>23</v>
      </c>
      <c r="B559" s="8" t="s">
        <v>467</v>
      </c>
      <c r="C559" s="9">
        <v>558</v>
      </c>
      <c r="D559" s="3">
        <v>545000</v>
      </c>
      <c r="E559" s="1">
        <f>datos_limpios[[#This Row],[Price INR   ]]*0.011</f>
        <v>5995</v>
      </c>
      <c r="F559" s="13">
        <v>2014</v>
      </c>
      <c r="G559" s="2">
        <v>56000</v>
      </c>
      <c r="H559" s="8" t="s">
        <v>12</v>
      </c>
      <c r="I559" s="8" t="s">
        <v>13</v>
      </c>
      <c r="J559" s="8" t="s">
        <v>30</v>
      </c>
      <c r="K559" t="s">
        <v>78</v>
      </c>
      <c r="L559" t="s">
        <v>231</v>
      </c>
      <c r="M559" s="2">
        <f>VALUE(MID(L559,1,FIND("@",L559)-6))</f>
        <v>121</v>
      </c>
      <c r="N559">
        <v>5</v>
      </c>
      <c r="O559" t="str">
        <f>IF(datos_limpios[[#This Row],[Seating Capacity ]]&gt;4,"SI","NO")</f>
        <v>SI</v>
      </c>
      <c r="P559">
        <v>43</v>
      </c>
    </row>
    <row r="560" spans="1:16" x14ac:dyDescent="0.3">
      <c r="A560" s="8" t="s">
        <v>23</v>
      </c>
      <c r="B560" s="8" t="s">
        <v>276</v>
      </c>
      <c r="C560" s="9">
        <v>559</v>
      </c>
      <c r="D560" s="3">
        <v>545000</v>
      </c>
      <c r="E560" s="1">
        <f>datos_limpios[[#This Row],[Price INR   ]]*0.011</f>
        <v>5995</v>
      </c>
      <c r="F560" s="13">
        <v>2019</v>
      </c>
      <c r="G560" s="2">
        <v>28000</v>
      </c>
      <c r="H560" s="8" t="s">
        <v>12</v>
      </c>
      <c r="I560" s="8" t="s">
        <v>13</v>
      </c>
      <c r="J560" s="8" t="s">
        <v>20</v>
      </c>
      <c r="K560" t="s">
        <v>26</v>
      </c>
      <c r="L560" t="s">
        <v>261</v>
      </c>
      <c r="M560" s="2">
        <f>VALUE(MID(L560,1,FIND("@",L560)-6))</f>
        <v>81</v>
      </c>
      <c r="N560">
        <v>5</v>
      </c>
      <c r="O560" t="str">
        <f>IF(datos_limpios[[#This Row],[Seating Capacity ]]&gt;4,"SI","NO")</f>
        <v>SI</v>
      </c>
      <c r="P560">
        <v>43</v>
      </c>
    </row>
    <row r="561" spans="1:16" x14ac:dyDescent="0.3">
      <c r="A561" s="8" t="s">
        <v>23</v>
      </c>
      <c r="B561" s="8" t="s">
        <v>1014</v>
      </c>
      <c r="C561" s="9">
        <v>560</v>
      </c>
      <c r="D561" s="3">
        <v>545000</v>
      </c>
      <c r="E561" s="1">
        <f>datos_limpios[[#This Row],[Price INR   ]]*0.011</f>
        <v>5995</v>
      </c>
      <c r="F561" s="13">
        <v>2016</v>
      </c>
      <c r="G561" s="2">
        <v>70500</v>
      </c>
      <c r="H561" s="8" t="s">
        <v>19</v>
      </c>
      <c r="I561" s="8" t="s">
        <v>13</v>
      </c>
      <c r="J561" s="8" t="s">
        <v>20</v>
      </c>
      <c r="K561" t="s">
        <v>322</v>
      </c>
      <c r="L561" t="s">
        <v>140</v>
      </c>
      <c r="M561" s="2">
        <f>VALUE(MID(L561,1,FIND("@",L561)-6))</f>
        <v>89</v>
      </c>
      <c r="N561">
        <v>5</v>
      </c>
      <c r="O561" t="str">
        <f>IF(datos_limpios[[#This Row],[Seating Capacity ]]&gt;4,"SI","NO")</f>
        <v>SI</v>
      </c>
      <c r="P561">
        <v>45</v>
      </c>
    </row>
    <row r="562" spans="1:16" x14ac:dyDescent="0.3">
      <c r="A562" s="8" t="s">
        <v>23</v>
      </c>
      <c r="B562" s="8" t="s">
        <v>1086</v>
      </c>
      <c r="C562" s="9">
        <v>561</v>
      </c>
      <c r="D562" s="3">
        <v>545000</v>
      </c>
      <c r="E562" s="1">
        <f>datos_limpios[[#This Row],[Price INR   ]]*0.011</f>
        <v>5995</v>
      </c>
      <c r="F562" s="13">
        <v>2013</v>
      </c>
      <c r="G562" s="2">
        <v>63000</v>
      </c>
      <c r="H562" s="8" t="s">
        <v>12</v>
      </c>
      <c r="I562" s="8" t="s">
        <v>40</v>
      </c>
      <c r="J562" s="8" t="s">
        <v>77</v>
      </c>
      <c r="K562" t="s">
        <v>516</v>
      </c>
      <c r="L562" t="s">
        <v>517</v>
      </c>
      <c r="M562" s="2">
        <f>VALUE(MID(L562,1,FIND("@",L562)-6))</f>
        <v>147</v>
      </c>
      <c r="N562">
        <v>5</v>
      </c>
      <c r="O562" t="str">
        <f>IF(datos_limpios[[#This Row],[Seating Capacity ]]&gt;4,"SI","NO")</f>
        <v>SI</v>
      </c>
      <c r="P562">
        <v>56</v>
      </c>
    </row>
    <row r="563" spans="1:16" x14ac:dyDescent="0.3">
      <c r="A563" s="8" t="s">
        <v>23</v>
      </c>
      <c r="B563" s="8" t="s">
        <v>271</v>
      </c>
      <c r="C563" s="9">
        <v>562</v>
      </c>
      <c r="D563" s="3">
        <v>545000</v>
      </c>
      <c r="E563" s="1">
        <f>datos_limpios[[#This Row],[Price INR   ]]*0.011</f>
        <v>5995</v>
      </c>
      <c r="F563" s="13">
        <v>2014</v>
      </c>
      <c r="G563" s="2">
        <v>74000</v>
      </c>
      <c r="H563" s="8" t="s">
        <v>19</v>
      </c>
      <c r="I563" s="8" t="s">
        <v>13</v>
      </c>
      <c r="J563" s="8" t="s">
        <v>14</v>
      </c>
      <c r="K563" t="s">
        <v>102</v>
      </c>
      <c r="L563" t="s">
        <v>103</v>
      </c>
      <c r="M563" s="2">
        <f>VALUE(MID(L563,1,FIND("@",L563)-6))</f>
        <v>126</v>
      </c>
      <c r="N563">
        <v>5</v>
      </c>
      <c r="O563" t="str">
        <f>IF(datos_limpios[[#This Row],[Seating Capacity ]]&gt;4,"SI","NO")</f>
        <v>SI</v>
      </c>
      <c r="P563">
        <v>43</v>
      </c>
    </row>
    <row r="564" spans="1:16" x14ac:dyDescent="0.3">
      <c r="A564" s="8" t="s">
        <v>23</v>
      </c>
      <c r="B564" s="8" t="s">
        <v>1134</v>
      </c>
      <c r="C564" s="9">
        <v>563</v>
      </c>
      <c r="D564" s="3">
        <v>545000</v>
      </c>
      <c r="E564" s="1">
        <f>datos_limpios[[#This Row],[Price INR   ]]*0.011</f>
        <v>5995</v>
      </c>
      <c r="F564" s="13">
        <v>2019</v>
      </c>
      <c r="G564" s="2">
        <v>43000</v>
      </c>
      <c r="H564" s="8" t="s">
        <v>89</v>
      </c>
      <c r="I564" s="8" t="s">
        <v>13</v>
      </c>
      <c r="J564" s="8" t="s">
        <v>77</v>
      </c>
      <c r="K564" t="s">
        <v>84</v>
      </c>
      <c r="L564" t="s">
        <v>411</v>
      </c>
      <c r="M564" s="2">
        <f>VALUE(MID(L564,1,FIND("@",L564)-6))</f>
        <v>58</v>
      </c>
      <c r="N564">
        <v>5</v>
      </c>
      <c r="O564" t="str">
        <f>IF(datos_limpios[[#This Row],[Seating Capacity ]]&gt;4,"SI","NO")</f>
        <v>SI</v>
      </c>
      <c r="P564">
        <v>60</v>
      </c>
    </row>
    <row r="565" spans="1:16" x14ac:dyDescent="0.3">
      <c r="A565" s="8" t="s">
        <v>23</v>
      </c>
      <c r="B565" s="8" t="s">
        <v>298</v>
      </c>
      <c r="C565" s="9">
        <v>564</v>
      </c>
      <c r="D565" s="3">
        <v>547000</v>
      </c>
      <c r="E565" s="1">
        <f>datos_limpios[[#This Row],[Price INR   ]]*0.011</f>
        <v>6017</v>
      </c>
      <c r="F565" s="13">
        <v>2013</v>
      </c>
      <c r="G565" s="2">
        <v>36623</v>
      </c>
      <c r="H565" s="8" t="s">
        <v>12</v>
      </c>
      <c r="I565" s="8" t="s">
        <v>13</v>
      </c>
      <c r="J565" s="8" t="s">
        <v>77</v>
      </c>
      <c r="K565" t="s">
        <v>78</v>
      </c>
      <c r="L565" t="s">
        <v>231</v>
      </c>
      <c r="M565" s="2">
        <f>VALUE(MID(L565,1,FIND("@",L565)-6))</f>
        <v>121</v>
      </c>
      <c r="N565">
        <v>5</v>
      </c>
      <c r="O565" t="str">
        <f>IF(datos_limpios[[#This Row],[Seating Capacity ]]&gt;4,"SI","NO")</f>
        <v>SI</v>
      </c>
      <c r="P565">
        <v>43</v>
      </c>
    </row>
    <row r="566" spans="1:16" x14ac:dyDescent="0.3">
      <c r="A566" s="8" t="s">
        <v>23</v>
      </c>
      <c r="B566" s="8" t="s">
        <v>95</v>
      </c>
      <c r="C566" s="9">
        <v>565</v>
      </c>
      <c r="D566" s="3">
        <v>549000</v>
      </c>
      <c r="E566" s="1">
        <f>datos_limpios[[#This Row],[Price INR   ]]*0.011</f>
        <v>6039</v>
      </c>
      <c r="F566" s="13">
        <v>2015</v>
      </c>
      <c r="G566" s="2">
        <v>61900</v>
      </c>
      <c r="H566" s="8" t="s">
        <v>12</v>
      </c>
      <c r="I566" s="8" t="s">
        <v>13</v>
      </c>
      <c r="J566" s="8" t="s">
        <v>77</v>
      </c>
      <c r="K566" t="s">
        <v>26</v>
      </c>
      <c r="L566" t="s">
        <v>31</v>
      </c>
      <c r="M566" s="2">
        <f>VALUE(MID(L566,1,FIND("@",L566)-6))</f>
        <v>82</v>
      </c>
      <c r="N566">
        <v>5</v>
      </c>
      <c r="O566" t="str">
        <f>IF(datos_limpios[[#This Row],[Seating Capacity ]]&gt;4,"SI","NO")</f>
        <v>SI</v>
      </c>
      <c r="P566">
        <v>45</v>
      </c>
    </row>
    <row r="567" spans="1:16" x14ac:dyDescent="0.3">
      <c r="A567" s="8" t="s">
        <v>23</v>
      </c>
      <c r="B567" s="8" t="s">
        <v>1065</v>
      </c>
      <c r="C567" s="9">
        <v>566</v>
      </c>
      <c r="D567" s="3">
        <v>549000</v>
      </c>
      <c r="E567" s="1">
        <f>datos_limpios[[#This Row],[Price INR   ]]*0.011</f>
        <v>6039</v>
      </c>
      <c r="F567" s="13">
        <v>2018</v>
      </c>
      <c r="G567" s="2">
        <v>53000</v>
      </c>
      <c r="H567" s="8" t="s">
        <v>12</v>
      </c>
      <c r="I567" s="8" t="s">
        <v>40</v>
      </c>
      <c r="J567" s="8" t="s">
        <v>20</v>
      </c>
      <c r="K567" t="s">
        <v>26</v>
      </c>
      <c r="L567" t="s">
        <v>261</v>
      </c>
      <c r="M567" s="2">
        <f>VALUE(MID(L567,1,FIND("@",L567)-6))</f>
        <v>81</v>
      </c>
      <c r="N567">
        <v>5</v>
      </c>
      <c r="O567" t="str">
        <f>IF(datos_limpios[[#This Row],[Seating Capacity ]]&gt;4,"SI","NO")</f>
        <v>SI</v>
      </c>
      <c r="P567">
        <v>43</v>
      </c>
    </row>
    <row r="568" spans="1:16" x14ac:dyDescent="0.3">
      <c r="A568" s="8" t="s">
        <v>23</v>
      </c>
      <c r="B568" s="8" t="s">
        <v>317</v>
      </c>
      <c r="C568" s="9">
        <v>567</v>
      </c>
      <c r="D568" s="3">
        <v>550000</v>
      </c>
      <c r="E568" s="1">
        <f>datos_limpios[[#This Row],[Price INR   ]]*0.011</f>
        <v>6050</v>
      </c>
      <c r="F568" s="13">
        <v>2017</v>
      </c>
      <c r="G568" s="2">
        <v>61400</v>
      </c>
      <c r="H568" s="8" t="s">
        <v>12</v>
      </c>
      <c r="I568" s="8" t="s">
        <v>13</v>
      </c>
      <c r="J568" s="8" t="s">
        <v>14</v>
      </c>
      <c r="K568" t="s">
        <v>26</v>
      </c>
      <c r="L568" t="s">
        <v>261</v>
      </c>
      <c r="M568" s="2">
        <f>VALUE(MID(L568,1,FIND("@",L568)-6))</f>
        <v>81</v>
      </c>
      <c r="N568">
        <v>5</v>
      </c>
      <c r="O568" t="str">
        <f>IF(datos_limpios[[#This Row],[Seating Capacity ]]&gt;4,"SI","NO")</f>
        <v>SI</v>
      </c>
      <c r="P568">
        <v>43</v>
      </c>
    </row>
    <row r="569" spans="1:16" x14ac:dyDescent="0.3">
      <c r="A569" s="8" t="s">
        <v>23</v>
      </c>
      <c r="B569" s="8" t="s">
        <v>893</v>
      </c>
      <c r="C569" s="9">
        <v>568</v>
      </c>
      <c r="D569" s="3">
        <v>550000</v>
      </c>
      <c r="E569" s="1">
        <f>datos_limpios[[#This Row],[Price INR   ]]*0.011</f>
        <v>6050</v>
      </c>
      <c r="F569" s="13">
        <v>2014</v>
      </c>
      <c r="G569" s="2">
        <v>75000</v>
      </c>
      <c r="H569" s="8" t="s">
        <v>19</v>
      </c>
      <c r="I569" s="8" t="s">
        <v>13</v>
      </c>
      <c r="J569" s="8" t="s">
        <v>25</v>
      </c>
      <c r="K569" t="s">
        <v>322</v>
      </c>
      <c r="L569" t="s">
        <v>1526</v>
      </c>
      <c r="M569" s="2">
        <f>VALUE(MID(L569,1,FIND("@",L569)-6))</f>
        <v>90</v>
      </c>
      <c r="N569">
        <v>5</v>
      </c>
      <c r="O569" t="str">
        <f>IF(datos_limpios[[#This Row],[Seating Capacity ]]&gt;4,"SI","NO")</f>
        <v>SI</v>
      </c>
      <c r="P569">
        <v>45</v>
      </c>
    </row>
    <row r="570" spans="1:16" x14ac:dyDescent="0.3">
      <c r="A570" s="8" t="s">
        <v>23</v>
      </c>
      <c r="B570" s="8" t="s">
        <v>1173</v>
      </c>
      <c r="C570" s="9">
        <v>569</v>
      </c>
      <c r="D570" s="3">
        <v>550000</v>
      </c>
      <c r="E570" s="1">
        <f>datos_limpios[[#This Row],[Price INR   ]]*0.011</f>
        <v>6050</v>
      </c>
      <c r="F570" s="13">
        <v>2015</v>
      </c>
      <c r="G570" s="2">
        <v>58078</v>
      </c>
      <c r="H570" s="8" t="s">
        <v>12</v>
      </c>
      <c r="I570" s="8" t="s">
        <v>13</v>
      </c>
      <c r="J570" s="8" t="s">
        <v>77</v>
      </c>
      <c r="K570" t="s">
        <v>26</v>
      </c>
      <c r="L570" t="s">
        <v>261</v>
      </c>
      <c r="M570" s="2">
        <f>VALUE(MID(L570,1,FIND("@",L570)-6))</f>
        <v>81</v>
      </c>
      <c r="N570">
        <v>5</v>
      </c>
      <c r="O570" t="str">
        <f>IF(datos_limpios[[#This Row],[Seating Capacity ]]&gt;4,"SI","NO")</f>
        <v>SI</v>
      </c>
      <c r="P570">
        <v>43</v>
      </c>
    </row>
    <row r="571" spans="1:16" x14ac:dyDescent="0.3">
      <c r="A571" s="8" t="s">
        <v>23</v>
      </c>
      <c r="B571" s="8" t="s">
        <v>896</v>
      </c>
      <c r="C571" s="9">
        <v>570</v>
      </c>
      <c r="D571" s="3">
        <v>550000</v>
      </c>
      <c r="E571" s="1">
        <f>datos_limpios[[#This Row],[Price INR   ]]*0.011</f>
        <v>6050</v>
      </c>
      <c r="F571" s="13">
        <v>2018</v>
      </c>
      <c r="G571" s="2">
        <v>56000</v>
      </c>
      <c r="H571" s="8" t="s">
        <v>12</v>
      </c>
      <c r="I571" s="8" t="s">
        <v>13</v>
      </c>
      <c r="J571" s="8" t="s">
        <v>14</v>
      </c>
      <c r="K571" t="s">
        <v>26</v>
      </c>
      <c r="L571" t="s">
        <v>261</v>
      </c>
      <c r="M571" s="2">
        <f>VALUE(MID(L571,1,FIND("@",L571)-6))</f>
        <v>81</v>
      </c>
      <c r="N571">
        <v>5</v>
      </c>
      <c r="O571" t="str">
        <f>IF(datos_limpios[[#This Row],[Seating Capacity ]]&gt;4,"SI","NO")</f>
        <v>SI</v>
      </c>
      <c r="P571">
        <v>43</v>
      </c>
    </row>
    <row r="572" spans="1:16" x14ac:dyDescent="0.3">
      <c r="A572" s="8" t="s">
        <v>23</v>
      </c>
      <c r="B572" s="8" t="s">
        <v>95</v>
      </c>
      <c r="C572" s="9">
        <v>571</v>
      </c>
      <c r="D572" s="3">
        <v>550000</v>
      </c>
      <c r="E572" s="1">
        <f>datos_limpios[[#This Row],[Price INR   ]]*0.011</f>
        <v>6050</v>
      </c>
      <c r="F572" s="13">
        <v>2015</v>
      </c>
      <c r="G572" s="2">
        <v>33000</v>
      </c>
      <c r="H572" s="8" t="s">
        <v>12</v>
      </c>
      <c r="I572" s="8" t="s">
        <v>13</v>
      </c>
      <c r="J572" s="8" t="s">
        <v>30</v>
      </c>
      <c r="K572" t="s">
        <v>26</v>
      </c>
      <c r="L572" t="s">
        <v>31</v>
      </c>
      <c r="M572" s="2">
        <f>VALUE(MID(L572,1,FIND("@",L572)-6))</f>
        <v>82</v>
      </c>
      <c r="N572">
        <v>5</v>
      </c>
      <c r="O572" t="str">
        <f>IF(datos_limpios[[#This Row],[Seating Capacity ]]&gt;4,"SI","NO")</f>
        <v>SI</v>
      </c>
      <c r="P572">
        <v>45</v>
      </c>
    </row>
    <row r="573" spans="1:16" x14ac:dyDescent="0.3">
      <c r="A573" s="8" t="s">
        <v>23</v>
      </c>
      <c r="B573" s="8" t="s">
        <v>95</v>
      </c>
      <c r="C573" s="9">
        <v>572</v>
      </c>
      <c r="D573" s="3">
        <v>551000</v>
      </c>
      <c r="E573" s="1">
        <f>datos_limpios[[#This Row],[Price INR   ]]*0.011</f>
        <v>6061</v>
      </c>
      <c r="F573" s="13">
        <v>2015</v>
      </c>
      <c r="G573" s="2">
        <v>47752</v>
      </c>
      <c r="H573" s="8" t="s">
        <v>12</v>
      </c>
      <c r="I573" s="8" t="s">
        <v>13</v>
      </c>
      <c r="J573" s="8" t="s">
        <v>20</v>
      </c>
      <c r="K573" t="s">
        <v>26</v>
      </c>
      <c r="L573" t="s">
        <v>31</v>
      </c>
      <c r="M573" s="2">
        <f>VALUE(MID(L573,1,FIND("@",L573)-6))</f>
        <v>82</v>
      </c>
      <c r="N573">
        <v>5</v>
      </c>
      <c r="O573" t="str">
        <f>IF(datos_limpios[[#This Row],[Seating Capacity ]]&gt;4,"SI","NO")</f>
        <v>SI</v>
      </c>
      <c r="P573">
        <v>45</v>
      </c>
    </row>
    <row r="574" spans="1:16" x14ac:dyDescent="0.3">
      <c r="A574" s="8" t="s">
        <v>23</v>
      </c>
      <c r="B574" s="8" t="s">
        <v>726</v>
      </c>
      <c r="C574" s="9">
        <v>573</v>
      </c>
      <c r="D574" s="3">
        <v>551000</v>
      </c>
      <c r="E574" s="1">
        <f>datos_limpios[[#This Row],[Price INR   ]]*0.011</f>
        <v>6061</v>
      </c>
      <c r="F574" s="13">
        <v>2021</v>
      </c>
      <c r="G574" s="2">
        <v>19000</v>
      </c>
      <c r="H574" s="8" t="s">
        <v>12</v>
      </c>
      <c r="I574" s="8" t="s">
        <v>13</v>
      </c>
      <c r="J574" s="8" t="s">
        <v>20</v>
      </c>
      <c r="K574" t="s">
        <v>84</v>
      </c>
      <c r="L574" t="s">
        <v>85</v>
      </c>
      <c r="M574" s="2">
        <f>VALUE(MID(L574,1,FIND("@",L574)-6))</f>
        <v>68</v>
      </c>
      <c r="N574">
        <v>5</v>
      </c>
      <c r="O574" t="str">
        <f>IF(datos_limpios[[#This Row],[Seating Capacity ]]&gt;4,"SI","NO")</f>
        <v>SI</v>
      </c>
      <c r="P574">
        <v>35</v>
      </c>
    </row>
    <row r="575" spans="1:16" x14ac:dyDescent="0.3">
      <c r="A575" s="8" t="s">
        <v>23</v>
      </c>
      <c r="B575" s="8" t="s">
        <v>604</v>
      </c>
      <c r="C575" s="9">
        <v>574</v>
      </c>
      <c r="D575" s="3">
        <v>551000</v>
      </c>
      <c r="E575" s="1">
        <f>datos_limpios[[#This Row],[Price INR   ]]*0.011</f>
        <v>6061</v>
      </c>
      <c r="F575" s="13">
        <v>2019</v>
      </c>
      <c r="G575" s="2">
        <v>39000</v>
      </c>
      <c r="H575" s="8" t="s">
        <v>19</v>
      </c>
      <c r="I575" s="8" t="s">
        <v>13</v>
      </c>
      <c r="J575" s="8" t="s">
        <v>20</v>
      </c>
      <c r="K575" t="s">
        <v>605</v>
      </c>
      <c r="L575" t="s">
        <v>606</v>
      </c>
      <c r="M575" s="2">
        <f>VALUE(MID(L575,1,FIND("@",L575)-6))</f>
        <v>71</v>
      </c>
      <c r="N575">
        <v>5</v>
      </c>
      <c r="O575" t="str">
        <f>IF(datos_limpios[[#This Row],[Seating Capacity ]]&gt;4,"SI","NO")</f>
        <v>SI</v>
      </c>
      <c r="P575">
        <v>43</v>
      </c>
    </row>
    <row r="576" spans="1:16" x14ac:dyDescent="0.3">
      <c r="A576" s="8" t="s">
        <v>23</v>
      </c>
      <c r="B576" s="8" t="s">
        <v>321</v>
      </c>
      <c r="C576" s="9">
        <v>575</v>
      </c>
      <c r="D576" s="3">
        <v>560000</v>
      </c>
      <c r="E576" s="1">
        <f>datos_limpios[[#This Row],[Price INR   ]]*0.011</f>
        <v>6160</v>
      </c>
      <c r="F576" s="13">
        <v>2016</v>
      </c>
      <c r="G576" s="2">
        <v>75210</v>
      </c>
      <c r="H576" s="8" t="s">
        <v>19</v>
      </c>
      <c r="I576" s="8" t="s">
        <v>13</v>
      </c>
      <c r="J576" s="8" t="s">
        <v>20</v>
      </c>
      <c r="K576" t="s">
        <v>322</v>
      </c>
      <c r="L576" t="s">
        <v>140</v>
      </c>
      <c r="M576" s="2">
        <f>VALUE(MID(L576,1,FIND("@",L576)-6))</f>
        <v>89</v>
      </c>
      <c r="N576">
        <v>5</v>
      </c>
      <c r="O576" t="str">
        <f>IF(datos_limpios[[#This Row],[Seating Capacity ]]&gt;4,"SI","NO")</f>
        <v>SI</v>
      </c>
      <c r="P576">
        <v>40</v>
      </c>
    </row>
    <row r="577" spans="1:16" x14ac:dyDescent="0.3">
      <c r="A577" s="8" t="s">
        <v>23</v>
      </c>
      <c r="B577" s="8" t="s">
        <v>321</v>
      </c>
      <c r="C577" s="9">
        <v>576</v>
      </c>
      <c r="D577" s="3">
        <v>560000</v>
      </c>
      <c r="E577" s="1">
        <f>datos_limpios[[#This Row],[Price INR   ]]*0.011</f>
        <v>6160</v>
      </c>
      <c r="F577" s="13">
        <v>2016</v>
      </c>
      <c r="G577" s="2">
        <v>80000</v>
      </c>
      <c r="H577" s="8" t="s">
        <v>19</v>
      </c>
      <c r="I577" s="8" t="s">
        <v>13</v>
      </c>
      <c r="J577" s="8" t="s">
        <v>20</v>
      </c>
      <c r="K577" t="s">
        <v>322</v>
      </c>
      <c r="L577" t="s">
        <v>140</v>
      </c>
      <c r="M577" s="2">
        <f>VALUE(MID(L577,1,FIND("@",L577)-6))</f>
        <v>89</v>
      </c>
      <c r="N577">
        <v>5</v>
      </c>
      <c r="O577" t="str">
        <f>IF(datos_limpios[[#This Row],[Seating Capacity ]]&gt;4,"SI","NO")</f>
        <v>SI</v>
      </c>
      <c r="P577">
        <v>40</v>
      </c>
    </row>
    <row r="578" spans="1:16" x14ac:dyDescent="0.3">
      <c r="A578" s="8" t="s">
        <v>23</v>
      </c>
      <c r="B578" s="8" t="s">
        <v>882</v>
      </c>
      <c r="C578" s="9">
        <v>577</v>
      </c>
      <c r="D578" s="3">
        <v>560000</v>
      </c>
      <c r="E578" s="1">
        <f>datos_limpios[[#This Row],[Price INR   ]]*0.011</f>
        <v>6160</v>
      </c>
      <c r="F578" s="13">
        <v>2016</v>
      </c>
      <c r="G578" s="2">
        <v>22700</v>
      </c>
      <c r="H578" s="8" t="s">
        <v>12</v>
      </c>
      <c r="I578" s="8" t="s">
        <v>13</v>
      </c>
      <c r="J578" s="8" t="s">
        <v>30</v>
      </c>
      <c r="K578" t="s">
        <v>26</v>
      </c>
      <c r="L578" t="s">
        <v>31</v>
      </c>
      <c r="M578" s="2">
        <f>VALUE(MID(L578,1,FIND("@",L578)-6))</f>
        <v>82</v>
      </c>
      <c r="N578">
        <v>5</v>
      </c>
      <c r="O578" t="str">
        <f>IF(datos_limpios[[#This Row],[Seating Capacity ]]&gt;4,"SI","NO")</f>
        <v>SI</v>
      </c>
      <c r="P578">
        <v>45</v>
      </c>
    </row>
    <row r="579" spans="1:16" x14ac:dyDescent="0.3">
      <c r="A579" s="8" t="s">
        <v>23</v>
      </c>
      <c r="B579" s="8" t="s">
        <v>317</v>
      </c>
      <c r="C579" s="9">
        <v>578</v>
      </c>
      <c r="D579" s="3">
        <v>560000</v>
      </c>
      <c r="E579" s="1">
        <f>datos_limpios[[#This Row],[Price INR   ]]*0.011</f>
        <v>6160</v>
      </c>
      <c r="F579" s="13">
        <v>2017</v>
      </c>
      <c r="G579" s="2">
        <v>29000</v>
      </c>
      <c r="H579" s="8" t="s">
        <v>12</v>
      </c>
      <c r="I579" s="8" t="s">
        <v>13</v>
      </c>
      <c r="J579" s="8" t="s">
        <v>14</v>
      </c>
      <c r="K579" t="s">
        <v>26</v>
      </c>
      <c r="L579" t="s">
        <v>261</v>
      </c>
      <c r="M579" s="2">
        <f>VALUE(MID(L579,1,FIND("@",L579)-6))</f>
        <v>81</v>
      </c>
      <c r="N579">
        <v>5</v>
      </c>
      <c r="O579" t="str">
        <f>IF(datos_limpios[[#This Row],[Seating Capacity ]]&gt;4,"SI","NO")</f>
        <v>SI</v>
      </c>
      <c r="P579">
        <v>43</v>
      </c>
    </row>
    <row r="580" spans="1:16" x14ac:dyDescent="0.3">
      <c r="A580" s="8" t="s">
        <v>23</v>
      </c>
      <c r="B580" s="8" t="s">
        <v>514</v>
      </c>
      <c r="C580" s="9">
        <v>579</v>
      </c>
      <c r="D580" s="3">
        <v>561000</v>
      </c>
      <c r="E580" s="1">
        <f>datos_limpios[[#This Row],[Price INR   ]]*0.011</f>
        <v>6171</v>
      </c>
      <c r="F580" s="13">
        <v>2015</v>
      </c>
      <c r="G580" s="2">
        <v>61000</v>
      </c>
      <c r="H580" s="8" t="s">
        <v>19</v>
      </c>
      <c r="I580" s="8" t="s">
        <v>13</v>
      </c>
      <c r="J580" s="8" t="s">
        <v>77</v>
      </c>
      <c r="K580" t="s">
        <v>322</v>
      </c>
      <c r="L580" t="s">
        <v>140</v>
      </c>
      <c r="M580" s="2">
        <f>VALUE(MID(L580,1,FIND("@",L580)-6))</f>
        <v>89</v>
      </c>
      <c r="N580">
        <v>5</v>
      </c>
      <c r="O580" t="str">
        <f>IF(datos_limpios[[#This Row],[Seating Capacity ]]&gt;4,"SI","NO")</f>
        <v>SI</v>
      </c>
      <c r="P580">
        <v>45</v>
      </c>
    </row>
    <row r="581" spans="1:16" x14ac:dyDescent="0.3">
      <c r="A581" s="8" t="s">
        <v>23</v>
      </c>
      <c r="B581" s="8" t="s">
        <v>173</v>
      </c>
      <c r="C581" s="9">
        <v>580</v>
      </c>
      <c r="D581" s="3">
        <v>565000</v>
      </c>
      <c r="E581" s="1">
        <f>datos_limpios[[#This Row],[Price INR   ]]*0.011</f>
        <v>6215</v>
      </c>
      <c r="F581" s="13">
        <v>2016</v>
      </c>
      <c r="G581" s="2">
        <v>29000</v>
      </c>
      <c r="H581" s="8" t="s">
        <v>12</v>
      </c>
      <c r="I581" s="8" t="s">
        <v>40</v>
      </c>
      <c r="J581" s="8" t="s">
        <v>77</v>
      </c>
      <c r="K581" t="s">
        <v>26</v>
      </c>
      <c r="L581" t="s">
        <v>27</v>
      </c>
      <c r="M581" s="2">
        <f>VALUE(MID(L581,1,FIND("@",L581)-6))</f>
        <v>79</v>
      </c>
      <c r="N581">
        <v>5</v>
      </c>
      <c r="O581" t="str">
        <f>IF(datos_limpios[[#This Row],[Seating Capacity ]]&gt;4,"SI","NO")</f>
        <v>SI</v>
      </c>
      <c r="P581">
        <v>43</v>
      </c>
    </row>
    <row r="582" spans="1:16" x14ac:dyDescent="0.3">
      <c r="A582" s="8" t="s">
        <v>23</v>
      </c>
      <c r="B582" s="8" t="s">
        <v>759</v>
      </c>
      <c r="C582" s="9">
        <v>581</v>
      </c>
      <c r="D582" s="3">
        <v>565000</v>
      </c>
      <c r="E582" s="1">
        <f>datos_limpios[[#This Row],[Price INR   ]]*0.011</f>
        <v>6215</v>
      </c>
      <c r="F582" s="13">
        <v>2014</v>
      </c>
      <c r="G582" s="2">
        <v>68000</v>
      </c>
      <c r="H582" s="8" t="s">
        <v>19</v>
      </c>
      <c r="I582" s="8" t="s">
        <v>13</v>
      </c>
      <c r="J582" s="8" t="s">
        <v>20</v>
      </c>
      <c r="K582" t="s">
        <v>102</v>
      </c>
      <c r="L582" t="s">
        <v>760</v>
      </c>
      <c r="M582" s="2">
        <f>VALUE(MID(L582,1,FIND("@",L582)-6))</f>
        <v>128</v>
      </c>
      <c r="N582">
        <v>5</v>
      </c>
      <c r="O582" t="str">
        <f>IF(datos_limpios[[#This Row],[Seating Capacity ]]&gt;4,"SI","NO")</f>
        <v>SI</v>
      </c>
      <c r="P582">
        <v>43</v>
      </c>
    </row>
    <row r="583" spans="1:16" x14ac:dyDescent="0.3">
      <c r="A583" s="8" t="s">
        <v>23</v>
      </c>
      <c r="B583" s="8" t="s">
        <v>514</v>
      </c>
      <c r="C583" s="9">
        <v>582</v>
      </c>
      <c r="D583" s="3">
        <v>565000</v>
      </c>
      <c r="E583" s="1">
        <f>datos_limpios[[#This Row],[Price INR   ]]*0.011</f>
        <v>6215</v>
      </c>
      <c r="F583" s="13">
        <v>2015</v>
      </c>
      <c r="G583" s="2">
        <v>65000</v>
      </c>
      <c r="H583" s="8" t="s">
        <v>19</v>
      </c>
      <c r="I583" s="8" t="s">
        <v>13</v>
      </c>
      <c r="J583" s="8" t="s">
        <v>20</v>
      </c>
      <c r="K583" t="s">
        <v>322</v>
      </c>
      <c r="L583" t="s">
        <v>140</v>
      </c>
      <c r="M583" s="2">
        <f>VALUE(MID(L583,1,FIND("@",L583)-6))</f>
        <v>89</v>
      </c>
      <c r="N583">
        <v>5</v>
      </c>
      <c r="O583" t="str">
        <f>IF(datos_limpios[[#This Row],[Seating Capacity ]]&gt;4,"SI","NO")</f>
        <v>SI</v>
      </c>
      <c r="P583">
        <v>45</v>
      </c>
    </row>
    <row r="584" spans="1:16" x14ac:dyDescent="0.3">
      <c r="A584" s="8" t="s">
        <v>23</v>
      </c>
      <c r="B584" s="8" t="s">
        <v>276</v>
      </c>
      <c r="C584" s="9">
        <v>583</v>
      </c>
      <c r="D584" s="3">
        <v>569000</v>
      </c>
      <c r="E584" s="1">
        <f>datos_limpios[[#This Row],[Price INR   ]]*0.011</f>
        <v>6259</v>
      </c>
      <c r="F584" s="13">
        <v>2018</v>
      </c>
      <c r="G584" s="2">
        <v>57847</v>
      </c>
      <c r="H584" s="8" t="s">
        <v>12</v>
      </c>
      <c r="I584" s="8" t="s">
        <v>13</v>
      </c>
      <c r="J584" s="8" t="s">
        <v>14</v>
      </c>
      <c r="K584" t="s">
        <v>26</v>
      </c>
      <c r="L584" t="s">
        <v>261</v>
      </c>
      <c r="M584" s="2">
        <f>VALUE(MID(L584,1,FIND("@",L584)-6))</f>
        <v>81</v>
      </c>
      <c r="N584">
        <v>5</v>
      </c>
      <c r="O584" t="str">
        <f>IF(datos_limpios[[#This Row],[Seating Capacity ]]&gt;4,"SI","NO")</f>
        <v>SI</v>
      </c>
      <c r="P584">
        <v>43</v>
      </c>
    </row>
    <row r="585" spans="1:16" x14ac:dyDescent="0.3">
      <c r="A585" s="8" t="s">
        <v>23</v>
      </c>
      <c r="B585" s="8" t="s">
        <v>229</v>
      </c>
      <c r="C585" s="9">
        <v>584</v>
      </c>
      <c r="D585" s="3">
        <v>575000</v>
      </c>
      <c r="E585" s="1">
        <f>datos_limpios[[#This Row],[Price INR   ]]*0.011</f>
        <v>6325</v>
      </c>
      <c r="F585" s="13">
        <v>2015</v>
      </c>
      <c r="G585" s="2">
        <v>67000</v>
      </c>
      <c r="H585" s="8" t="s">
        <v>12</v>
      </c>
      <c r="I585" s="8" t="s">
        <v>13</v>
      </c>
      <c r="J585" s="8" t="s">
        <v>20</v>
      </c>
      <c r="K585" t="s">
        <v>26</v>
      </c>
      <c r="L585" t="s">
        <v>31</v>
      </c>
      <c r="M585" s="2">
        <f>VALUE(MID(L585,1,FIND("@",L585)-6))</f>
        <v>82</v>
      </c>
      <c r="N585">
        <v>5</v>
      </c>
      <c r="O585" t="str">
        <f>IF(datos_limpios[[#This Row],[Seating Capacity ]]&gt;4,"SI","NO")</f>
        <v>SI</v>
      </c>
      <c r="P585">
        <v>45</v>
      </c>
    </row>
    <row r="586" spans="1:16" x14ac:dyDescent="0.3">
      <c r="A586" s="8" t="s">
        <v>23</v>
      </c>
      <c r="B586" s="8" t="s">
        <v>1122</v>
      </c>
      <c r="C586" s="9">
        <v>585</v>
      </c>
      <c r="D586" s="3">
        <v>575000</v>
      </c>
      <c r="E586" s="1">
        <f>datos_limpios[[#This Row],[Price INR   ]]*0.011</f>
        <v>6325</v>
      </c>
      <c r="F586" s="13">
        <v>2016</v>
      </c>
      <c r="G586" s="2">
        <v>38000</v>
      </c>
      <c r="H586" s="8" t="s">
        <v>19</v>
      </c>
      <c r="I586" s="8" t="s">
        <v>13</v>
      </c>
      <c r="J586" s="8" t="s">
        <v>77</v>
      </c>
      <c r="K586" t="s">
        <v>322</v>
      </c>
      <c r="L586" t="s">
        <v>140</v>
      </c>
      <c r="M586" s="2">
        <f>VALUE(MID(L586,1,FIND("@",L586)-6))</f>
        <v>89</v>
      </c>
      <c r="N586">
        <v>5</v>
      </c>
      <c r="O586" t="str">
        <f>IF(datos_limpios[[#This Row],[Seating Capacity ]]&gt;4,"SI","NO")</f>
        <v>SI</v>
      </c>
      <c r="P586">
        <v>45</v>
      </c>
    </row>
    <row r="587" spans="1:16" x14ac:dyDescent="0.3">
      <c r="A587" s="8" t="s">
        <v>23</v>
      </c>
      <c r="B587" s="8" t="s">
        <v>1110</v>
      </c>
      <c r="C587" s="9">
        <v>586</v>
      </c>
      <c r="D587" s="3">
        <v>585000</v>
      </c>
      <c r="E587" s="1">
        <f>datos_limpios[[#This Row],[Price INR   ]]*0.011</f>
        <v>6435</v>
      </c>
      <c r="F587" s="13">
        <v>2017</v>
      </c>
      <c r="G587" s="2">
        <v>47000</v>
      </c>
      <c r="H587" s="8" t="s">
        <v>12</v>
      </c>
      <c r="I587" s="8" t="s">
        <v>13</v>
      </c>
      <c r="J587" s="8" t="s">
        <v>14</v>
      </c>
      <c r="K587" t="s">
        <v>26</v>
      </c>
      <c r="L587" t="s">
        <v>31</v>
      </c>
      <c r="M587" s="2">
        <f>VALUE(MID(L587,1,FIND("@",L587)-6))</f>
        <v>82</v>
      </c>
      <c r="N587">
        <v>5</v>
      </c>
      <c r="O587" t="str">
        <f>IF(datos_limpios[[#This Row],[Seating Capacity ]]&gt;4,"SI","NO")</f>
        <v>SI</v>
      </c>
      <c r="P587">
        <v>45</v>
      </c>
    </row>
    <row r="588" spans="1:16" x14ac:dyDescent="0.3">
      <c r="A588" s="8" t="s">
        <v>23</v>
      </c>
      <c r="B588" s="8" t="s">
        <v>83</v>
      </c>
      <c r="C588" s="9">
        <v>587</v>
      </c>
      <c r="D588" s="3">
        <v>589000</v>
      </c>
      <c r="E588" s="1">
        <f>datos_limpios[[#This Row],[Price INR   ]]*0.011</f>
        <v>6479</v>
      </c>
      <c r="F588" s="13">
        <v>2018</v>
      </c>
      <c r="G588" s="2">
        <v>13772</v>
      </c>
      <c r="H588" s="8" t="s">
        <v>12</v>
      </c>
      <c r="I588" s="8" t="s">
        <v>40</v>
      </c>
      <c r="J588" s="8" t="s">
        <v>20</v>
      </c>
      <c r="K588" t="s">
        <v>84</v>
      </c>
      <c r="L588" t="s">
        <v>85</v>
      </c>
      <c r="M588" s="2">
        <f>VALUE(MID(L588,1,FIND("@",L588)-6))</f>
        <v>68</v>
      </c>
      <c r="N588">
        <v>5</v>
      </c>
      <c r="O588" t="str">
        <f>IF(datos_limpios[[#This Row],[Seating Capacity ]]&gt;4,"SI","NO")</f>
        <v>SI</v>
      </c>
      <c r="P588">
        <v>35</v>
      </c>
    </row>
    <row r="589" spans="1:16" x14ac:dyDescent="0.3">
      <c r="A589" s="8" t="s">
        <v>23</v>
      </c>
      <c r="B589" s="8" t="s">
        <v>513</v>
      </c>
      <c r="C589" s="9">
        <v>588</v>
      </c>
      <c r="D589" s="3">
        <v>590000</v>
      </c>
      <c r="E589" s="1">
        <f>datos_limpios[[#This Row],[Price INR   ]]*0.011</f>
        <v>6490</v>
      </c>
      <c r="F589" s="13">
        <v>2020</v>
      </c>
      <c r="G589" s="2">
        <v>74000</v>
      </c>
      <c r="H589" s="8" t="s">
        <v>12</v>
      </c>
      <c r="I589" s="8" t="s">
        <v>13</v>
      </c>
      <c r="J589" s="8" t="s">
        <v>20</v>
      </c>
      <c r="K589" t="s">
        <v>26</v>
      </c>
      <c r="L589" t="s">
        <v>31</v>
      </c>
      <c r="M589" s="2">
        <f>VALUE(MID(L589,1,FIND("@",L589)-6))</f>
        <v>82</v>
      </c>
      <c r="N589">
        <v>5</v>
      </c>
      <c r="O589" t="str">
        <f>IF(datos_limpios[[#This Row],[Seating Capacity ]]&gt;4,"SI","NO")</f>
        <v>SI</v>
      </c>
      <c r="P589">
        <v>37</v>
      </c>
    </row>
    <row r="590" spans="1:16" x14ac:dyDescent="0.3">
      <c r="A590" s="8" t="s">
        <v>23</v>
      </c>
      <c r="B590" s="8" t="s">
        <v>51</v>
      </c>
      <c r="C590" s="9">
        <v>589</v>
      </c>
      <c r="D590" s="3">
        <v>591000</v>
      </c>
      <c r="E590" s="1">
        <f>datos_limpios[[#This Row],[Price INR   ]]*0.011</f>
        <v>6501</v>
      </c>
      <c r="F590" s="13">
        <v>2017</v>
      </c>
      <c r="G590" s="2">
        <v>20281</v>
      </c>
      <c r="H590" s="8" t="s">
        <v>12</v>
      </c>
      <c r="I590" s="8" t="s">
        <v>13</v>
      </c>
      <c r="J590" s="8" t="s">
        <v>30</v>
      </c>
      <c r="K590" t="s">
        <v>26</v>
      </c>
      <c r="L590" t="s">
        <v>31</v>
      </c>
      <c r="M590" s="2">
        <f>VALUE(MID(L590,1,FIND("@",L590)-6))</f>
        <v>82</v>
      </c>
      <c r="N590">
        <v>5</v>
      </c>
      <c r="O590" t="str">
        <f>IF(datos_limpios[[#This Row],[Seating Capacity ]]&gt;4,"SI","NO")</f>
        <v>SI</v>
      </c>
      <c r="P590">
        <v>45</v>
      </c>
    </row>
    <row r="591" spans="1:16" x14ac:dyDescent="0.3">
      <c r="A591" s="8" t="s">
        <v>23</v>
      </c>
      <c r="B591" s="8" t="s">
        <v>317</v>
      </c>
      <c r="C591" s="9">
        <v>590</v>
      </c>
      <c r="D591" s="3">
        <v>595000</v>
      </c>
      <c r="E591" s="1">
        <f>datos_limpios[[#This Row],[Price INR   ]]*0.011</f>
        <v>6545</v>
      </c>
      <c r="F591" s="13">
        <v>2019</v>
      </c>
      <c r="G591" s="2">
        <v>25000</v>
      </c>
      <c r="H591" s="8" t="s">
        <v>12</v>
      </c>
      <c r="I591" s="8" t="s">
        <v>13</v>
      </c>
      <c r="J591" s="8" t="s">
        <v>77</v>
      </c>
      <c r="K591" t="s">
        <v>26</v>
      </c>
      <c r="L591" t="s">
        <v>261</v>
      </c>
      <c r="M591" s="2">
        <f>VALUE(MID(L591,1,FIND("@",L591)-6))</f>
        <v>81</v>
      </c>
      <c r="N591">
        <v>5</v>
      </c>
      <c r="O591" t="str">
        <f>IF(datos_limpios[[#This Row],[Seating Capacity ]]&gt;4,"SI","NO")</f>
        <v>SI</v>
      </c>
      <c r="P591">
        <v>43</v>
      </c>
    </row>
    <row r="592" spans="1:16" x14ac:dyDescent="0.3">
      <c r="A592" s="8" t="s">
        <v>23</v>
      </c>
      <c r="B592" s="8" t="s">
        <v>912</v>
      </c>
      <c r="C592" s="9">
        <v>591</v>
      </c>
      <c r="D592" s="3">
        <v>595000</v>
      </c>
      <c r="E592" s="1">
        <f>datos_limpios[[#This Row],[Price INR   ]]*0.011</f>
        <v>6545</v>
      </c>
      <c r="F592" s="13">
        <v>2019</v>
      </c>
      <c r="G592" s="2">
        <v>48000</v>
      </c>
      <c r="H592" s="8" t="s">
        <v>12</v>
      </c>
      <c r="I592" s="8" t="s">
        <v>13</v>
      </c>
      <c r="J592" s="8" t="s">
        <v>20</v>
      </c>
      <c r="K592" t="s">
        <v>26</v>
      </c>
      <c r="L592" t="s">
        <v>31</v>
      </c>
      <c r="M592" s="2">
        <f>VALUE(MID(L592,1,FIND("@",L592)-6))</f>
        <v>82</v>
      </c>
      <c r="N592">
        <v>5</v>
      </c>
      <c r="O592" t="str">
        <f>IF(datos_limpios[[#This Row],[Seating Capacity ]]&gt;4,"SI","NO")</f>
        <v>SI</v>
      </c>
      <c r="P592">
        <v>40</v>
      </c>
    </row>
    <row r="593" spans="1:16" x14ac:dyDescent="0.3">
      <c r="A593" s="8" t="s">
        <v>23</v>
      </c>
      <c r="B593" s="8" t="s">
        <v>882</v>
      </c>
      <c r="C593" s="9">
        <v>592</v>
      </c>
      <c r="D593" s="3">
        <v>595000</v>
      </c>
      <c r="E593" s="1">
        <f>datos_limpios[[#This Row],[Price INR   ]]*0.011</f>
        <v>6545</v>
      </c>
      <c r="F593" s="13">
        <v>2015</v>
      </c>
      <c r="G593" s="2">
        <v>45000</v>
      </c>
      <c r="H593" s="8" t="s">
        <v>12</v>
      </c>
      <c r="I593" s="8" t="s">
        <v>13</v>
      </c>
      <c r="J593" s="8" t="s">
        <v>20</v>
      </c>
      <c r="K593" t="s">
        <v>26</v>
      </c>
      <c r="L593" t="s">
        <v>31</v>
      </c>
      <c r="M593" s="2">
        <f>VALUE(MID(L593,1,FIND("@",L593)-6))</f>
        <v>82</v>
      </c>
      <c r="N593">
        <v>5</v>
      </c>
      <c r="O593" t="str">
        <f>IF(datos_limpios[[#This Row],[Seating Capacity ]]&gt;4,"SI","NO")</f>
        <v>SI</v>
      </c>
      <c r="P593">
        <v>45</v>
      </c>
    </row>
    <row r="594" spans="1:16" x14ac:dyDescent="0.3">
      <c r="A594" s="8" t="s">
        <v>23</v>
      </c>
      <c r="B594" s="8" t="s">
        <v>271</v>
      </c>
      <c r="C594" s="9">
        <v>593</v>
      </c>
      <c r="D594" s="3">
        <v>595000</v>
      </c>
      <c r="E594" s="1">
        <f>datos_limpios[[#This Row],[Price INR   ]]*0.011</f>
        <v>6545</v>
      </c>
      <c r="F594" s="13">
        <v>2014</v>
      </c>
      <c r="G594" s="2">
        <v>65123</v>
      </c>
      <c r="H594" s="8" t="s">
        <v>19</v>
      </c>
      <c r="I594" s="8" t="s">
        <v>13</v>
      </c>
      <c r="J594" s="8" t="s">
        <v>101</v>
      </c>
      <c r="K594" t="s">
        <v>102</v>
      </c>
      <c r="L594" t="s">
        <v>103</v>
      </c>
      <c r="M594" s="2">
        <f>VALUE(MID(L594,1,FIND("@",L594)-6))</f>
        <v>126</v>
      </c>
      <c r="N594">
        <v>5</v>
      </c>
      <c r="O594" t="str">
        <f>IF(datos_limpios[[#This Row],[Seating Capacity ]]&gt;4,"SI","NO")</f>
        <v>SI</v>
      </c>
      <c r="P594">
        <v>43</v>
      </c>
    </row>
    <row r="595" spans="1:16" x14ac:dyDescent="0.3">
      <c r="A595" s="8" t="s">
        <v>23</v>
      </c>
      <c r="B595" s="8" t="s">
        <v>824</v>
      </c>
      <c r="C595" s="9">
        <v>594</v>
      </c>
      <c r="D595" s="3">
        <v>598000</v>
      </c>
      <c r="E595" s="1">
        <f>datos_limpios[[#This Row],[Price INR   ]]*0.011</f>
        <v>6578</v>
      </c>
      <c r="F595" s="13">
        <v>2015</v>
      </c>
      <c r="G595" s="2">
        <v>58200</v>
      </c>
      <c r="H595" s="8" t="s">
        <v>12</v>
      </c>
      <c r="I595" s="8" t="s">
        <v>40</v>
      </c>
      <c r="J595" s="8" t="s">
        <v>77</v>
      </c>
      <c r="K595" t="s">
        <v>78</v>
      </c>
      <c r="L595" t="s">
        <v>231</v>
      </c>
      <c r="M595" s="2">
        <f>VALUE(MID(L595,1,FIND("@",L595)-6))</f>
        <v>121</v>
      </c>
      <c r="N595">
        <v>5</v>
      </c>
      <c r="O595" t="str">
        <f>IF(datos_limpios[[#This Row],[Seating Capacity ]]&gt;4,"SI","NO")</f>
        <v>SI</v>
      </c>
      <c r="P595">
        <v>43</v>
      </c>
    </row>
    <row r="596" spans="1:16" x14ac:dyDescent="0.3">
      <c r="A596" s="8" t="s">
        <v>23</v>
      </c>
      <c r="B596" s="8" t="s">
        <v>741</v>
      </c>
      <c r="C596" s="9">
        <v>595</v>
      </c>
      <c r="D596" s="3">
        <v>599000</v>
      </c>
      <c r="E596" s="1">
        <f>datos_limpios[[#This Row],[Price INR   ]]*0.011</f>
        <v>6589</v>
      </c>
      <c r="F596" s="13">
        <v>2020</v>
      </c>
      <c r="G596" s="2">
        <v>35000</v>
      </c>
      <c r="H596" s="8" t="s">
        <v>12</v>
      </c>
      <c r="I596" s="8" t="s">
        <v>40</v>
      </c>
      <c r="J596" s="8" t="s">
        <v>77</v>
      </c>
      <c r="K596" t="s">
        <v>26</v>
      </c>
      <c r="L596" t="s">
        <v>31</v>
      </c>
      <c r="M596" s="2">
        <f>VALUE(MID(L596,1,FIND("@",L596)-6))</f>
        <v>82</v>
      </c>
      <c r="N596">
        <v>5</v>
      </c>
      <c r="O596" t="str">
        <f>IF(datos_limpios[[#This Row],[Seating Capacity ]]&gt;4,"SI","NO")</f>
        <v>SI</v>
      </c>
      <c r="P596">
        <v>37</v>
      </c>
    </row>
    <row r="597" spans="1:16" x14ac:dyDescent="0.3">
      <c r="A597" s="8" t="s">
        <v>23</v>
      </c>
      <c r="B597" s="8" t="s">
        <v>912</v>
      </c>
      <c r="C597" s="9">
        <v>596</v>
      </c>
      <c r="D597" s="3">
        <v>609000</v>
      </c>
      <c r="E597" s="1">
        <f>datos_limpios[[#This Row],[Price INR   ]]*0.011</f>
        <v>6699</v>
      </c>
      <c r="F597" s="13">
        <v>2018</v>
      </c>
      <c r="G597" s="2">
        <v>42601</v>
      </c>
      <c r="H597" s="8" t="s">
        <v>12</v>
      </c>
      <c r="I597" s="8" t="s">
        <v>13</v>
      </c>
      <c r="J597" s="8" t="s">
        <v>57</v>
      </c>
      <c r="K597" t="s">
        <v>26</v>
      </c>
      <c r="L597" t="s">
        <v>31</v>
      </c>
      <c r="M597" s="2">
        <f>VALUE(MID(L597,1,FIND("@",L597)-6))</f>
        <v>82</v>
      </c>
      <c r="N597">
        <v>5</v>
      </c>
      <c r="O597" t="str">
        <f>IF(datos_limpios[[#This Row],[Seating Capacity ]]&gt;4,"SI","NO")</f>
        <v>SI</v>
      </c>
      <c r="P597">
        <v>45</v>
      </c>
    </row>
    <row r="598" spans="1:16" x14ac:dyDescent="0.3">
      <c r="A598" s="8" t="s">
        <v>23</v>
      </c>
      <c r="B598" s="8" t="s">
        <v>234</v>
      </c>
      <c r="C598" s="9">
        <v>597</v>
      </c>
      <c r="D598" s="3">
        <v>611000</v>
      </c>
      <c r="E598" s="1">
        <f>datos_limpios[[#This Row],[Price INR   ]]*0.011</f>
        <v>6721</v>
      </c>
      <c r="F598" s="13">
        <v>2017</v>
      </c>
      <c r="G598" s="2">
        <v>51349</v>
      </c>
      <c r="H598" s="8" t="s">
        <v>12</v>
      </c>
      <c r="I598" s="8" t="s">
        <v>13</v>
      </c>
      <c r="J598" s="8" t="s">
        <v>30</v>
      </c>
      <c r="K598" t="s">
        <v>26</v>
      </c>
      <c r="L598" t="s">
        <v>31</v>
      </c>
      <c r="M598" s="2">
        <f>VALUE(MID(L598,1,FIND("@",L598)-6))</f>
        <v>82</v>
      </c>
      <c r="N598">
        <v>5</v>
      </c>
      <c r="O598" t="str">
        <f>IF(datos_limpios[[#This Row],[Seating Capacity ]]&gt;4,"SI","NO")</f>
        <v>SI</v>
      </c>
      <c r="P598">
        <v>45</v>
      </c>
    </row>
    <row r="599" spans="1:16" x14ac:dyDescent="0.3">
      <c r="A599" s="8" t="s">
        <v>23</v>
      </c>
      <c r="B599" s="8" t="s">
        <v>736</v>
      </c>
      <c r="C599" s="9">
        <v>598</v>
      </c>
      <c r="D599" s="3">
        <v>611000</v>
      </c>
      <c r="E599" s="1">
        <f>datos_limpios[[#This Row],[Price INR   ]]*0.011</f>
        <v>6721</v>
      </c>
      <c r="F599" s="13">
        <v>2017</v>
      </c>
      <c r="G599" s="2">
        <v>65000</v>
      </c>
      <c r="H599" s="8" t="s">
        <v>19</v>
      </c>
      <c r="I599" s="8" t="s">
        <v>13</v>
      </c>
      <c r="J599" s="8" t="s">
        <v>20</v>
      </c>
      <c r="K599" t="s">
        <v>322</v>
      </c>
      <c r="L599" t="s">
        <v>140</v>
      </c>
      <c r="M599" s="2">
        <f>VALUE(MID(L599,1,FIND("@",L599)-6))</f>
        <v>89</v>
      </c>
      <c r="N599">
        <v>5</v>
      </c>
      <c r="O599" t="str">
        <f>IF(datos_limpios[[#This Row],[Seating Capacity ]]&gt;4,"SI","NO")</f>
        <v>SI</v>
      </c>
      <c r="P599">
        <v>45</v>
      </c>
    </row>
    <row r="600" spans="1:16" x14ac:dyDescent="0.3">
      <c r="A600" s="8" t="s">
        <v>23</v>
      </c>
      <c r="B600" s="8" t="s">
        <v>95</v>
      </c>
      <c r="C600" s="9">
        <v>599</v>
      </c>
      <c r="D600" s="3">
        <v>625000</v>
      </c>
      <c r="E600" s="1">
        <f>datos_limpios[[#This Row],[Price INR   ]]*0.011</f>
        <v>6875</v>
      </c>
      <c r="F600" s="13">
        <v>2017</v>
      </c>
      <c r="G600" s="2">
        <v>42000</v>
      </c>
      <c r="H600" s="8" t="s">
        <v>12</v>
      </c>
      <c r="I600" s="8" t="s">
        <v>13</v>
      </c>
      <c r="J600" s="8" t="s">
        <v>77</v>
      </c>
      <c r="K600" t="s">
        <v>26</v>
      </c>
      <c r="L600" t="s">
        <v>31</v>
      </c>
      <c r="M600" s="2">
        <f>VALUE(MID(L600,1,FIND("@",L600)-6))</f>
        <v>82</v>
      </c>
      <c r="N600">
        <v>5</v>
      </c>
      <c r="O600" t="str">
        <f>IF(datos_limpios[[#This Row],[Seating Capacity ]]&gt;4,"SI","NO")</f>
        <v>SI</v>
      </c>
      <c r="P600">
        <v>45</v>
      </c>
    </row>
    <row r="601" spans="1:16" x14ac:dyDescent="0.3">
      <c r="A601" s="8" t="s">
        <v>23</v>
      </c>
      <c r="B601" s="8" t="s">
        <v>920</v>
      </c>
      <c r="C601" s="9">
        <v>600</v>
      </c>
      <c r="D601" s="3">
        <v>625000</v>
      </c>
      <c r="E601" s="1">
        <f>datos_limpios[[#This Row],[Price INR   ]]*0.011</f>
        <v>6875</v>
      </c>
      <c r="F601" s="13">
        <v>2014</v>
      </c>
      <c r="G601" s="2">
        <v>80000</v>
      </c>
      <c r="H601" s="8" t="s">
        <v>19</v>
      </c>
      <c r="I601" s="8" t="s">
        <v>40</v>
      </c>
      <c r="J601" s="8" t="s">
        <v>20</v>
      </c>
      <c r="K601" t="s">
        <v>102</v>
      </c>
      <c r="L601" t="s">
        <v>103</v>
      </c>
      <c r="M601" s="2">
        <f>VALUE(MID(L601,1,FIND("@",L601)-6))</f>
        <v>126</v>
      </c>
      <c r="N601">
        <v>5</v>
      </c>
      <c r="O601" t="str">
        <f>IF(datos_limpios[[#This Row],[Seating Capacity ]]&gt;4,"SI","NO")</f>
        <v>SI</v>
      </c>
      <c r="P601">
        <v>56</v>
      </c>
    </row>
    <row r="602" spans="1:16" x14ac:dyDescent="0.3">
      <c r="A602" s="8" t="s">
        <v>23</v>
      </c>
      <c r="B602" s="8" t="s">
        <v>51</v>
      </c>
      <c r="C602" s="9">
        <v>601</v>
      </c>
      <c r="D602" s="3">
        <v>625000</v>
      </c>
      <c r="E602" s="1">
        <f>datos_limpios[[#This Row],[Price INR   ]]*0.011</f>
        <v>6875</v>
      </c>
      <c r="F602" s="13">
        <v>2018</v>
      </c>
      <c r="G602" s="2">
        <v>23000</v>
      </c>
      <c r="H602" s="8" t="s">
        <v>12</v>
      </c>
      <c r="I602" s="8" t="s">
        <v>13</v>
      </c>
      <c r="J602" s="8" t="s">
        <v>30</v>
      </c>
      <c r="K602" t="s">
        <v>26</v>
      </c>
      <c r="L602" t="s">
        <v>31</v>
      </c>
      <c r="M602" s="2">
        <f>VALUE(MID(L602,1,FIND("@",L602)-6))</f>
        <v>82</v>
      </c>
      <c r="N602">
        <v>5</v>
      </c>
      <c r="O602" t="str">
        <f>IF(datos_limpios[[#This Row],[Seating Capacity ]]&gt;4,"SI","NO")</f>
        <v>SI</v>
      </c>
      <c r="P602">
        <v>40</v>
      </c>
    </row>
    <row r="603" spans="1:16" x14ac:dyDescent="0.3">
      <c r="A603" s="8" t="s">
        <v>23</v>
      </c>
      <c r="B603" s="8" t="s">
        <v>1110</v>
      </c>
      <c r="C603" s="9">
        <v>602</v>
      </c>
      <c r="D603" s="3">
        <v>625000</v>
      </c>
      <c r="E603" s="1">
        <f>datos_limpios[[#This Row],[Price INR   ]]*0.011</f>
        <v>6875</v>
      </c>
      <c r="F603" s="13">
        <v>2019</v>
      </c>
      <c r="G603" s="2">
        <v>31000</v>
      </c>
      <c r="H603" s="8" t="s">
        <v>12</v>
      </c>
      <c r="I603" s="8" t="s">
        <v>13</v>
      </c>
      <c r="J603" s="8" t="s">
        <v>20</v>
      </c>
      <c r="K603" t="s">
        <v>26</v>
      </c>
      <c r="L603" t="s">
        <v>31</v>
      </c>
      <c r="M603" s="2">
        <f>VALUE(MID(L603,1,FIND("@",L603)-6))</f>
        <v>82</v>
      </c>
      <c r="N603">
        <v>5</v>
      </c>
      <c r="O603" t="str">
        <f>IF(datos_limpios[[#This Row],[Seating Capacity ]]&gt;4,"SI","NO")</f>
        <v>SI</v>
      </c>
      <c r="P603">
        <v>45</v>
      </c>
    </row>
    <row r="604" spans="1:16" x14ac:dyDescent="0.3">
      <c r="A604" s="8" t="s">
        <v>23</v>
      </c>
      <c r="B604" s="8" t="s">
        <v>1122</v>
      </c>
      <c r="C604" s="9">
        <v>603</v>
      </c>
      <c r="D604" s="3">
        <v>625000</v>
      </c>
      <c r="E604" s="1">
        <f>datos_limpios[[#This Row],[Price INR   ]]*0.011</f>
        <v>6875</v>
      </c>
      <c r="F604" s="13">
        <v>2016</v>
      </c>
      <c r="G604" s="2">
        <v>72114</v>
      </c>
      <c r="H604" s="8" t="s">
        <v>19</v>
      </c>
      <c r="I604" s="8" t="s">
        <v>13</v>
      </c>
      <c r="J604" s="8" t="s">
        <v>20</v>
      </c>
      <c r="K604" t="s">
        <v>322</v>
      </c>
      <c r="L604" t="s">
        <v>140</v>
      </c>
      <c r="M604" s="2">
        <f>VALUE(MID(L604,1,FIND("@",L604)-6))</f>
        <v>89</v>
      </c>
      <c r="N604">
        <v>5</v>
      </c>
      <c r="O604" t="str">
        <f>IF(datos_limpios[[#This Row],[Seating Capacity ]]&gt;4,"SI","NO")</f>
        <v>SI</v>
      </c>
      <c r="P604">
        <v>45</v>
      </c>
    </row>
    <row r="605" spans="1:16" x14ac:dyDescent="0.3">
      <c r="A605" s="8" t="s">
        <v>23</v>
      </c>
      <c r="B605" s="8" t="s">
        <v>994</v>
      </c>
      <c r="C605" s="9">
        <v>604</v>
      </c>
      <c r="D605" s="3">
        <v>640000</v>
      </c>
      <c r="E605" s="1">
        <f>datos_limpios[[#This Row],[Price INR   ]]*0.011</f>
        <v>7040</v>
      </c>
      <c r="F605" s="13">
        <v>2015</v>
      </c>
      <c r="G605" s="2">
        <v>49000</v>
      </c>
      <c r="H605" s="8" t="s">
        <v>19</v>
      </c>
      <c r="I605" s="8" t="s">
        <v>13</v>
      </c>
      <c r="J605" s="8" t="s">
        <v>20</v>
      </c>
      <c r="K605" t="s">
        <v>102</v>
      </c>
      <c r="L605" t="s">
        <v>103</v>
      </c>
      <c r="M605" s="2">
        <f>VALUE(MID(L605,1,FIND("@",L605)-6))</f>
        <v>126</v>
      </c>
      <c r="N605">
        <v>5</v>
      </c>
      <c r="O605" t="str">
        <f>IF(datos_limpios[[#This Row],[Seating Capacity ]]&gt;4,"SI","NO")</f>
        <v>SI</v>
      </c>
      <c r="P605">
        <v>43</v>
      </c>
    </row>
    <row r="606" spans="1:16" x14ac:dyDescent="0.3">
      <c r="A606" s="8" t="s">
        <v>23</v>
      </c>
      <c r="B606" s="8" t="s">
        <v>515</v>
      </c>
      <c r="C606" s="9">
        <v>605</v>
      </c>
      <c r="D606" s="3">
        <v>645000</v>
      </c>
      <c r="E606" s="1">
        <f>datos_limpios[[#This Row],[Price INR   ]]*0.011</f>
        <v>7095</v>
      </c>
      <c r="F606" s="13">
        <v>2013</v>
      </c>
      <c r="G606" s="2">
        <v>17000</v>
      </c>
      <c r="H606" s="8" t="s">
        <v>12</v>
      </c>
      <c r="I606" s="8" t="s">
        <v>13</v>
      </c>
      <c r="J606" s="8" t="s">
        <v>20</v>
      </c>
      <c r="K606" t="s">
        <v>516</v>
      </c>
      <c r="L606" t="s">
        <v>517</v>
      </c>
      <c r="M606" s="2">
        <f>VALUE(MID(L606,1,FIND("@",L606)-6))</f>
        <v>147</v>
      </c>
      <c r="N606">
        <v>5</v>
      </c>
      <c r="O606" t="str">
        <f>IF(datos_limpios[[#This Row],[Seating Capacity ]]&gt;4,"SI","NO")</f>
        <v>SI</v>
      </c>
      <c r="P606">
        <v>56</v>
      </c>
    </row>
    <row r="607" spans="1:16" x14ac:dyDescent="0.3">
      <c r="A607" s="8" t="s">
        <v>23</v>
      </c>
      <c r="B607" s="8" t="s">
        <v>230</v>
      </c>
      <c r="C607" s="9">
        <v>606</v>
      </c>
      <c r="D607" s="3">
        <v>645000</v>
      </c>
      <c r="E607" s="1">
        <f>datos_limpios[[#This Row],[Price INR   ]]*0.011</f>
        <v>7095</v>
      </c>
      <c r="F607" s="13">
        <v>2016</v>
      </c>
      <c r="G607" s="2">
        <v>45000</v>
      </c>
      <c r="H607" s="8" t="s">
        <v>12</v>
      </c>
      <c r="I607" s="8" t="s">
        <v>13</v>
      </c>
      <c r="J607" s="8" t="s">
        <v>20</v>
      </c>
      <c r="K607" t="s">
        <v>78</v>
      </c>
      <c r="L607" t="s">
        <v>231</v>
      </c>
      <c r="M607" s="2">
        <f>VALUE(MID(L607,1,FIND("@",L607)-6))</f>
        <v>121</v>
      </c>
      <c r="N607">
        <v>5</v>
      </c>
      <c r="O607" t="str">
        <f>IF(datos_limpios[[#This Row],[Seating Capacity ]]&gt;4,"SI","NO")</f>
        <v>SI</v>
      </c>
      <c r="P607">
        <v>43</v>
      </c>
    </row>
    <row r="608" spans="1:16" x14ac:dyDescent="0.3">
      <c r="A608" s="8" t="s">
        <v>23</v>
      </c>
      <c r="B608" s="8" t="s">
        <v>1010</v>
      </c>
      <c r="C608" s="9">
        <v>607</v>
      </c>
      <c r="D608" s="3">
        <v>645000</v>
      </c>
      <c r="E608" s="1">
        <f>datos_limpios[[#This Row],[Price INR   ]]*0.011</f>
        <v>7095</v>
      </c>
      <c r="F608" s="13">
        <v>2019</v>
      </c>
      <c r="G608" s="2">
        <v>35000</v>
      </c>
      <c r="H608" s="8" t="s">
        <v>12</v>
      </c>
      <c r="I608" s="8" t="s">
        <v>13</v>
      </c>
      <c r="J608" s="8" t="s">
        <v>14</v>
      </c>
      <c r="K608" t="s">
        <v>26</v>
      </c>
      <c r="L608" t="s">
        <v>31</v>
      </c>
      <c r="M608" s="2">
        <f>VALUE(MID(L608,1,FIND("@",L608)-6))</f>
        <v>82</v>
      </c>
      <c r="N608">
        <v>5</v>
      </c>
      <c r="O608" t="str">
        <f>IF(datos_limpios[[#This Row],[Seating Capacity ]]&gt;4,"SI","NO")</f>
        <v>SI</v>
      </c>
      <c r="P608">
        <v>45</v>
      </c>
    </row>
    <row r="609" spans="1:16" x14ac:dyDescent="0.3">
      <c r="A609" s="8" t="s">
        <v>23</v>
      </c>
      <c r="B609" s="8" t="s">
        <v>824</v>
      </c>
      <c r="C609" s="9">
        <v>608</v>
      </c>
      <c r="D609" s="3">
        <v>645000</v>
      </c>
      <c r="E609" s="1">
        <f>datos_limpios[[#This Row],[Price INR   ]]*0.011</f>
        <v>7095</v>
      </c>
      <c r="F609" s="13">
        <v>2015</v>
      </c>
      <c r="G609" s="2">
        <v>58200</v>
      </c>
      <c r="H609" s="8" t="s">
        <v>12</v>
      </c>
      <c r="I609" s="8" t="s">
        <v>40</v>
      </c>
      <c r="J609" s="8" t="s">
        <v>77</v>
      </c>
      <c r="K609" t="s">
        <v>78</v>
      </c>
      <c r="L609" t="s">
        <v>231</v>
      </c>
      <c r="M609" s="2">
        <f>VALUE(MID(L609,1,FIND("@",L609)-6))</f>
        <v>121</v>
      </c>
      <c r="N609">
        <v>5</v>
      </c>
      <c r="O609" t="str">
        <f>IF(datos_limpios[[#This Row],[Seating Capacity ]]&gt;4,"SI","NO")</f>
        <v>SI</v>
      </c>
      <c r="P609">
        <v>43</v>
      </c>
    </row>
    <row r="610" spans="1:16" x14ac:dyDescent="0.3">
      <c r="A610" s="8" t="s">
        <v>23</v>
      </c>
      <c r="B610" s="8" t="s">
        <v>739</v>
      </c>
      <c r="C610" s="9">
        <v>609</v>
      </c>
      <c r="D610" s="3">
        <v>649000</v>
      </c>
      <c r="E610" s="1">
        <f>datos_limpios[[#This Row],[Price INR   ]]*0.011</f>
        <v>7139</v>
      </c>
      <c r="F610" s="13">
        <v>2020</v>
      </c>
      <c r="G610" s="2">
        <v>52236</v>
      </c>
      <c r="H610" s="8" t="s">
        <v>12</v>
      </c>
      <c r="I610" s="8" t="s">
        <v>13</v>
      </c>
      <c r="J610" s="8" t="s">
        <v>77</v>
      </c>
      <c r="K610" t="s">
        <v>26</v>
      </c>
      <c r="L610" t="s">
        <v>261</v>
      </c>
      <c r="M610" s="2">
        <f>VALUE(MID(L610,1,FIND("@",L610)-6))</f>
        <v>81</v>
      </c>
      <c r="N610">
        <v>5</v>
      </c>
      <c r="O610" t="str">
        <f>IF(datos_limpios[[#This Row],[Seating Capacity ]]&gt;4,"SI","NO")</f>
        <v>SI</v>
      </c>
      <c r="P610">
        <v>43</v>
      </c>
    </row>
    <row r="611" spans="1:16" x14ac:dyDescent="0.3">
      <c r="A611" s="8" t="s">
        <v>23</v>
      </c>
      <c r="B611" s="8" t="s">
        <v>739</v>
      </c>
      <c r="C611" s="9">
        <v>610</v>
      </c>
      <c r="D611" s="3">
        <v>649000</v>
      </c>
      <c r="E611" s="1">
        <f>datos_limpios[[#This Row],[Price INR   ]]*0.011</f>
        <v>7139</v>
      </c>
      <c r="F611" s="13">
        <v>2020</v>
      </c>
      <c r="G611" s="2">
        <v>52236</v>
      </c>
      <c r="H611" s="8" t="s">
        <v>12</v>
      </c>
      <c r="I611" s="8" t="s">
        <v>13</v>
      </c>
      <c r="J611" s="8" t="s">
        <v>77</v>
      </c>
      <c r="K611" t="s">
        <v>26</v>
      </c>
      <c r="L611" t="s">
        <v>261</v>
      </c>
      <c r="M611" s="2">
        <f>VALUE(MID(L611,1,FIND("@",L611)-6))</f>
        <v>81</v>
      </c>
      <c r="N611">
        <v>5</v>
      </c>
      <c r="O611" t="str">
        <f>IF(datos_limpios[[#This Row],[Seating Capacity ]]&gt;4,"SI","NO")</f>
        <v>SI</v>
      </c>
      <c r="P611">
        <v>43</v>
      </c>
    </row>
    <row r="612" spans="1:16" x14ac:dyDescent="0.3">
      <c r="A612" s="8" t="s">
        <v>23</v>
      </c>
      <c r="B612" s="8" t="s">
        <v>862</v>
      </c>
      <c r="C612" s="9">
        <v>611</v>
      </c>
      <c r="D612" s="3">
        <v>650000</v>
      </c>
      <c r="E612" s="1">
        <f>datos_limpios[[#This Row],[Price INR   ]]*0.011</f>
        <v>7150</v>
      </c>
      <c r="F612" s="13">
        <v>2020</v>
      </c>
      <c r="G612" s="2">
        <v>37003</v>
      </c>
      <c r="H612" s="8" t="s">
        <v>12</v>
      </c>
      <c r="I612" s="8" t="s">
        <v>13</v>
      </c>
      <c r="J612" s="8" t="s">
        <v>14</v>
      </c>
      <c r="K612" t="s">
        <v>26</v>
      </c>
      <c r="L612" t="s">
        <v>261</v>
      </c>
      <c r="M612" s="2">
        <f>VALUE(MID(L612,1,FIND("@",L612)-6))</f>
        <v>81</v>
      </c>
      <c r="N612">
        <v>5</v>
      </c>
      <c r="O612" t="str">
        <f>IF(datos_limpios[[#This Row],[Seating Capacity ]]&gt;4,"SI","NO")</f>
        <v>SI</v>
      </c>
      <c r="P612">
        <v>43</v>
      </c>
    </row>
    <row r="613" spans="1:16" x14ac:dyDescent="0.3">
      <c r="A613" s="8" t="s">
        <v>23</v>
      </c>
      <c r="B613" s="8" t="s">
        <v>908</v>
      </c>
      <c r="C613" s="9">
        <v>612</v>
      </c>
      <c r="D613" s="3">
        <v>650000</v>
      </c>
      <c r="E613" s="1">
        <f>datos_limpios[[#This Row],[Price INR   ]]*0.011</f>
        <v>7150</v>
      </c>
      <c r="F613" s="13">
        <v>2016</v>
      </c>
      <c r="G613" s="2">
        <v>61181</v>
      </c>
      <c r="H613" s="8" t="s">
        <v>19</v>
      </c>
      <c r="I613" s="8" t="s">
        <v>13</v>
      </c>
      <c r="J613" s="8" t="s">
        <v>20</v>
      </c>
      <c r="K613" t="s">
        <v>322</v>
      </c>
      <c r="L613" t="s">
        <v>140</v>
      </c>
      <c r="M613" s="2">
        <f>VALUE(MID(L613,1,FIND("@",L613)-6))</f>
        <v>89</v>
      </c>
      <c r="N613">
        <v>5</v>
      </c>
      <c r="O613" t="str">
        <f>IF(datos_limpios[[#This Row],[Seating Capacity ]]&gt;4,"SI","NO")</f>
        <v>SI</v>
      </c>
      <c r="P613">
        <v>45</v>
      </c>
    </row>
    <row r="614" spans="1:16" x14ac:dyDescent="0.3">
      <c r="A614" s="8" t="s">
        <v>23</v>
      </c>
      <c r="B614" s="8" t="s">
        <v>234</v>
      </c>
      <c r="C614" s="9">
        <v>613</v>
      </c>
      <c r="D614" s="3">
        <v>650000</v>
      </c>
      <c r="E614" s="1">
        <f>datos_limpios[[#This Row],[Price INR   ]]*0.011</f>
        <v>7150</v>
      </c>
      <c r="F614" s="13">
        <v>2020</v>
      </c>
      <c r="G614" s="2">
        <v>58100</v>
      </c>
      <c r="H614" s="8" t="s">
        <v>12</v>
      </c>
      <c r="I614" s="8" t="s">
        <v>13</v>
      </c>
      <c r="J614" s="8" t="s">
        <v>20</v>
      </c>
      <c r="K614" t="s">
        <v>26</v>
      </c>
      <c r="L614" t="s">
        <v>31</v>
      </c>
      <c r="M614" s="2">
        <f>VALUE(MID(L614,1,FIND("@",L614)-6))</f>
        <v>82</v>
      </c>
      <c r="N614">
        <v>5</v>
      </c>
      <c r="O614" t="str">
        <f>IF(datos_limpios[[#This Row],[Seating Capacity ]]&gt;4,"SI","NO")</f>
        <v>SI</v>
      </c>
      <c r="P614">
        <v>45</v>
      </c>
    </row>
    <row r="615" spans="1:16" x14ac:dyDescent="0.3">
      <c r="A615" s="8" t="s">
        <v>23</v>
      </c>
      <c r="B615" s="8" t="s">
        <v>1017</v>
      </c>
      <c r="C615" s="9">
        <v>614</v>
      </c>
      <c r="D615" s="3">
        <v>650000</v>
      </c>
      <c r="E615" s="1">
        <f>datos_limpios[[#This Row],[Price INR   ]]*0.011</f>
        <v>7150</v>
      </c>
      <c r="F615" s="13">
        <v>2013</v>
      </c>
      <c r="G615" s="2">
        <v>83466</v>
      </c>
      <c r="H615" s="8" t="s">
        <v>19</v>
      </c>
      <c r="I615" s="8" t="s">
        <v>40</v>
      </c>
      <c r="J615" s="8" t="s">
        <v>20</v>
      </c>
      <c r="K615" t="s">
        <v>1002</v>
      </c>
      <c r="L615" t="s">
        <v>1018</v>
      </c>
      <c r="M615" s="2">
        <f>VALUE(MID(L615,1,FIND("@",L615)-6))</f>
        <v>195</v>
      </c>
      <c r="N615">
        <v>7</v>
      </c>
      <c r="O615" t="str">
        <f>IF(datos_limpios[[#This Row],[Seating Capacity ]]&gt;4,"SI","NO")</f>
        <v>SI</v>
      </c>
      <c r="P615">
        <v>70</v>
      </c>
    </row>
    <row r="616" spans="1:16" x14ac:dyDescent="0.3">
      <c r="A616" s="8" t="s">
        <v>23</v>
      </c>
      <c r="B616" s="8" t="s">
        <v>1155</v>
      </c>
      <c r="C616" s="9">
        <v>615</v>
      </c>
      <c r="D616" s="3">
        <v>650000</v>
      </c>
      <c r="E616" s="1">
        <f>datos_limpios[[#This Row],[Price INR   ]]*0.011</f>
        <v>7150</v>
      </c>
      <c r="F616" s="13">
        <v>2017</v>
      </c>
      <c r="G616" s="2">
        <v>49422</v>
      </c>
      <c r="H616" s="8" t="s">
        <v>12</v>
      </c>
      <c r="I616" s="8" t="s">
        <v>40</v>
      </c>
      <c r="J616" s="8" t="s">
        <v>77</v>
      </c>
      <c r="K616" t="s">
        <v>26</v>
      </c>
      <c r="L616" t="s">
        <v>261</v>
      </c>
      <c r="M616" s="2">
        <f>VALUE(MID(L616,1,FIND("@",L616)-6))</f>
        <v>81</v>
      </c>
      <c r="N616">
        <v>5</v>
      </c>
      <c r="O616" t="str">
        <f>IF(datos_limpios[[#This Row],[Seating Capacity ]]&gt;4,"SI","NO")</f>
        <v>SI</v>
      </c>
      <c r="P616">
        <v>43</v>
      </c>
    </row>
    <row r="617" spans="1:16" x14ac:dyDescent="0.3">
      <c r="A617" s="8" t="s">
        <v>23</v>
      </c>
      <c r="B617" s="8" t="s">
        <v>1065</v>
      </c>
      <c r="C617" s="9">
        <v>616</v>
      </c>
      <c r="D617" s="3">
        <v>650000</v>
      </c>
      <c r="E617" s="1">
        <f>datos_limpios[[#This Row],[Price INR   ]]*0.011</f>
        <v>7150</v>
      </c>
      <c r="F617" s="13">
        <v>2019</v>
      </c>
      <c r="G617" s="2">
        <v>15000</v>
      </c>
      <c r="H617" s="8" t="s">
        <v>12</v>
      </c>
      <c r="I617" s="8" t="s">
        <v>40</v>
      </c>
      <c r="J617" s="8" t="s">
        <v>77</v>
      </c>
      <c r="K617" t="s">
        <v>26</v>
      </c>
      <c r="L617" t="s">
        <v>261</v>
      </c>
      <c r="M617" s="2">
        <f>VALUE(MID(L617,1,FIND("@",L617)-6))</f>
        <v>81</v>
      </c>
      <c r="N617">
        <v>5</v>
      </c>
      <c r="O617" t="str">
        <f>IF(datos_limpios[[#This Row],[Seating Capacity ]]&gt;4,"SI","NO")</f>
        <v>SI</v>
      </c>
      <c r="P617">
        <v>43</v>
      </c>
    </row>
    <row r="618" spans="1:16" x14ac:dyDescent="0.3">
      <c r="A618" s="8" t="s">
        <v>23</v>
      </c>
      <c r="B618" s="8" t="s">
        <v>1308</v>
      </c>
      <c r="C618" s="9">
        <v>617</v>
      </c>
      <c r="D618" s="3">
        <v>650000</v>
      </c>
      <c r="E618" s="1">
        <f>datos_limpios[[#This Row],[Price INR   ]]*0.011</f>
        <v>7150</v>
      </c>
      <c r="F618" s="13">
        <v>2016</v>
      </c>
      <c r="G618" s="2">
        <v>100000</v>
      </c>
      <c r="H618" s="8" t="s">
        <v>12</v>
      </c>
      <c r="I618" s="8" t="s">
        <v>13</v>
      </c>
      <c r="J618" s="8" t="s">
        <v>14</v>
      </c>
      <c r="K618" t="s">
        <v>26</v>
      </c>
      <c r="L618" t="s">
        <v>31</v>
      </c>
      <c r="M618" s="2">
        <f>VALUE(MID(L618,1,FIND("@",L618)-6))</f>
        <v>82</v>
      </c>
      <c r="N618">
        <v>5</v>
      </c>
      <c r="O618" t="str">
        <f>IF(datos_limpios[[#This Row],[Seating Capacity ]]&gt;4,"SI","NO")</f>
        <v>SI</v>
      </c>
      <c r="P618">
        <v>45</v>
      </c>
    </row>
    <row r="619" spans="1:16" x14ac:dyDescent="0.3">
      <c r="A619" s="8" t="s">
        <v>23</v>
      </c>
      <c r="B619" s="8" t="s">
        <v>234</v>
      </c>
      <c r="C619" s="9">
        <v>618</v>
      </c>
      <c r="D619" s="3">
        <v>660000</v>
      </c>
      <c r="E619" s="1">
        <f>datos_limpios[[#This Row],[Price INR   ]]*0.011</f>
        <v>7260</v>
      </c>
      <c r="F619" s="13">
        <v>2018</v>
      </c>
      <c r="G619" s="2">
        <v>9000</v>
      </c>
      <c r="H619" s="8" t="s">
        <v>12</v>
      </c>
      <c r="I619" s="8" t="s">
        <v>13</v>
      </c>
      <c r="J619" s="8" t="s">
        <v>14</v>
      </c>
      <c r="K619" t="s">
        <v>26</v>
      </c>
      <c r="L619" t="s">
        <v>31</v>
      </c>
      <c r="M619" s="2">
        <f>VALUE(MID(L619,1,FIND("@",L619)-6))</f>
        <v>82</v>
      </c>
      <c r="N619">
        <v>5</v>
      </c>
      <c r="O619" t="str">
        <f>IF(datos_limpios[[#This Row],[Seating Capacity ]]&gt;4,"SI","NO")</f>
        <v>SI</v>
      </c>
      <c r="P619">
        <v>45</v>
      </c>
    </row>
    <row r="620" spans="1:16" x14ac:dyDescent="0.3">
      <c r="A620" s="8" t="s">
        <v>23</v>
      </c>
      <c r="B620" s="8" t="s">
        <v>95</v>
      </c>
      <c r="C620" s="9">
        <v>619</v>
      </c>
      <c r="D620" s="3">
        <v>675000</v>
      </c>
      <c r="E620" s="1">
        <f>datos_limpios[[#This Row],[Price INR   ]]*0.011</f>
        <v>7425</v>
      </c>
      <c r="F620" s="13">
        <v>2017</v>
      </c>
      <c r="G620" s="2">
        <v>48591</v>
      </c>
      <c r="H620" s="8" t="s">
        <v>12</v>
      </c>
      <c r="I620" s="8" t="s">
        <v>13</v>
      </c>
      <c r="J620" s="8" t="s">
        <v>20</v>
      </c>
      <c r="K620" t="s">
        <v>26</v>
      </c>
      <c r="L620" t="s">
        <v>31</v>
      </c>
      <c r="M620" s="2">
        <f>VALUE(MID(L620,1,FIND("@",L620)-6))</f>
        <v>82</v>
      </c>
      <c r="N620">
        <v>5</v>
      </c>
      <c r="O620" t="str">
        <f>IF(datos_limpios[[#This Row],[Seating Capacity ]]&gt;4,"SI","NO")</f>
        <v>SI</v>
      </c>
      <c r="P620">
        <v>45</v>
      </c>
    </row>
    <row r="621" spans="1:16" x14ac:dyDescent="0.3">
      <c r="A621" s="8" t="s">
        <v>23</v>
      </c>
      <c r="B621" s="8" t="s">
        <v>882</v>
      </c>
      <c r="C621" s="9">
        <v>620</v>
      </c>
      <c r="D621" s="3">
        <v>685000</v>
      </c>
      <c r="E621" s="1">
        <f>datos_limpios[[#This Row],[Price INR   ]]*0.011</f>
        <v>7535</v>
      </c>
      <c r="F621" s="13">
        <v>2018</v>
      </c>
      <c r="G621" s="2">
        <v>64300</v>
      </c>
      <c r="H621" s="8" t="s">
        <v>12</v>
      </c>
      <c r="I621" s="8" t="s">
        <v>13</v>
      </c>
      <c r="J621" s="8" t="s">
        <v>82</v>
      </c>
      <c r="K621" t="s">
        <v>26</v>
      </c>
      <c r="L621" t="s">
        <v>31</v>
      </c>
      <c r="M621" s="2">
        <f>VALUE(MID(L621,1,FIND("@",L621)-6))</f>
        <v>82</v>
      </c>
      <c r="N621">
        <v>5</v>
      </c>
      <c r="O621" t="str">
        <f>IF(datos_limpios[[#This Row],[Seating Capacity ]]&gt;4,"SI","NO")</f>
        <v>SI</v>
      </c>
      <c r="P621">
        <v>40</v>
      </c>
    </row>
    <row r="622" spans="1:16" x14ac:dyDescent="0.3">
      <c r="A622" s="8" t="s">
        <v>23</v>
      </c>
      <c r="B622" s="8" t="s">
        <v>741</v>
      </c>
      <c r="C622" s="9">
        <v>621</v>
      </c>
      <c r="D622" s="3">
        <v>685000</v>
      </c>
      <c r="E622" s="1">
        <f>datos_limpios[[#This Row],[Price INR   ]]*0.011</f>
        <v>7535</v>
      </c>
      <c r="F622" s="13">
        <v>2021</v>
      </c>
      <c r="G622" s="2">
        <v>9232</v>
      </c>
      <c r="H622" s="8" t="s">
        <v>12</v>
      </c>
      <c r="I622" s="8" t="s">
        <v>40</v>
      </c>
      <c r="J622" s="8" t="s">
        <v>57</v>
      </c>
      <c r="K622" t="s">
        <v>26</v>
      </c>
      <c r="L622" t="s">
        <v>31</v>
      </c>
      <c r="M622" s="2">
        <f>VALUE(MID(L622,1,FIND("@",L622)-6))</f>
        <v>82</v>
      </c>
      <c r="N622">
        <v>5</v>
      </c>
      <c r="O622" t="str">
        <f>IF(datos_limpios[[#This Row],[Seating Capacity ]]&gt;4,"SI","NO")</f>
        <v>SI</v>
      </c>
      <c r="P622">
        <v>37</v>
      </c>
    </row>
    <row r="623" spans="1:16" x14ac:dyDescent="0.3">
      <c r="A623" s="8" t="s">
        <v>23</v>
      </c>
      <c r="B623" s="8" t="s">
        <v>586</v>
      </c>
      <c r="C623" s="9">
        <v>622</v>
      </c>
      <c r="D623" s="3">
        <v>690000</v>
      </c>
      <c r="E623" s="1">
        <f>datos_limpios[[#This Row],[Price INR   ]]*0.011</f>
        <v>7590</v>
      </c>
      <c r="F623" s="13">
        <v>2017</v>
      </c>
      <c r="G623" s="2">
        <v>17268</v>
      </c>
      <c r="H623" s="8" t="s">
        <v>12</v>
      </c>
      <c r="I623" s="8" t="s">
        <v>13</v>
      </c>
      <c r="J623" s="8" t="s">
        <v>30</v>
      </c>
      <c r="K623" t="s">
        <v>26</v>
      </c>
      <c r="L623" t="s">
        <v>31</v>
      </c>
      <c r="M623" s="2">
        <f>VALUE(MID(L623,1,FIND("@",L623)-6))</f>
        <v>82</v>
      </c>
      <c r="N623">
        <v>5</v>
      </c>
      <c r="O623" t="str">
        <f>IF(datos_limpios[[#This Row],[Seating Capacity ]]&gt;4,"SI","NO")</f>
        <v>SI</v>
      </c>
      <c r="P623">
        <v>45</v>
      </c>
    </row>
    <row r="624" spans="1:16" x14ac:dyDescent="0.3">
      <c r="A624" s="8" t="s">
        <v>23</v>
      </c>
      <c r="B624" s="8" t="s">
        <v>1368</v>
      </c>
      <c r="C624" s="9">
        <v>623</v>
      </c>
      <c r="D624" s="3">
        <v>690000</v>
      </c>
      <c r="E624" s="1">
        <f>datos_limpios[[#This Row],[Price INR   ]]*0.011</f>
        <v>7590</v>
      </c>
      <c r="F624" s="13">
        <v>2017</v>
      </c>
      <c r="G624" s="2">
        <v>65000</v>
      </c>
      <c r="H624" s="8" t="s">
        <v>19</v>
      </c>
      <c r="I624" s="8" t="s">
        <v>13</v>
      </c>
      <c r="J624" s="8" t="s">
        <v>20</v>
      </c>
      <c r="K624" t="s">
        <v>322</v>
      </c>
      <c r="L624" t="s">
        <v>140</v>
      </c>
      <c r="M624" s="2">
        <f>VALUE(MID(L624,1,FIND("@",L624)-6))</f>
        <v>89</v>
      </c>
      <c r="N624">
        <v>5</v>
      </c>
      <c r="O624" t="str">
        <f>IF(datos_limpios[[#This Row],[Seating Capacity ]]&gt;4,"SI","NO")</f>
        <v>SI</v>
      </c>
      <c r="P624">
        <v>45</v>
      </c>
    </row>
    <row r="625" spans="1:16" x14ac:dyDescent="0.3">
      <c r="A625" s="8" t="s">
        <v>23</v>
      </c>
      <c r="B625" s="8" t="s">
        <v>548</v>
      </c>
      <c r="C625" s="9">
        <v>624</v>
      </c>
      <c r="D625" s="3">
        <v>695000</v>
      </c>
      <c r="E625" s="1">
        <f>datos_limpios[[#This Row],[Price INR   ]]*0.011</f>
        <v>7645</v>
      </c>
      <c r="F625" s="13">
        <v>2020</v>
      </c>
      <c r="G625" s="2">
        <v>18000</v>
      </c>
      <c r="H625" s="8" t="s">
        <v>89</v>
      </c>
      <c r="I625" s="8" t="s">
        <v>13</v>
      </c>
      <c r="J625" s="8" t="s">
        <v>288</v>
      </c>
      <c r="K625" t="s">
        <v>26</v>
      </c>
      <c r="L625" t="s">
        <v>549</v>
      </c>
      <c r="M625" s="2">
        <f>VALUE(MID(L625,1,FIND("@",L625)-6))</f>
        <v>68</v>
      </c>
      <c r="N625">
        <v>5</v>
      </c>
      <c r="O625" t="str">
        <f>IF(datos_limpios[[#This Row],[Seating Capacity ]]&gt;4,"SI","NO")</f>
        <v>SI</v>
      </c>
      <c r="P625">
        <v>60</v>
      </c>
    </row>
    <row r="626" spans="1:16" x14ac:dyDescent="0.3">
      <c r="A626" s="8" t="s">
        <v>23</v>
      </c>
      <c r="B626" s="8" t="s">
        <v>1010</v>
      </c>
      <c r="C626" s="9">
        <v>625</v>
      </c>
      <c r="D626" s="3">
        <v>695000</v>
      </c>
      <c r="E626" s="1">
        <f>datos_limpios[[#This Row],[Price INR   ]]*0.011</f>
        <v>7645</v>
      </c>
      <c r="F626" s="13">
        <v>2019</v>
      </c>
      <c r="G626" s="2">
        <v>42678</v>
      </c>
      <c r="H626" s="8" t="s">
        <v>12</v>
      </c>
      <c r="I626" s="8" t="s">
        <v>13</v>
      </c>
      <c r="J626" s="8" t="s">
        <v>57</v>
      </c>
      <c r="K626" t="s">
        <v>26</v>
      </c>
      <c r="L626" t="s">
        <v>31</v>
      </c>
      <c r="M626" s="2">
        <f>VALUE(MID(L626,1,FIND("@",L626)-6))</f>
        <v>82</v>
      </c>
      <c r="N626">
        <v>5</v>
      </c>
      <c r="O626" t="str">
        <f>IF(datos_limpios[[#This Row],[Seating Capacity ]]&gt;4,"SI","NO")</f>
        <v>SI</v>
      </c>
      <c r="P626">
        <v>45</v>
      </c>
    </row>
    <row r="627" spans="1:16" x14ac:dyDescent="0.3">
      <c r="A627" s="8" t="s">
        <v>23</v>
      </c>
      <c r="B627" s="8" t="s">
        <v>298</v>
      </c>
      <c r="C627" s="9">
        <v>626</v>
      </c>
      <c r="D627" s="3">
        <v>699000</v>
      </c>
      <c r="E627" s="1">
        <f>datos_limpios[[#This Row],[Price INR   ]]*0.011</f>
        <v>7689</v>
      </c>
      <c r="F627" s="13">
        <v>2017</v>
      </c>
      <c r="G627" s="2">
        <v>67000</v>
      </c>
      <c r="H627" s="8" t="s">
        <v>12</v>
      </c>
      <c r="I627" s="8" t="s">
        <v>13</v>
      </c>
      <c r="J627" s="8" t="s">
        <v>20</v>
      </c>
      <c r="K627" t="s">
        <v>78</v>
      </c>
      <c r="L627" t="s">
        <v>231</v>
      </c>
      <c r="M627" s="2">
        <f>VALUE(MID(L627,1,FIND("@",L627)-6))</f>
        <v>121</v>
      </c>
      <c r="N627">
        <v>5</v>
      </c>
      <c r="O627" t="str">
        <f>IF(datos_limpios[[#This Row],[Seating Capacity ]]&gt;4,"SI","NO")</f>
        <v>SI</v>
      </c>
      <c r="P627">
        <v>43</v>
      </c>
    </row>
    <row r="628" spans="1:16" x14ac:dyDescent="0.3">
      <c r="A628" s="8" t="s">
        <v>23</v>
      </c>
      <c r="B628" s="8" t="s">
        <v>515</v>
      </c>
      <c r="C628" s="9">
        <v>627</v>
      </c>
      <c r="D628" s="3">
        <v>700000</v>
      </c>
      <c r="E628" s="1">
        <f>datos_limpios[[#This Row],[Price INR   ]]*0.011</f>
        <v>7700</v>
      </c>
      <c r="F628" s="13">
        <v>2014</v>
      </c>
      <c r="G628" s="2">
        <v>64000</v>
      </c>
      <c r="H628" s="8" t="s">
        <v>12</v>
      </c>
      <c r="I628" s="8" t="s">
        <v>13</v>
      </c>
      <c r="J628" s="8" t="s">
        <v>20</v>
      </c>
      <c r="K628" t="s">
        <v>516</v>
      </c>
      <c r="L628" t="s">
        <v>517</v>
      </c>
      <c r="M628" s="2">
        <f>VALUE(MID(L628,1,FIND("@",L628)-6))</f>
        <v>147</v>
      </c>
      <c r="N628">
        <v>5</v>
      </c>
      <c r="O628" t="str">
        <f>IF(datos_limpios[[#This Row],[Seating Capacity ]]&gt;4,"SI","NO")</f>
        <v>SI</v>
      </c>
      <c r="P628">
        <v>56</v>
      </c>
    </row>
    <row r="629" spans="1:16" x14ac:dyDescent="0.3">
      <c r="A629" s="8" t="s">
        <v>23</v>
      </c>
      <c r="B629" s="8" t="s">
        <v>669</v>
      </c>
      <c r="C629" s="9">
        <v>628</v>
      </c>
      <c r="D629" s="3">
        <v>700000</v>
      </c>
      <c r="E629" s="1">
        <f>datos_limpios[[#This Row],[Price INR   ]]*0.011</f>
        <v>7700</v>
      </c>
      <c r="F629" s="13">
        <v>2020</v>
      </c>
      <c r="G629" s="2">
        <v>25000</v>
      </c>
      <c r="H629" s="8" t="s">
        <v>12</v>
      </c>
      <c r="I629" s="8" t="s">
        <v>13</v>
      </c>
      <c r="J629" s="8" t="s">
        <v>20</v>
      </c>
      <c r="K629" t="s">
        <v>26</v>
      </c>
      <c r="L629" t="s">
        <v>31</v>
      </c>
      <c r="M629" s="2">
        <f>VALUE(MID(L629,1,FIND("@",L629)-6))</f>
        <v>82</v>
      </c>
      <c r="N629">
        <v>5</v>
      </c>
      <c r="O629" t="str">
        <f>IF(datos_limpios[[#This Row],[Seating Capacity ]]&gt;4,"SI","NO")</f>
        <v>SI</v>
      </c>
      <c r="P629">
        <v>37</v>
      </c>
    </row>
    <row r="630" spans="1:16" x14ac:dyDescent="0.3">
      <c r="A630" s="8" t="s">
        <v>23</v>
      </c>
      <c r="B630" s="8" t="s">
        <v>381</v>
      </c>
      <c r="C630" s="9">
        <v>629</v>
      </c>
      <c r="D630" s="3">
        <v>715000</v>
      </c>
      <c r="E630" s="1">
        <f>datos_limpios[[#This Row],[Price INR   ]]*0.011</f>
        <v>7864.9999999999991</v>
      </c>
      <c r="F630" s="13">
        <v>2020</v>
      </c>
      <c r="G630" s="2">
        <v>17000</v>
      </c>
      <c r="H630" s="8" t="s">
        <v>12</v>
      </c>
      <c r="I630" s="8" t="s">
        <v>40</v>
      </c>
      <c r="J630" s="8" t="s">
        <v>77</v>
      </c>
      <c r="K630" t="s">
        <v>26</v>
      </c>
      <c r="L630" t="s">
        <v>31</v>
      </c>
      <c r="M630" s="2">
        <f>VALUE(MID(L630,1,FIND("@",L630)-6))</f>
        <v>82</v>
      </c>
      <c r="N630">
        <v>5</v>
      </c>
      <c r="O630" t="str">
        <f>IF(datos_limpios[[#This Row],[Seating Capacity ]]&gt;4,"SI","NO")</f>
        <v>SI</v>
      </c>
      <c r="P630">
        <v>37</v>
      </c>
    </row>
    <row r="631" spans="1:16" x14ac:dyDescent="0.3">
      <c r="A631" s="8" t="s">
        <v>23</v>
      </c>
      <c r="B631" s="8" t="s">
        <v>562</v>
      </c>
      <c r="C631" s="9">
        <v>630</v>
      </c>
      <c r="D631" s="3">
        <v>725000</v>
      </c>
      <c r="E631" s="1">
        <f>datos_limpios[[#This Row],[Price INR   ]]*0.011</f>
        <v>7974.9999999999991</v>
      </c>
      <c r="F631" s="13">
        <v>2016</v>
      </c>
      <c r="G631" s="2">
        <v>84000</v>
      </c>
      <c r="H631" s="8" t="s">
        <v>19</v>
      </c>
      <c r="I631" s="8" t="s">
        <v>13</v>
      </c>
      <c r="J631" s="8" t="s">
        <v>20</v>
      </c>
      <c r="K631" t="s">
        <v>322</v>
      </c>
      <c r="L631" t="s">
        <v>140</v>
      </c>
      <c r="M631" s="2">
        <f>VALUE(MID(L631,1,FIND("@",L631)-6))</f>
        <v>89</v>
      </c>
      <c r="N631">
        <v>5</v>
      </c>
      <c r="O631" t="str">
        <f>IF(datos_limpios[[#This Row],[Seating Capacity ]]&gt;4,"SI","NO")</f>
        <v>SI</v>
      </c>
      <c r="P631">
        <v>45</v>
      </c>
    </row>
    <row r="632" spans="1:16" x14ac:dyDescent="0.3">
      <c r="A632" s="8" t="s">
        <v>23</v>
      </c>
      <c r="B632" s="8" t="s">
        <v>994</v>
      </c>
      <c r="C632" s="9">
        <v>631</v>
      </c>
      <c r="D632" s="3">
        <v>725000</v>
      </c>
      <c r="E632" s="1">
        <f>datos_limpios[[#This Row],[Price INR   ]]*0.011</f>
        <v>7974.9999999999991</v>
      </c>
      <c r="F632" s="13">
        <v>2016</v>
      </c>
      <c r="G632" s="2">
        <v>42000</v>
      </c>
      <c r="H632" s="8" t="s">
        <v>19</v>
      </c>
      <c r="I632" s="8" t="s">
        <v>13</v>
      </c>
      <c r="J632" s="8" t="s">
        <v>20</v>
      </c>
      <c r="K632" t="s">
        <v>102</v>
      </c>
      <c r="L632" t="s">
        <v>103</v>
      </c>
      <c r="M632" s="2">
        <f>VALUE(MID(L632,1,FIND("@",L632)-6))</f>
        <v>126</v>
      </c>
      <c r="N632">
        <v>5</v>
      </c>
      <c r="O632" t="str">
        <f>IF(datos_limpios[[#This Row],[Seating Capacity ]]&gt;4,"SI","NO")</f>
        <v>SI</v>
      </c>
      <c r="P632">
        <v>43</v>
      </c>
    </row>
    <row r="633" spans="1:16" x14ac:dyDescent="0.3">
      <c r="A633" s="8" t="s">
        <v>23</v>
      </c>
      <c r="B633" s="8" t="s">
        <v>548</v>
      </c>
      <c r="C633" s="9">
        <v>632</v>
      </c>
      <c r="D633" s="3">
        <v>725000</v>
      </c>
      <c r="E633" s="1">
        <f>datos_limpios[[#This Row],[Price INR   ]]*0.011</f>
        <v>7974.9999999999991</v>
      </c>
      <c r="F633" s="13">
        <v>2021</v>
      </c>
      <c r="G633" s="2">
        <v>45000</v>
      </c>
      <c r="H633" s="8" t="s">
        <v>89</v>
      </c>
      <c r="I633" s="8" t="s">
        <v>13</v>
      </c>
      <c r="J633" s="8" t="s">
        <v>14</v>
      </c>
      <c r="K633" t="s">
        <v>26</v>
      </c>
      <c r="L633" t="s">
        <v>549</v>
      </c>
      <c r="M633" s="2">
        <f>VALUE(MID(L633,1,FIND("@",L633)-6))</f>
        <v>68</v>
      </c>
      <c r="N633">
        <v>5</v>
      </c>
      <c r="O633" t="str">
        <f>IF(datos_limpios[[#This Row],[Seating Capacity ]]&gt;4,"SI","NO")</f>
        <v>SI</v>
      </c>
      <c r="P633">
        <v>60</v>
      </c>
    </row>
    <row r="634" spans="1:16" x14ac:dyDescent="0.3">
      <c r="A634" s="8" t="s">
        <v>23</v>
      </c>
      <c r="B634" s="8" t="s">
        <v>586</v>
      </c>
      <c r="C634" s="9">
        <v>633</v>
      </c>
      <c r="D634" s="3">
        <v>725000</v>
      </c>
      <c r="E634" s="1">
        <f>datos_limpios[[#This Row],[Price INR   ]]*0.011</f>
        <v>7974.9999999999991</v>
      </c>
      <c r="F634" s="13">
        <v>2017</v>
      </c>
      <c r="G634" s="2">
        <v>36597</v>
      </c>
      <c r="H634" s="8" t="s">
        <v>12</v>
      </c>
      <c r="I634" s="8" t="s">
        <v>13</v>
      </c>
      <c r="J634" s="8" t="s">
        <v>30</v>
      </c>
      <c r="K634" t="s">
        <v>26</v>
      </c>
      <c r="L634" t="s">
        <v>31</v>
      </c>
      <c r="M634" s="2">
        <f>VALUE(MID(L634,1,FIND("@",L634)-6))</f>
        <v>82</v>
      </c>
      <c r="N634">
        <v>5</v>
      </c>
      <c r="O634" t="str">
        <f>IF(datos_limpios[[#This Row],[Seating Capacity ]]&gt;4,"SI","NO")</f>
        <v>SI</v>
      </c>
      <c r="P634">
        <v>45</v>
      </c>
    </row>
    <row r="635" spans="1:16" x14ac:dyDescent="0.3">
      <c r="A635" s="8" t="s">
        <v>23</v>
      </c>
      <c r="B635" s="8" t="s">
        <v>76</v>
      </c>
      <c r="C635" s="9">
        <v>634</v>
      </c>
      <c r="D635" s="3">
        <v>740000</v>
      </c>
      <c r="E635" s="1">
        <f>datos_limpios[[#This Row],[Price INR   ]]*0.011</f>
        <v>8139.9999999999991</v>
      </c>
      <c r="F635" s="13">
        <v>2016</v>
      </c>
      <c r="G635" s="2">
        <v>60125</v>
      </c>
      <c r="H635" s="8" t="s">
        <v>12</v>
      </c>
      <c r="I635" s="8" t="s">
        <v>13</v>
      </c>
      <c r="J635" s="8" t="s">
        <v>77</v>
      </c>
      <c r="K635" t="s">
        <v>78</v>
      </c>
      <c r="L635" t="s">
        <v>79</v>
      </c>
      <c r="M635" s="2">
        <f>VALUE(MID(L635,1,FIND("@",L635)-6))</f>
        <v>122</v>
      </c>
      <c r="N635">
        <v>5</v>
      </c>
      <c r="O635" t="str">
        <f>IF(datos_limpios[[#This Row],[Seating Capacity ]]&gt;4,"SI","NO")</f>
        <v>SI</v>
      </c>
      <c r="P635">
        <v>60</v>
      </c>
    </row>
    <row r="636" spans="1:16" x14ac:dyDescent="0.3">
      <c r="A636" s="8" t="s">
        <v>23</v>
      </c>
      <c r="B636" s="8" t="s">
        <v>1294</v>
      </c>
      <c r="C636" s="9">
        <v>635</v>
      </c>
      <c r="D636" s="3">
        <v>740000</v>
      </c>
      <c r="E636" s="1">
        <f>datos_limpios[[#This Row],[Price INR   ]]*0.011</f>
        <v>8139.9999999999991</v>
      </c>
      <c r="F636" s="13">
        <v>2020</v>
      </c>
      <c r="G636" s="2">
        <v>39000</v>
      </c>
      <c r="H636" s="8" t="s">
        <v>89</v>
      </c>
      <c r="I636" s="8" t="s">
        <v>13</v>
      </c>
      <c r="J636" s="8" t="s">
        <v>77</v>
      </c>
      <c r="K636" t="s">
        <v>26</v>
      </c>
      <c r="L636" t="s">
        <v>549</v>
      </c>
      <c r="M636" s="2">
        <f>VALUE(MID(L636,1,FIND("@",L636)-6))</f>
        <v>68</v>
      </c>
      <c r="N636">
        <v>5</v>
      </c>
      <c r="O636" t="str">
        <f>IF(datos_limpios[[#This Row],[Seating Capacity ]]&gt;4,"SI","NO")</f>
        <v>SI</v>
      </c>
      <c r="P636">
        <v>65</v>
      </c>
    </row>
    <row r="637" spans="1:16" x14ac:dyDescent="0.3">
      <c r="A637" s="8" t="s">
        <v>23</v>
      </c>
      <c r="B637" s="8" t="s">
        <v>230</v>
      </c>
      <c r="C637" s="9">
        <v>636</v>
      </c>
      <c r="D637" s="3">
        <v>750000</v>
      </c>
      <c r="E637" s="1">
        <f>datos_limpios[[#This Row],[Price INR   ]]*0.011</f>
        <v>8250</v>
      </c>
      <c r="F637" s="13">
        <v>2018</v>
      </c>
      <c r="G637" s="2">
        <v>16339</v>
      </c>
      <c r="H637" s="8" t="s">
        <v>12</v>
      </c>
      <c r="I637" s="8" t="s">
        <v>13</v>
      </c>
      <c r="J637" s="8" t="s">
        <v>101</v>
      </c>
      <c r="K637" t="s">
        <v>78</v>
      </c>
      <c r="L637" t="s">
        <v>231</v>
      </c>
      <c r="M637" s="2">
        <f>VALUE(MID(L637,1,FIND("@",L637)-6))</f>
        <v>121</v>
      </c>
      <c r="N637">
        <v>5</v>
      </c>
      <c r="O637" t="str">
        <f>IF(datos_limpios[[#This Row],[Seating Capacity ]]&gt;4,"SI","NO")</f>
        <v>SI</v>
      </c>
      <c r="P637">
        <v>43</v>
      </c>
    </row>
    <row r="638" spans="1:16" x14ac:dyDescent="0.3">
      <c r="A638" s="8" t="s">
        <v>23</v>
      </c>
      <c r="B638" s="8" t="s">
        <v>435</v>
      </c>
      <c r="C638" s="9">
        <v>637</v>
      </c>
      <c r="D638" s="3">
        <v>750000</v>
      </c>
      <c r="E638" s="1">
        <f>datos_limpios[[#This Row],[Price INR   ]]*0.011</f>
        <v>8250</v>
      </c>
      <c r="F638" s="13">
        <v>2018</v>
      </c>
      <c r="G638" s="2">
        <v>33647</v>
      </c>
      <c r="H638" s="8" t="s">
        <v>12</v>
      </c>
      <c r="I638" s="8" t="s">
        <v>40</v>
      </c>
      <c r="J638" s="8" t="s">
        <v>30</v>
      </c>
      <c r="K638" t="s">
        <v>26</v>
      </c>
      <c r="L638" t="s">
        <v>31</v>
      </c>
      <c r="M638" s="2">
        <f>VALUE(MID(L638,1,FIND("@",L638)-6))</f>
        <v>82</v>
      </c>
      <c r="N638">
        <v>5</v>
      </c>
      <c r="O638" t="str">
        <f>IF(datos_limpios[[#This Row],[Seating Capacity ]]&gt;4,"SI","NO")</f>
        <v>SI</v>
      </c>
      <c r="P638">
        <v>40</v>
      </c>
    </row>
    <row r="639" spans="1:16" x14ac:dyDescent="0.3">
      <c r="A639" s="8" t="s">
        <v>23</v>
      </c>
      <c r="B639" s="8" t="s">
        <v>1014</v>
      </c>
      <c r="C639" s="9">
        <v>638</v>
      </c>
      <c r="D639" s="3">
        <v>750000</v>
      </c>
      <c r="E639" s="1">
        <f>datos_limpios[[#This Row],[Price INR   ]]*0.011</f>
        <v>8250</v>
      </c>
      <c r="F639" s="13">
        <v>2017</v>
      </c>
      <c r="G639" s="2">
        <v>72000</v>
      </c>
      <c r="H639" s="8" t="s">
        <v>19</v>
      </c>
      <c r="I639" s="8" t="s">
        <v>13</v>
      </c>
      <c r="J639" s="8" t="s">
        <v>25</v>
      </c>
      <c r="K639" t="s">
        <v>322</v>
      </c>
      <c r="L639" t="s">
        <v>140</v>
      </c>
      <c r="M639" s="2">
        <f>VALUE(MID(L639,1,FIND("@",L639)-6))</f>
        <v>89</v>
      </c>
      <c r="N639">
        <v>5</v>
      </c>
      <c r="O639" t="str">
        <f>IF(datos_limpios[[#This Row],[Seating Capacity ]]&gt;4,"SI","NO")</f>
        <v>SI</v>
      </c>
      <c r="P639">
        <v>45</v>
      </c>
    </row>
    <row r="640" spans="1:16" x14ac:dyDescent="0.3">
      <c r="A640" s="8" t="s">
        <v>23</v>
      </c>
      <c r="B640" s="8" t="s">
        <v>1314</v>
      </c>
      <c r="C640" s="9">
        <v>639</v>
      </c>
      <c r="D640" s="3">
        <v>750000</v>
      </c>
      <c r="E640" s="1">
        <f>datos_limpios[[#This Row],[Price INR   ]]*0.011</f>
        <v>8250</v>
      </c>
      <c r="F640" s="13">
        <v>2019</v>
      </c>
      <c r="G640" s="2">
        <v>43600</v>
      </c>
      <c r="H640" s="8" t="s">
        <v>12</v>
      </c>
      <c r="I640" s="8" t="s">
        <v>40</v>
      </c>
      <c r="J640" s="8" t="s">
        <v>20</v>
      </c>
      <c r="K640" t="s">
        <v>69</v>
      </c>
      <c r="L640" t="s">
        <v>87</v>
      </c>
      <c r="M640" s="2">
        <f>VALUE(MID(L640,1,FIND("@",L640)-6))</f>
        <v>118</v>
      </c>
      <c r="N640">
        <v>5</v>
      </c>
      <c r="O640" t="str">
        <f>IF(datos_limpios[[#This Row],[Seating Capacity ]]&gt;4,"SI","NO")</f>
        <v>SI</v>
      </c>
      <c r="P640">
        <v>45</v>
      </c>
    </row>
    <row r="641" spans="1:16" x14ac:dyDescent="0.3">
      <c r="A641" s="8" t="s">
        <v>23</v>
      </c>
      <c r="B641" s="8" t="s">
        <v>1393</v>
      </c>
      <c r="C641" s="9">
        <v>640</v>
      </c>
      <c r="D641" s="3">
        <v>755000</v>
      </c>
      <c r="E641" s="1">
        <f>datos_limpios[[#This Row],[Price INR   ]]*0.011</f>
        <v>8305</v>
      </c>
      <c r="F641" s="13">
        <v>2022</v>
      </c>
      <c r="G641" s="2">
        <v>2272</v>
      </c>
      <c r="H641" s="8" t="s">
        <v>12</v>
      </c>
      <c r="I641" s="8" t="s">
        <v>13</v>
      </c>
      <c r="J641" s="8" t="s">
        <v>20</v>
      </c>
      <c r="K641" t="s">
        <v>26</v>
      </c>
      <c r="L641" t="s">
        <v>31</v>
      </c>
      <c r="M641" s="2">
        <f>VALUE(MID(L641,1,FIND("@",L641)-6))</f>
        <v>82</v>
      </c>
      <c r="N641">
        <v>5</v>
      </c>
      <c r="O641" t="str">
        <f>IF(datos_limpios[[#This Row],[Seating Capacity ]]&gt;4,"SI","NO")</f>
        <v>SI</v>
      </c>
      <c r="P641">
        <v>37</v>
      </c>
    </row>
    <row r="642" spans="1:16" x14ac:dyDescent="0.3">
      <c r="A642" s="8" t="s">
        <v>23</v>
      </c>
      <c r="B642" s="8" t="s">
        <v>896</v>
      </c>
      <c r="C642" s="9">
        <v>641</v>
      </c>
      <c r="D642" s="3">
        <v>765000</v>
      </c>
      <c r="E642" s="1">
        <f>datos_limpios[[#This Row],[Price INR   ]]*0.011</f>
        <v>8415</v>
      </c>
      <c r="F642" s="13">
        <v>2021</v>
      </c>
      <c r="G642" s="2">
        <v>18105</v>
      </c>
      <c r="H642" s="8" t="s">
        <v>12</v>
      </c>
      <c r="I642" s="8" t="s">
        <v>13</v>
      </c>
      <c r="J642" s="8" t="s">
        <v>77</v>
      </c>
      <c r="K642" t="s">
        <v>26</v>
      </c>
      <c r="L642" t="s">
        <v>261</v>
      </c>
      <c r="M642" s="2">
        <f>VALUE(MID(L642,1,FIND("@",L642)-6))</f>
        <v>81</v>
      </c>
      <c r="N642">
        <v>5</v>
      </c>
      <c r="O642" t="str">
        <f>IF(datos_limpios[[#This Row],[Seating Capacity ]]&gt;4,"SI","NO")</f>
        <v>SI</v>
      </c>
      <c r="P642">
        <v>43</v>
      </c>
    </row>
    <row r="643" spans="1:16" x14ac:dyDescent="0.3">
      <c r="A643" s="8" t="s">
        <v>23</v>
      </c>
      <c r="B643" s="8" t="s">
        <v>1323</v>
      </c>
      <c r="C643" s="9">
        <v>642</v>
      </c>
      <c r="D643" s="3">
        <v>770000</v>
      </c>
      <c r="E643" s="1">
        <f>datos_limpios[[#This Row],[Price INR   ]]*0.011</f>
        <v>8470</v>
      </c>
      <c r="F643" s="13">
        <v>2016</v>
      </c>
      <c r="G643" s="2">
        <v>20000</v>
      </c>
      <c r="H643" s="8" t="s">
        <v>12</v>
      </c>
      <c r="I643" s="8" t="s">
        <v>40</v>
      </c>
      <c r="J643" s="8" t="s">
        <v>20</v>
      </c>
      <c r="K643" t="s">
        <v>78</v>
      </c>
      <c r="L643" t="s">
        <v>231</v>
      </c>
      <c r="M643" s="2">
        <f>VALUE(MID(L643,1,FIND("@",L643)-6))</f>
        <v>121</v>
      </c>
      <c r="N643">
        <v>5</v>
      </c>
      <c r="O643" t="str">
        <f>IF(datos_limpios[[#This Row],[Seating Capacity ]]&gt;4,"SI","NO")</f>
        <v>SI</v>
      </c>
      <c r="P643">
        <v>43</v>
      </c>
    </row>
    <row r="644" spans="1:16" x14ac:dyDescent="0.3">
      <c r="A644" s="8" t="s">
        <v>23</v>
      </c>
      <c r="B644" s="8" t="s">
        <v>669</v>
      </c>
      <c r="C644" s="9">
        <v>643</v>
      </c>
      <c r="D644" s="3">
        <v>775000</v>
      </c>
      <c r="E644" s="1">
        <f>datos_limpios[[#This Row],[Price INR   ]]*0.011</f>
        <v>8525</v>
      </c>
      <c r="F644" s="13">
        <v>2020</v>
      </c>
      <c r="G644" s="2">
        <v>39000</v>
      </c>
      <c r="H644" s="8" t="s">
        <v>12</v>
      </c>
      <c r="I644" s="8" t="s">
        <v>13</v>
      </c>
      <c r="J644" s="8" t="s">
        <v>20</v>
      </c>
      <c r="K644" t="s">
        <v>26</v>
      </c>
      <c r="L644" t="s">
        <v>31</v>
      </c>
      <c r="M644" s="2">
        <f>VALUE(MID(L644,1,FIND("@",L644)-6))</f>
        <v>82</v>
      </c>
      <c r="N644">
        <v>5</v>
      </c>
      <c r="O644" t="str">
        <f>IF(datos_limpios[[#This Row],[Seating Capacity ]]&gt;4,"SI","NO")</f>
        <v>SI</v>
      </c>
      <c r="P644">
        <v>37</v>
      </c>
    </row>
    <row r="645" spans="1:16" x14ac:dyDescent="0.3">
      <c r="A645" s="8" t="s">
        <v>23</v>
      </c>
      <c r="B645" s="8" t="s">
        <v>961</v>
      </c>
      <c r="C645" s="9">
        <v>644</v>
      </c>
      <c r="D645" s="3">
        <v>775000</v>
      </c>
      <c r="E645" s="1">
        <f>datos_limpios[[#This Row],[Price INR   ]]*0.011</f>
        <v>8525</v>
      </c>
      <c r="F645" s="13">
        <v>2015</v>
      </c>
      <c r="G645" s="2">
        <v>82000</v>
      </c>
      <c r="H645" s="8" t="s">
        <v>19</v>
      </c>
      <c r="I645" s="8" t="s">
        <v>13</v>
      </c>
      <c r="J645" s="8" t="s">
        <v>30</v>
      </c>
      <c r="K645" t="s">
        <v>102</v>
      </c>
      <c r="L645" t="s">
        <v>103</v>
      </c>
      <c r="M645" s="2">
        <f>VALUE(MID(L645,1,FIND("@",L645)-6))</f>
        <v>126</v>
      </c>
      <c r="N645">
        <v>5</v>
      </c>
      <c r="O645" t="str">
        <f>IF(datos_limpios[[#This Row],[Seating Capacity ]]&gt;4,"SI","NO")</f>
        <v>SI</v>
      </c>
      <c r="P645">
        <v>60</v>
      </c>
    </row>
    <row r="646" spans="1:16" x14ac:dyDescent="0.3">
      <c r="A646" s="8" t="s">
        <v>23</v>
      </c>
      <c r="B646" s="8" t="s">
        <v>586</v>
      </c>
      <c r="C646" s="9">
        <v>645</v>
      </c>
      <c r="D646" s="3">
        <v>779000</v>
      </c>
      <c r="E646" s="1">
        <f>datos_limpios[[#This Row],[Price INR   ]]*0.011</f>
        <v>8569</v>
      </c>
      <c r="F646" s="13">
        <v>2016</v>
      </c>
      <c r="G646" s="2">
        <v>9889</v>
      </c>
      <c r="H646" s="8" t="s">
        <v>12</v>
      </c>
      <c r="I646" s="8" t="s">
        <v>13</v>
      </c>
      <c r="J646" s="8" t="s">
        <v>57</v>
      </c>
      <c r="K646" t="s">
        <v>26</v>
      </c>
      <c r="L646" t="s">
        <v>31</v>
      </c>
      <c r="M646" s="2">
        <f>VALUE(MID(L646,1,FIND("@",L646)-6))</f>
        <v>82</v>
      </c>
      <c r="N646">
        <v>5</v>
      </c>
      <c r="O646" t="str">
        <f>IF(datos_limpios[[#This Row],[Seating Capacity ]]&gt;4,"SI","NO")</f>
        <v>SI</v>
      </c>
      <c r="P646">
        <v>45</v>
      </c>
    </row>
    <row r="647" spans="1:16" x14ac:dyDescent="0.3">
      <c r="A647" s="8" t="s">
        <v>23</v>
      </c>
      <c r="B647" s="8" t="s">
        <v>756</v>
      </c>
      <c r="C647" s="9">
        <v>646</v>
      </c>
      <c r="D647" s="3">
        <v>795000</v>
      </c>
      <c r="E647" s="1">
        <f>datos_limpios[[#This Row],[Price INR   ]]*0.011</f>
        <v>8745</v>
      </c>
      <c r="F647" s="13">
        <v>2022</v>
      </c>
      <c r="G647" s="2">
        <v>4000</v>
      </c>
      <c r="H647" s="8" t="s">
        <v>12</v>
      </c>
      <c r="I647" s="8" t="s">
        <v>40</v>
      </c>
      <c r="J647" s="8" t="s">
        <v>20</v>
      </c>
      <c r="K647" t="s">
        <v>26</v>
      </c>
      <c r="L647" t="s">
        <v>16</v>
      </c>
      <c r="M647" s="2">
        <f>VALUE(MID(L647,1,FIND("@",L647)-6))</f>
        <v>87</v>
      </c>
      <c r="N647">
        <v>5</v>
      </c>
      <c r="O647" t="str">
        <f>IF(datos_limpios[[#This Row],[Seating Capacity ]]&gt;4,"SI","NO")</f>
        <v>SI</v>
      </c>
      <c r="P647">
        <v>37</v>
      </c>
    </row>
    <row r="648" spans="1:16" x14ac:dyDescent="0.3">
      <c r="A648" s="8" t="s">
        <v>23</v>
      </c>
      <c r="B648" s="8" t="s">
        <v>994</v>
      </c>
      <c r="C648" s="9">
        <v>647</v>
      </c>
      <c r="D648" s="3">
        <v>799000</v>
      </c>
      <c r="E648" s="1">
        <f>datos_limpios[[#This Row],[Price INR   ]]*0.011</f>
        <v>8789</v>
      </c>
      <c r="F648" s="13">
        <v>2018</v>
      </c>
      <c r="G648" s="2">
        <v>79800</v>
      </c>
      <c r="H648" s="8" t="s">
        <v>19</v>
      </c>
      <c r="I648" s="8" t="s">
        <v>13</v>
      </c>
      <c r="J648" s="8" t="s">
        <v>14</v>
      </c>
      <c r="K648" t="s">
        <v>102</v>
      </c>
      <c r="L648" t="s">
        <v>103</v>
      </c>
      <c r="M648" s="2">
        <f>VALUE(MID(L648,1,FIND("@",L648)-6))</f>
        <v>126</v>
      </c>
      <c r="N648">
        <v>5</v>
      </c>
      <c r="O648" t="str">
        <f>IF(datos_limpios[[#This Row],[Seating Capacity ]]&gt;4,"SI","NO")</f>
        <v>SI</v>
      </c>
      <c r="P648">
        <v>43</v>
      </c>
    </row>
    <row r="649" spans="1:16" x14ac:dyDescent="0.3">
      <c r="A649" s="8" t="s">
        <v>23</v>
      </c>
      <c r="B649" s="8" t="s">
        <v>1142</v>
      </c>
      <c r="C649" s="9">
        <v>648</v>
      </c>
      <c r="D649" s="3">
        <v>800000</v>
      </c>
      <c r="E649" s="1">
        <f>datos_limpios[[#This Row],[Price INR   ]]*0.011</f>
        <v>8800</v>
      </c>
      <c r="F649" s="13">
        <v>2015</v>
      </c>
      <c r="G649" s="2">
        <v>90000</v>
      </c>
      <c r="H649" s="8" t="s">
        <v>19</v>
      </c>
      <c r="I649" s="8" t="s">
        <v>13</v>
      </c>
      <c r="J649" s="8" t="s">
        <v>77</v>
      </c>
      <c r="K649" t="s">
        <v>102</v>
      </c>
      <c r="L649" t="s">
        <v>103</v>
      </c>
      <c r="M649" s="2">
        <f>VALUE(MID(L649,1,FIND("@",L649)-6))</f>
        <v>126</v>
      </c>
      <c r="N649">
        <v>5</v>
      </c>
      <c r="O649" t="str">
        <f>IF(datos_limpios[[#This Row],[Seating Capacity ]]&gt;4,"SI","NO")</f>
        <v>SI</v>
      </c>
      <c r="P649">
        <v>60</v>
      </c>
    </row>
    <row r="650" spans="1:16" x14ac:dyDescent="0.3">
      <c r="A650" s="8" t="s">
        <v>23</v>
      </c>
      <c r="B650" s="8" t="s">
        <v>1212</v>
      </c>
      <c r="C650" s="9">
        <v>649</v>
      </c>
      <c r="D650" s="3">
        <v>800000</v>
      </c>
      <c r="E650" s="1">
        <f>datos_limpios[[#This Row],[Price INR   ]]*0.011</f>
        <v>8800</v>
      </c>
      <c r="F650" s="13">
        <v>2018</v>
      </c>
      <c r="G650" s="2">
        <v>68000</v>
      </c>
      <c r="H650" s="8" t="s">
        <v>19</v>
      </c>
      <c r="I650" s="8" t="s">
        <v>13</v>
      </c>
      <c r="J650" s="8" t="s">
        <v>14</v>
      </c>
      <c r="K650" t="s">
        <v>322</v>
      </c>
      <c r="L650" t="s">
        <v>140</v>
      </c>
      <c r="M650" s="2">
        <f>VALUE(MID(L650,1,FIND("@",L650)-6))</f>
        <v>89</v>
      </c>
      <c r="N650">
        <v>5</v>
      </c>
      <c r="O650" t="str">
        <f>IF(datos_limpios[[#This Row],[Seating Capacity ]]&gt;4,"SI","NO")</f>
        <v>SI</v>
      </c>
      <c r="P650">
        <v>60</v>
      </c>
    </row>
    <row r="651" spans="1:16" x14ac:dyDescent="0.3">
      <c r="A651" s="8" t="s">
        <v>23</v>
      </c>
      <c r="B651" s="8" t="s">
        <v>283</v>
      </c>
      <c r="C651" s="9">
        <v>650</v>
      </c>
      <c r="D651" s="3">
        <v>810000</v>
      </c>
      <c r="E651" s="1">
        <f>datos_limpios[[#This Row],[Price INR   ]]*0.011</f>
        <v>8910</v>
      </c>
      <c r="F651" s="13">
        <v>2018</v>
      </c>
      <c r="G651" s="2">
        <v>73000</v>
      </c>
      <c r="H651" s="8" t="s">
        <v>19</v>
      </c>
      <c r="I651" s="8" t="s">
        <v>13</v>
      </c>
      <c r="J651" s="8" t="s">
        <v>30</v>
      </c>
      <c r="K651" t="s">
        <v>102</v>
      </c>
      <c r="L651" t="s">
        <v>103</v>
      </c>
      <c r="M651" s="2">
        <f>VALUE(MID(L651,1,FIND("@",L651)-6))</f>
        <v>126</v>
      </c>
      <c r="N651">
        <v>5</v>
      </c>
      <c r="O651" t="str">
        <f>IF(datos_limpios[[#This Row],[Seating Capacity ]]&gt;4,"SI","NO")</f>
        <v>SI</v>
      </c>
      <c r="P651">
        <v>45</v>
      </c>
    </row>
    <row r="652" spans="1:16" x14ac:dyDescent="0.3">
      <c r="A652" s="8" t="s">
        <v>23</v>
      </c>
      <c r="B652" s="8" t="s">
        <v>1380</v>
      </c>
      <c r="C652" s="9">
        <v>651</v>
      </c>
      <c r="D652" s="3">
        <v>811999</v>
      </c>
      <c r="E652" s="1">
        <f>datos_limpios[[#This Row],[Price INR   ]]*0.011</f>
        <v>8931.9889999999996</v>
      </c>
      <c r="F652" s="13">
        <v>2017</v>
      </c>
      <c r="G652" s="2">
        <v>31000</v>
      </c>
      <c r="H652" s="8" t="s">
        <v>19</v>
      </c>
      <c r="I652" s="8" t="s">
        <v>13</v>
      </c>
      <c r="J652" s="8" t="s">
        <v>20</v>
      </c>
      <c r="K652" t="s">
        <v>102</v>
      </c>
      <c r="L652" t="s">
        <v>103</v>
      </c>
      <c r="M652" s="2">
        <f>VALUE(MID(L652,1,FIND("@",L652)-6))</f>
        <v>126</v>
      </c>
      <c r="N652">
        <v>5</v>
      </c>
      <c r="O652" t="str">
        <f>IF(datos_limpios[[#This Row],[Seating Capacity ]]&gt;4,"SI","NO")</f>
        <v>SI</v>
      </c>
      <c r="P652">
        <v>45</v>
      </c>
    </row>
    <row r="653" spans="1:16" x14ac:dyDescent="0.3">
      <c r="A653" s="8" t="s">
        <v>23</v>
      </c>
      <c r="B653" s="8" t="s">
        <v>718</v>
      </c>
      <c r="C653" s="9">
        <v>652</v>
      </c>
      <c r="D653" s="3">
        <v>819999</v>
      </c>
      <c r="E653" s="1">
        <f>datos_limpios[[#This Row],[Price INR   ]]*0.011</f>
        <v>9019.9889999999996</v>
      </c>
      <c r="F653" s="13">
        <v>2020</v>
      </c>
      <c r="G653" s="2">
        <v>30000</v>
      </c>
      <c r="H653" s="8" t="s">
        <v>19</v>
      </c>
      <c r="I653" s="8" t="s">
        <v>13</v>
      </c>
      <c r="J653" s="8" t="s">
        <v>20</v>
      </c>
      <c r="K653" t="s">
        <v>322</v>
      </c>
      <c r="L653" t="s">
        <v>140</v>
      </c>
      <c r="M653" s="2">
        <f>VALUE(MID(L653,1,FIND("@",L653)-6))</f>
        <v>89</v>
      </c>
      <c r="N653">
        <v>5</v>
      </c>
      <c r="O653" t="str">
        <f>IF(datos_limpios[[#This Row],[Seating Capacity ]]&gt;4,"SI","NO")</f>
        <v>SI</v>
      </c>
      <c r="P653">
        <v>45</v>
      </c>
    </row>
    <row r="654" spans="1:16" x14ac:dyDescent="0.3">
      <c r="A654" s="8" t="s">
        <v>23</v>
      </c>
      <c r="B654" s="8" t="s">
        <v>183</v>
      </c>
      <c r="C654" s="9">
        <v>653</v>
      </c>
      <c r="D654" s="3">
        <v>825000</v>
      </c>
      <c r="E654" s="1">
        <f>datos_limpios[[#This Row],[Price INR   ]]*0.011</f>
        <v>9075</v>
      </c>
      <c r="F654" s="13">
        <v>2021</v>
      </c>
      <c r="G654" s="2">
        <v>43000</v>
      </c>
      <c r="H654" s="8" t="s">
        <v>19</v>
      </c>
      <c r="I654" s="8" t="s">
        <v>13</v>
      </c>
      <c r="J654" s="8" t="s">
        <v>20</v>
      </c>
      <c r="K654" t="s">
        <v>184</v>
      </c>
      <c r="L654" t="s">
        <v>185</v>
      </c>
      <c r="M654" s="2">
        <f>VALUE(MID(L654,1,FIND("@",L654)-6))</f>
        <v>99</v>
      </c>
      <c r="N654">
        <v>5</v>
      </c>
      <c r="O654" t="str">
        <f>IF(datos_limpios[[#This Row],[Seating Capacity ]]&gt;4,"SI","NO")</f>
        <v>SI</v>
      </c>
      <c r="P654">
        <v>37</v>
      </c>
    </row>
    <row r="655" spans="1:16" x14ac:dyDescent="0.3">
      <c r="A655" s="8" t="s">
        <v>23</v>
      </c>
      <c r="B655" s="8" t="s">
        <v>1001</v>
      </c>
      <c r="C655" s="9">
        <v>654</v>
      </c>
      <c r="D655" s="3">
        <v>825000</v>
      </c>
      <c r="E655" s="1">
        <f>datos_limpios[[#This Row],[Price INR   ]]*0.011</f>
        <v>9075</v>
      </c>
      <c r="F655" s="13">
        <v>2015</v>
      </c>
      <c r="G655" s="2">
        <v>75000</v>
      </c>
      <c r="H655" s="8" t="s">
        <v>19</v>
      </c>
      <c r="I655" s="8" t="s">
        <v>40</v>
      </c>
      <c r="J655" s="8" t="s">
        <v>77</v>
      </c>
      <c r="K655" t="s">
        <v>1002</v>
      </c>
      <c r="L655" t="s">
        <v>1003</v>
      </c>
      <c r="M655" s="2">
        <f>VALUE(MID(L655,1,FIND("@",L655)-6))</f>
        <v>194</v>
      </c>
      <c r="N655">
        <v>7</v>
      </c>
      <c r="O655" t="str">
        <f>IF(datos_limpios[[#This Row],[Seating Capacity ]]&gt;4,"SI","NO")</f>
        <v>SI</v>
      </c>
      <c r="P655">
        <v>64</v>
      </c>
    </row>
    <row r="656" spans="1:16" x14ac:dyDescent="0.3">
      <c r="A656" s="8" t="s">
        <v>23</v>
      </c>
      <c r="B656" s="8" t="s">
        <v>820</v>
      </c>
      <c r="C656" s="9">
        <v>655</v>
      </c>
      <c r="D656" s="3">
        <v>825000</v>
      </c>
      <c r="E656" s="1">
        <f>datos_limpios[[#This Row],[Price INR   ]]*0.011</f>
        <v>9075</v>
      </c>
      <c r="F656" s="13">
        <v>2017</v>
      </c>
      <c r="G656" s="2">
        <v>62000</v>
      </c>
      <c r="H656" s="8" t="s">
        <v>19</v>
      </c>
      <c r="I656" s="8" t="s">
        <v>13</v>
      </c>
      <c r="J656" s="8" t="s">
        <v>20</v>
      </c>
      <c r="K656" t="s">
        <v>322</v>
      </c>
      <c r="L656" t="s">
        <v>140</v>
      </c>
      <c r="M656" s="2">
        <f>VALUE(MID(L656,1,FIND("@",L656)-6))</f>
        <v>89</v>
      </c>
      <c r="N656">
        <v>5</v>
      </c>
      <c r="O656" t="str">
        <f>IF(datos_limpios[[#This Row],[Seating Capacity ]]&gt;4,"SI","NO")</f>
        <v>SI</v>
      </c>
      <c r="P656">
        <v>60</v>
      </c>
    </row>
    <row r="657" spans="1:16" x14ac:dyDescent="0.3">
      <c r="A657" s="8" t="s">
        <v>23</v>
      </c>
      <c r="B657" s="8" t="s">
        <v>741</v>
      </c>
      <c r="C657" s="9">
        <v>656</v>
      </c>
      <c r="D657" s="3">
        <v>825000</v>
      </c>
      <c r="E657" s="1">
        <f>datos_limpios[[#This Row],[Price INR   ]]*0.011</f>
        <v>9075</v>
      </c>
      <c r="F657" s="13">
        <v>2021</v>
      </c>
      <c r="G657" s="2">
        <v>6600</v>
      </c>
      <c r="H657" s="8" t="s">
        <v>12</v>
      </c>
      <c r="I657" s="8" t="s">
        <v>40</v>
      </c>
      <c r="J657" s="8" t="s">
        <v>57</v>
      </c>
      <c r="K657" t="s">
        <v>26</v>
      </c>
      <c r="L657" t="s">
        <v>31</v>
      </c>
      <c r="M657" s="2">
        <f>VALUE(MID(L657,1,FIND("@",L657)-6))</f>
        <v>82</v>
      </c>
      <c r="N657">
        <v>5</v>
      </c>
      <c r="O657" t="str">
        <f>IF(datos_limpios[[#This Row],[Seating Capacity ]]&gt;4,"SI","NO")</f>
        <v>SI</v>
      </c>
      <c r="P657">
        <v>37</v>
      </c>
    </row>
    <row r="658" spans="1:16" x14ac:dyDescent="0.3">
      <c r="A658" s="8" t="s">
        <v>23</v>
      </c>
      <c r="B658" s="8" t="s">
        <v>1092</v>
      </c>
      <c r="C658" s="9">
        <v>657</v>
      </c>
      <c r="D658" s="3">
        <v>844999</v>
      </c>
      <c r="E658" s="1">
        <f>datos_limpios[[#This Row],[Price INR   ]]*0.011</f>
        <v>9294.9889999999996</v>
      </c>
      <c r="F658" s="13">
        <v>2018</v>
      </c>
      <c r="G658" s="2">
        <v>71000</v>
      </c>
      <c r="H658" s="8" t="s">
        <v>19</v>
      </c>
      <c r="I658" s="8" t="s">
        <v>13</v>
      </c>
      <c r="J658" s="8" t="s">
        <v>20</v>
      </c>
      <c r="K658" t="s">
        <v>102</v>
      </c>
      <c r="L658" t="s">
        <v>103</v>
      </c>
      <c r="M658" s="2">
        <f>VALUE(MID(L658,1,FIND("@",L658)-6))</f>
        <v>126</v>
      </c>
      <c r="N658">
        <v>5</v>
      </c>
      <c r="O658" t="str">
        <f>IF(datos_limpios[[#This Row],[Seating Capacity ]]&gt;4,"SI","NO")</f>
        <v>SI</v>
      </c>
      <c r="P658">
        <v>43</v>
      </c>
    </row>
    <row r="659" spans="1:16" x14ac:dyDescent="0.3">
      <c r="A659" s="8" t="s">
        <v>23</v>
      </c>
      <c r="B659" s="8" t="s">
        <v>849</v>
      </c>
      <c r="C659" s="9">
        <v>658</v>
      </c>
      <c r="D659" s="3">
        <v>850000</v>
      </c>
      <c r="E659" s="1">
        <f>datos_limpios[[#This Row],[Price INR   ]]*0.011</f>
        <v>9350</v>
      </c>
      <c r="F659" s="13">
        <v>2016</v>
      </c>
      <c r="G659" s="2">
        <v>72000</v>
      </c>
      <c r="H659" s="8" t="s">
        <v>19</v>
      </c>
      <c r="I659" s="8" t="s">
        <v>13</v>
      </c>
      <c r="J659" s="8" t="s">
        <v>30</v>
      </c>
      <c r="K659" t="s">
        <v>102</v>
      </c>
      <c r="L659" t="s">
        <v>103</v>
      </c>
      <c r="M659" s="2">
        <f>VALUE(MID(L659,1,FIND("@",L659)-6))</f>
        <v>126</v>
      </c>
      <c r="N659">
        <v>5</v>
      </c>
      <c r="O659" t="str">
        <f>IF(datos_limpios[[#This Row],[Seating Capacity ]]&gt;4,"SI","NO")</f>
        <v>SI</v>
      </c>
      <c r="P659">
        <v>60</v>
      </c>
    </row>
    <row r="660" spans="1:16" x14ac:dyDescent="0.3">
      <c r="A660" s="8" t="s">
        <v>23</v>
      </c>
      <c r="B660" s="8" t="s">
        <v>994</v>
      </c>
      <c r="C660" s="9">
        <v>659</v>
      </c>
      <c r="D660" s="3">
        <v>855000</v>
      </c>
      <c r="E660" s="1">
        <f>datos_limpios[[#This Row],[Price INR   ]]*0.011</f>
        <v>9405</v>
      </c>
      <c r="F660" s="13">
        <v>2017</v>
      </c>
      <c r="G660" s="2">
        <v>57000</v>
      </c>
      <c r="H660" s="8" t="s">
        <v>19</v>
      </c>
      <c r="I660" s="8" t="s">
        <v>13</v>
      </c>
      <c r="J660" s="8" t="s">
        <v>14</v>
      </c>
      <c r="K660" t="s">
        <v>102</v>
      </c>
      <c r="L660" t="s">
        <v>103</v>
      </c>
      <c r="M660" s="2">
        <f>VALUE(MID(L660,1,FIND("@",L660)-6))</f>
        <v>126</v>
      </c>
      <c r="N660">
        <v>5</v>
      </c>
      <c r="O660" t="str">
        <f>IF(datos_limpios[[#This Row],[Seating Capacity ]]&gt;4,"SI","NO")</f>
        <v>SI</v>
      </c>
      <c r="P660">
        <v>43</v>
      </c>
    </row>
    <row r="661" spans="1:16" x14ac:dyDescent="0.3">
      <c r="A661" s="8" t="s">
        <v>23</v>
      </c>
      <c r="B661" s="8" t="s">
        <v>143</v>
      </c>
      <c r="C661" s="9">
        <v>660</v>
      </c>
      <c r="D661" s="3">
        <v>860000</v>
      </c>
      <c r="E661" s="1">
        <f>datos_limpios[[#This Row],[Price INR   ]]*0.011</f>
        <v>9460</v>
      </c>
      <c r="F661" s="13">
        <v>2016</v>
      </c>
      <c r="G661" s="2">
        <v>57983</v>
      </c>
      <c r="H661" s="8" t="s">
        <v>12</v>
      </c>
      <c r="I661" s="8" t="s">
        <v>13</v>
      </c>
      <c r="J661" s="8" t="s">
        <v>20</v>
      </c>
      <c r="K661" t="s">
        <v>78</v>
      </c>
      <c r="L661" t="s">
        <v>79</v>
      </c>
      <c r="M661" s="2">
        <f>VALUE(MID(L661,1,FIND("@",L661)-6))</f>
        <v>122</v>
      </c>
      <c r="N661">
        <v>5</v>
      </c>
      <c r="O661" t="str">
        <f>IF(datos_limpios[[#This Row],[Seating Capacity ]]&gt;4,"SI","NO")</f>
        <v>SI</v>
      </c>
      <c r="P661">
        <v>60</v>
      </c>
    </row>
    <row r="662" spans="1:16" x14ac:dyDescent="0.3">
      <c r="A662" s="8" t="s">
        <v>23</v>
      </c>
      <c r="B662" s="8" t="s">
        <v>886</v>
      </c>
      <c r="C662" s="9">
        <v>661</v>
      </c>
      <c r="D662" s="3">
        <v>869999</v>
      </c>
      <c r="E662" s="1">
        <f>datos_limpios[[#This Row],[Price INR   ]]*0.011</f>
        <v>9569.9889999999996</v>
      </c>
      <c r="F662" s="13">
        <v>2017</v>
      </c>
      <c r="G662" s="2">
        <v>70000</v>
      </c>
      <c r="H662" s="8" t="s">
        <v>19</v>
      </c>
      <c r="I662" s="8" t="s">
        <v>13</v>
      </c>
      <c r="J662" s="8" t="s">
        <v>20</v>
      </c>
      <c r="K662" t="s">
        <v>102</v>
      </c>
      <c r="L662" t="s">
        <v>103</v>
      </c>
      <c r="M662" s="2">
        <f>VALUE(MID(L662,1,FIND("@",L662)-6))</f>
        <v>126</v>
      </c>
      <c r="N662">
        <v>5</v>
      </c>
      <c r="O662" t="str">
        <f>IF(datos_limpios[[#This Row],[Seating Capacity ]]&gt;4,"SI","NO")</f>
        <v>SI</v>
      </c>
      <c r="P662">
        <v>60</v>
      </c>
    </row>
    <row r="663" spans="1:16" x14ac:dyDescent="0.3">
      <c r="A663" s="8" t="s">
        <v>23</v>
      </c>
      <c r="B663" s="8" t="s">
        <v>880</v>
      </c>
      <c r="C663" s="9">
        <v>662</v>
      </c>
      <c r="D663" s="3">
        <v>871000</v>
      </c>
      <c r="E663" s="1">
        <f>datos_limpios[[#This Row],[Price INR   ]]*0.011</f>
        <v>9581</v>
      </c>
      <c r="F663" s="13">
        <v>2015</v>
      </c>
      <c r="G663" s="2">
        <v>64000</v>
      </c>
      <c r="H663" s="8" t="s">
        <v>19</v>
      </c>
      <c r="I663" s="8" t="s">
        <v>13</v>
      </c>
      <c r="J663" s="8" t="s">
        <v>20</v>
      </c>
      <c r="K663" t="s">
        <v>102</v>
      </c>
      <c r="L663" t="s">
        <v>103</v>
      </c>
      <c r="M663" s="2">
        <f>VALUE(MID(L663,1,FIND("@",L663)-6))</f>
        <v>126</v>
      </c>
      <c r="N663">
        <v>5</v>
      </c>
      <c r="O663" t="str">
        <f>IF(datos_limpios[[#This Row],[Seating Capacity ]]&gt;4,"SI","NO")</f>
        <v>SI</v>
      </c>
      <c r="P663">
        <v>60</v>
      </c>
    </row>
    <row r="664" spans="1:16" x14ac:dyDescent="0.3">
      <c r="A664" s="8" t="s">
        <v>23</v>
      </c>
      <c r="B664" s="8" t="s">
        <v>880</v>
      </c>
      <c r="C664" s="9">
        <v>663</v>
      </c>
      <c r="D664" s="3">
        <v>875000</v>
      </c>
      <c r="E664" s="1">
        <f>datos_limpios[[#This Row],[Price INR   ]]*0.011</f>
        <v>9625</v>
      </c>
      <c r="F664" s="13">
        <v>2016</v>
      </c>
      <c r="G664" s="2">
        <v>62125</v>
      </c>
      <c r="H664" s="8" t="s">
        <v>19</v>
      </c>
      <c r="I664" s="8" t="s">
        <v>13</v>
      </c>
      <c r="J664" s="8" t="s">
        <v>20</v>
      </c>
      <c r="K664" t="s">
        <v>102</v>
      </c>
      <c r="L664" t="s">
        <v>103</v>
      </c>
      <c r="M664" s="2">
        <f>VALUE(MID(L664,1,FIND("@",L664)-6))</f>
        <v>126</v>
      </c>
      <c r="N664">
        <v>5</v>
      </c>
      <c r="O664" t="str">
        <f>IF(datos_limpios[[#This Row],[Seating Capacity ]]&gt;4,"SI","NO")</f>
        <v>SI</v>
      </c>
      <c r="P664">
        <v>60</v>
      </c>
    </row>
    <row r="665" spans="1:16" x14ac:dyDescent="0.3">
      <c r="A665" s="8" t="s">
        <v>23</v>
      </c>
      <c r="B665" s="8" t="s">
        <v>1001</v>
      </c>
      <c r="C665" s="9">
        <v>664</v>
      </c>
      <c r="D665" s="3">
        <v>875000</v>
      </c>
      <c r="E665" s="1">
        <f>datos_limpios[[#This Row],[Price INR   ]]*0.011</f>
        <v>9625</v>
      </c>
      <c r="F665" s="13">
        <v>2014</v>
      </c>
      <c r="G665" s="2">
        <v>99000</v>
      </c>
      <c r="H665" s="8" t="s">
        <v>19</v>
      </c>
      <c r="I665" s="8" t="s">
        <v>40</v>
      </c>
      <c r="J665" s="8" t="s">
        <v>20</v>
      </c>
      <c r="K665" t="s">
        <v>1002</v>
      </c>
      <c r="L665" t="s">
        <v>1003</v>
      </c>
      <c r="M665" s="2">
        <f>VALUE(MID(L665,1,FIND("@",L665)-6))</f>
        <v>194</v>
      </c>
      <c r="N665">
        <v>7</v>
      </c>
      <c r="O665" t="str">
        <f>IF(datos_limpios[[#This Row],[Seating Capacity ]]&gt;4,"SI","NO")</f>
        <v>SI</v>
      </c>
      <c r="P665">
        <v>64</v>
      </c>
    </row>
    <row r="666" spans="1:16" x14ac:dyDescent="0.3">
      <c r="A666" s="8" t="s">
        <v>23</v>
      </c>
      <c r="B666" s="8" t="s">
        <v>1107</v>
      </c>
      <c r="C666" s="9">
        <v>665</v>
      </c>
      <c r="D666" s="3">
        <v>875000</v>
      </c>
      <c r="E666" s="1">
        <f>datos_limpios[[#This Row],[Price INR   ]]*0.011</f>
        <v>9625</v>
      </c>
      <c r="F666" s="13">
        <v>2017</v>
      </c>
      <c r="G666" s="2">
        <v>50000</v>
      </c>
      <c r="H666" s="8" t="s">
        <v>12</v>
      </c>
      <c r="I666" s="8" t="s">
        <v>13</v>
      </c>
      <c r="J666" s="8" t="s">
        <v>77</v>
      </c>
      <c r="K666" t="s">
        <v>78</v>
      </c>
      <c r="L666" t="s">
        <v>79</v>
      </c>
      <c r="M666" s="2">
        <f>VALUE(MID(L666,1,FIND("@",L666)-6))</f>
        <v>122</v>
      </c>
      <c r="N666">
        <v>5</v>
      </c>
      <c r="O666" t="str">
        <f>IF(datos_limpios[[#This Row],[Seating Capacity ]]&gt;4,"SI","NO")</f>
        <v>SI</v>
      </c>
      <c r="P666">
        <v>60</v>
      </c>
    </row>
    <row r="667" spans="1:16" x14ac:dyDescent="0.3">
      <c r="A667" s="8" t="s">
        <v>23</v>
      </c>
      <c r="B667" s="8" t="s">
        <v>143</v>
      </c>
      <c r="C667" s="9">
        <v>666</v>
      </c>
      <c r="D667" s="3">
        <v>885000</v>
      </c>
      <c r="E667" s="1">
        <f>datos_limpios[[#This Row],[Price INR   ]]*0.011</f>
        <v>9735</v>
      </c>
      <c r="F667" s="13">
        <v>2016</v>
      </c>
      <c r="G667" s="2">
        <v>57983</v>
      </c>
      <c r="H667" s="8" t="s">
        <v>12</v>
      </c>
      <c r="I667" s="8" t="s">
        <v>13</v>
      </c>
      <c r="J667" s="8" t="s">
        <v>20</v>
      </c>
      <c r="K667" t="s">
        <v>78</v>
      </c>
      <c r="L667" t="s">
        <v>79</v>
      </c>
      <c r="M667" s="2">
        <f>VALUE(MID(L667,1,FIND("@",L667)-6))</f>
        <v>122</v>
      </c>
      <c r="N667">
        <v>5</v>
      </c>
      <c r="O667" t="str">
        <f>IF(datos_limpios[[#This Row],[Seating Capacity ]]&gt;4,"SI","NO")</f>
        <v>SI</v>
      </c>
      <c r="P667">
        <v>60</v>
      </c>
    </row>
    <row r="668" spans="1:16" x14ac:dyDescent="0.3">
      <c r="A668" s="8" t="s">
        <v>23</v>
      </c>
      <c r="B668" s="8" t="s">
        <v>100</v>
      </c>
      <c r="C668" s="9">
        <v>667</v>
      </c>
      <c r="D668" s="3">
        <v>890000</v>
      </c>
      <c r="E668" s="1">
        <f>datos_limpios[[#This Row],[Price INR   ]]*0.011</f>
        <v>9790</v>
      </c>
      <c r="F668" s="13">
        <v>2016</v>
      </c>
      <c r="G668" s="2">
        <v>88000</v>
      </c>
      <c r="H668" s="8" t="s">
        <v>19</v>
      </c>
      <c r="I668" s="8" t="s">
        <v>40</v>
      </c>
      <c r="J668" s="8" t="s">
        <v>77</v>
      </c>
      <c r="K668" t="s">
        <v>102</v>
      </c>
      <c r="L668" t="s">
        <v>103</v>
      </c>
      <c r="M668" s="2">
        <f>VALUE(MID(L668,1,FIND("@",L668)-6))</f>
        <v>126</v>
      </c>
      <c r="N668">
        <v>5</v>
      </c>
      <c r="O668" t="str">
        <f>IF(datos_limpios[[#This Row],[Seating Capacity ]]&gt;4,"SI","NO")</f>
        <v>SI</v>
      </c>
      <c r="P668">
        <v>60</v>
      </c>
    </row>
    <row r="669" spans="1:16" x14ac:dyDescent="0.3">
      <c r="A669" s="8" t="s">
        <v>23</v>
      </c>
      <c r="B669" s="8" t="s">
        <v>1107</v>
      </c>
      <c r="C669" s="9">
        <v>668</v>
      </c>
      <c r="D669" s="3">
        <v>890000</v>
      </c>
      <c r="E669" s="1">
        <f>datos_limpios[[#This Row],[Price INR   ]]*0.011</f>
        <v>9790</v>
      </c>
      <c r="F669" s="13">
        <v>2017</v>
      </c>
      <c r="G669" s="2">
        <v>49000</v>
      </c>
      <c r="H669" s="8" t="s">
        <v>12</v>
      </c>
      <c r="I669" s="8" t="s">
        <v>13</v>
      </c>
      <c r="J669" s="8" t="s">
        <v>14</v>
      </c>
      <c r="K669" t="s">
        <v>78</v>
      </c>
      <c r="L669" t="s">
        <v>79</v>
      </c>
      <c r="M669" s="2">
        <f>VALUE(MID(L669,1,FIND("@",L669)-6))</f>
        <v>122</v>
      </c>
      <c r="N669">
        <v>5</v>
      </c>
      <c r="O669" t="str">
        <f>IF(datos_limpios[[#This Row],[Seating Capacity ]]&gt;4,"SI","NO")</f>
        <v>SI</v>
      </c>
      <c r="P669">
        <v>60</v>
      </c>
    </row>
    <row r="670" spans="1:16" x14ac:dyDescent="0.3">
      <c r="A670" s="8" t="s">
        <v>23</v>
      </c>
      <c r="B670" s="8" t="s">
        <v>1142</v>
      </c>
      <c r="C670" s="9">
        <v>669</v>
      </c>
      <c r="D670" s="3">
        <v>890000</v>
      </c>
      <c r="E670" s="1">
        <f>datos_limpios[[#This Row],[Price INR   ]]*0.011</f>
        <v>9790</v>
      </c>
      <c r="F670" s="13">
        <v>2015</v>
      </c>
      <c r="G670" s="2">
        <v>138314</v>
      </c>
      <c r="H670" s="8" t="s">
        <v>19</v>
      </c>
      <c r="I670" s="8" t="s">
        <v>13</v>
      </c>
      <c r="J670" s="8" t="s">
        <v>20</v>
      </c>
      <c r="K670" t="s">
        <v>102</v>
      </c>
      <c r="L670" t="s">
        <v>103</v>
      </c>
      <c r="M670" s="2">
        <f>VALUE(MID(L670,1,FIND("@",L670)-6))</f>
        <v>126</v>
      </c>
      <c r="N670">
        <v>5</v>
      </c>
      <c r="O670" t="str">
        <f>IF(datos_limpios[[#This Row],[Seating Capacity ]]&gt;4,"SI","NO")</f>
        <v>SI</v>
      </c>
      <c r="P670">
        <v>60</v>
      </c>
    </row>
    <row r="671" spans="1:16" x14ac:dyDescent="0.3">
      <c r="A671" s="8" t="s">
        <v>23</v>
      </c>
      <c r="B671" s="8" t="s">
        <v>143</v>
      </c>
      <c r="C671" s="9">
        <v>670</v>
      </c>
      <c r="D671" s="3">
        <v>891000</v>
      </c>
      <c r="E671" s="1">
        <f>datos_limpios[[#This Row],[Price INR   ]]*0.011</f>
        <v>9801</v>
      </c>
      <c r="F671" s="13">
        <v>2016</v>
      </c>
      <c r="G671" s="2">
        <v>47000</v>
      </c>
      <c r="H671" s="8" t="s">
        <v>12</v>
      </c>
      <c r="I671" s="8" t="s">
        <v>13</v>
      </c>
      <c r="J671" s="8" t="s">
        <v>20</v>
      </c>
      <c r="K671" t="s">
        <v>78</v>
      </c>
      <c r="L671" t="s">
        <v>79</v>
      </c>
      <c r="M671" s="2">
        <f>VALUE(MID(L671,1,FIND("@",L671)-6))</f>
        <v>122</v>
      </c>
      <c r="N671">
        <v>5</v>
      </c>
      <c r="O671" t="str">
        <f>IF(datos_limpios[[#This Row],[Seating Capacity ]]&gt;4,"SI","NO")</f>
        <v>SI</v>
      </c>
      <c r="P671">
        <v>60</v>
      </c>
    </row>
    <row r="672" spans="1:16" x14ac:dyDescent="0.3">
      <c r="A672" s="8" t="s">
        <v>23</v>
      </c>
      <c r="B672" s="8" t="s">
        <v>756</v>
      </c>
      <c r="C672" s="9">
        <v>671</v>
      </c>
      <c r="D672" s="3">
        <v>894999</v>
      </c>
      <c r="E672" s="1">
        <f>datos_limpios[[#This Row],[Price INR   ]]*0.011</f>
        <v>9844.9889999999996</v>
      </c>
      <c r="F672" s="13">
        <v>2021</v>
      </c>
      <c r="G672" s="2">
        <v>25000</v>
      </c>
      <c r="H672" s="8" t="s">
        <v>12</v>
      </c>
      <c r="I672" s="8" t="s">
        <v>40</v>
      </c>
      <c r="J672" s="8" t="s">
        <v>20</v>
      </c>
      <c r="K672" t="s">
        <v>26</v>
      </c>
      <c r="L672" t="s">
        <v>16</v>
      </c>
      <c r="M672" s="2">
        <f>VALUE(MID(L672,1,FIND("@",L672)-6))</f>
        <v>87</v>
      </c>
      <c r="N672">
        <v>5</v>
      </c>
      <c r="O672" t="str">
        <f>IF(datos_limpios[[#This Row],[Seating Capacity ]]&gt;4,"SI","NO")</f>
        <v>SI</v>
      </c>
      <c r="P672">
        <v>37</v>
      </c>
    </row>
    <row r="673" spans="1:16" x14ac:dyDescent="0.3">
      <c r="A673" s="8" t="s">
        <v>23</v>
      </c>
      <c r="B673" s="8" t="s">
        <v>99</v>
      </c>
      <c r="C673" s="9">
        <v>672</v>
      </c>
      <c r="D673" s="3">
        <v>900000</v>
      </c>
      <c r="E673" s="1">
        <f>datos_limpios[[#This Row],[Price INR   ]]*0.011</f>
        <v>9900</v>
      </c>
      <c r="F673" s="13">
        <v>2020</v>
      </c>
      <c r="G673" s="2">
        <v>23000</v>
      </c>
      <c r="H673" s="8" t="s">
        <v>12</v>
      </c>
      <c r="I673" s="8" t="s">
        <v>13</v>
      </c>
      <c r="J673" s="8" t="s">
        <v>82</v>
      </c>
      <c r="K673" t="s">
        <v>69</v>
      </c>
      <c r="L673" t="s">
        <v>87</v>
      </c>
      <c r="M673" s="2">
        <f>VALUE(MID(L673,1,FIND("@",L673)-6))</f>
        <v>118</v>
      </c>
      <c r="N673">
        <v>5</v>
      </c>
      <c r="O673" t="str">
        <f>IF(datos_limpios[[#This Row],[Seating Capacity ]]&gt;4,"SI","NO")</f>
        <v>SI</v>
      </c>
      <c r="P673">
        <v>45</v>
      </c>
    </row>
    <row r="674" spans="1:16" x14ac:dyDescent="0.3">
      <c r="A674" s="8" t="s">
        <v>23</v>
      </c>
      <c r="B674" s="8" t="s">
        <v>100</v>
      </c>
      <c r="C674" s="9">
        <v>673</v>
      </c>
      <c r="D674" s="3">
        <v>925000</v>
      </c>
      <c r="E674" s="1">
        <f>datos_limpios[[#This Row],[Price INR   ]]*0.011</f>
        <v>10175</v>
      </c>
      <c r="F674" s="13">
        <v>2016</v>
      </c>
      <c r="G674" s="2">
        <v>66000</v>
      </c>
      <c r="H674" s="8" t="s">
        <v>19</v>
      </c>
      <c r="I674" s="8" t="s">
        <v>40</v>
      </c>
      <c r="J674" s="8" t="s">
        <v>101</v>
      </c>
      <c r="K674" t="s">
        <v>102</v>
      </c>
      <c r="L674" t="s">
        <v>103</v>
      </c>
      <c r="M674" s="2">
        <f>VALUE(MID(L674,1,FIND("@",L674)-6))</f>
        <v>126</v>
      </c>
      <c r="N674">
        <v>5</v>
      </c>
      <c r="O674" t="str">
        <f>IF(datos_limpios[[#This Row],[Seating Capacity ]]&gt;4,"SI","NO")</f>
        <v>SI</v>
      </c>
      <c r="P674">
        <v>60</v>
      </c>
    </row>
    <row r="675" spans="1:16" x14ac:dyDescent="0.3">
      <c r="A675" s="8" t="s">
        <v>23</v>
      </c>
      <c r="B675" s="8" t="s">
        <v>143</v>
      </c>
      <c r="C675" s="9">
        <v>674</v>
      </c>
      <c r="D675" s="3">
        <v>925000</v>
      </c>
      <c r="E675" s="1">
        <f>datos_limpios[[#This Row],[Price INR   ]]*0.011</f>
        <v>10175</v>
      </c>
      <c r="F675" s="13">
        <v>2017</v>
      </c>
      <c r="G675" s="2">
        <v>29401</v>
      </c>
      <c r="H675" s="8" t="s">
        <v>12</v>
      </c>
      <c r="I675" s="8" t="s">
        <v>13</v>
      </c>
      <c r="J675" s="8" t="s">
        <v>14</v>
      </c>
      <c r="K675" t="s">
        <v>78</v>
      </c>
      <c r="L675" t="s">
        <v>79</v>
      </c>
      <c r="M675" s="2">
        <f>VALUE(MID(L675,1,FIND("@",L675)-6))</f>
        <v>122</v>
      </c>
      <c r="N675">
        <v>5</v>
      </c>
      <c r="O675" t="str">
        <f>IF(datos_limpios[[#This Row],[Seating Capacity ]]&gt;4,"SI","NO")</f>
        <v>SI</v>
      </c>
      <c r="P675">
        <v>60</v>
      </c>
    </row>
    <row r="676" spans="1:16" x14ac:dyDescent="0.3">
      <c r="A676" s="8" t="s">
        <v>23</v>
      </c>
      <c r="B676" s="8" t="s">
        <v>994</v>
      </c>
      <c r="C676" s="9">
        <v>675</v>
      </c>
      <c r="D676" s="3">
        <v>925000</v>
      </c>
      <c r="E676" s="1">
        <f>datos_limpios[[#This Row],[Price INR   ]]*0.011</f>
        <v>10175</v>
      </c>
      <c r="F676" s="13">
        <v>2018</v>
      </c>
      <c r="G676" s="2">
        <v>925000</v>
      </c>
      <c r="H676" s="8" t="s">
        <v>19</v>
      </c>
      <c r="I676" s="8" t="s">
        <v>13</v>
      </c>
      <c r="J676" s="8" t="s">
        <v>20</v>
      </c>
      <c r="K676" t="s">
        <v>102</v>
      </c>
      <c r="L676" t="s">
        <v>103</v>
      </c>
      <c r="M676" s="2">
        <f>VALUE(MID(L676,1,FIND("@",L676)-6))</f>
        <v>126</v>
      </c>
      <c r="N676">
        <v>5</v>
      </c>
      <c r="O676" t="str">
        <f>IF(datos_limpios[[#This Row],[Seating Capacity ]]&gt;4,"SI","NO")</f>
        <v>SI</v>
      </c>
      <c r="P676">
        <v>43</v>
      </c>
    </row>
    <row r="677" spans="1:16" x14ac:dyDescent="0.3">
      <c r="A677" s="8" t="s">
        <v>23</v>
      </c>
      <c r="B677" s="8" t="s">
        <v>100</v>
      </c>
      <c r="C677" s="9">
        <v>676</v>
      </c>
      <c r="D677" s="3">
        <v>950000</v>
      </c>
      <c r="E677" s="1">
        <f>datos_limpios[[#This Row],[Price INR   ]]*0.011</f>
        <v>10450</v>
      </c>
      <c r="F677" s="13">
        <v>2016</v>
      </c>
      <c r="G677" s="2">
        <v>73000</v>
      </c>
      <c r="H677" s="8" t="s">
        <v>19</v>
      </c>
      <c r="I677" s="8" t="s">
        <v>40</v>
      </c>
      <c r="J677" s="8" t="s">
        <v>77</v>
      </c>
      <c r="K677" t="s">
        <v>102</v>
      </c>
      <c r="L677" t="s">
        <v>103</v>
      </c>
      <c r="M677" s="2">
        <f>VALUE(MID(L677,1,FIND("@",L677)-6))</f>
        <v>126</v>
      </c>
      <c r="N677">
        <v>5</v>
      </c>
      <c r="O677" t="str">
        <f>IF(datos_limpios[[#This Row],[Seating Capacity ]]&gt;4,"SI","NO")</f>
        <v>SI</v>
      </c>
      <c r="P677">
        <v>60</v>
      </c>
    </row>
    <row r="678" spans="1:16" x14ac:dyDescent="0.3">
      <c r="A678" s="8" t="s">
        <v>23</v>
      </c>
      <c r="B678" s="8" t="s">
        <v>820</v>
      </c>
      <c r="C678" s="9">
        <v>677</v>
      </c>
      <c r="D678" s="3">
        <v>950000</v>
      </c>
      <c r="E678" s="1">
        <f>datos_limpios[[#This Row],[Price INR   ]]*0.011</f>
        <v>10450</v>
      </c>
      <c r="F678" s="13">
        <v>2018</v>
      </c>
      <c r="G678" s="2">
        <v>63000</v>
      </c>
      <c r="H678" s="8" t="s">
        <v>19</v>
      </c>
      <c r="I678" s="8" t="s">
        <v>13</v>
      </c>
      <c r="J678" s="8" t="s">
        <v>20</v>
      </c>
      <c r="K678" t="s">
        <v>322</v>
      </c>
      <c r="L678" t="s">
        <v>140</v>
      </c>
      <c r="M678" s="2">
        <f>VALUE(MID(L678,1,FIND("@",L678)-6))</f>
        <v>89</v>
      </c>
      <c r="N678">
        <v>5</v>
      </c>
      <c r="O678" t="str">
        <f>IF(datos_limpios[[#This Row],[Seating Capacity ]]&gt;4,"SI","NO")</f>
        <v>SI</v>
      </c>
      <c r="P678">
        <v>60</v>
      </c>
    </row>
    <row r="679" spans="1:16" x14ac:dyDescent="0.3">
      <c r="A679" s="8" t="s">
        <v>23</v>
      </c>
      <c r="B679" s="8" t="s">
        <v>448</v>
      </c>
      <c r="C679" s="9">
        <v>678</v>
      </c>
      <c r="D679" s="3">
        <v>960000</v>
      </c>
      <c r="E679" s="1">
        <f>datos_limpios[[#This Row],[Price INR   ]]*0.011</f>
        <v>10560</v>
      </c>
      <c r="F679" s="13">
        <v>2016</v>
      </c>
      <c r="G679" s="2">
        <v>37079</v>
      </c>
      <c r="H679" s="8" t="s">
        <v>12</v>
      </c>
      <c r="I679" s="8" t="s">
        <v>40</v>
      </c>
      <c r="J679" s="8" t="s">
        <v>30</v>
      </c>
      <c r="K679" t="s">
        <v>78</v>
      </c>
      <c r="L679" t="s">
        <v>79</v>
      </c>
      <c r="M679" s="2">
        <f>VALUE(MID(L679,1,FIND("@",L679)-6))</f>
        <v>122</v>
      </c>
      <c r="N679">
        <v>5</v>
      </c>
      <c r="O679" t="str">
        <f>IF(datos_limpios[[#This Row],[Seating Capacity ]]&gt;4,"SI","NO")</f>
        <v>SI</v>
      </c>
      <c r="P679">
        <v>60</v>
      </c>
    </row>
    <row r="680" spans="1:16" x14ac:dyDescent="0.3">
      <c r="A680" s="8" t="s">
        <v>23</v>
      </c>
      <c r="B680" s="8" t="s">
        <v>1092</v>
      </c>
      <c r="C680" s="9">
        <v>679</v>
      </c>
      <c r="D680" s="3">
        <v>965000</v>
      </c>
      <c r="E680" s="1">
        <f>datos_limpios[[#This Row],[Price INR   ]]*0.011</f>
        <v>10615</v>
      </c>
      <c r="F680" s="13">
        <v>2018</v>
      </c>
      <c r="G680" s="2">
        <v>87001</v>
      </c>
      <c r="H680" s="8" t="s">
        <v>19</v>
      </c>
      <c r="I680" s="8" t="s">
        <v>13</v>
      </c>
      <c r="J680" s="8" t="s">
        <v>20</v>
      </c>
      <c r="K680" t="s">
        <v>102</v>
      </c>
      <c r="L680" t="s">
        <v>103</v>
      </c>
      <c r="M680" s="2">
        <f>VALUE(MID(L680,1,FIND("@",L680)-6))</f>
        <v>126</v>
      </c>
      <c r="N680">
        <v>5</v>
      </c>
      <c r="O680" t="str">
        <f>IF(datos_limpios[[#This Row],[Seating Capacity ]]&gt;4,"SI","NO")</f>
        <v>SI</v>
      </c>
      <c r="P680">
        <v>43</v>
      </c>
    </row>
    <row r="681" spans="1:16" x14ac:dyDescent="0.3">
      <c r="A681" s="8" t="s">
        <v>23</v>
      </c>
      <c r="B681" s="8" t="s">
        <v>120</v>
      </c>
      <c r="C681" s="9">
        <v>680</v>
      </c>
      <c r="D681" s="3">
        <v>969999</v>
      </c>
      <c r="E681" s="1">
        <f>datos_limpios[[#This Row],[Price INR   ]]*0.011</f>
        <v>10669.989</v>
      </c>
      <c r="F681" s="13">
        <v>2018</v>
      </c>
      <c r="G681" s="2">
        <v>68000</v>
      </c>
      <c r="H681" s="8" t="s">
        <v>19</v>
      </c>
      <c r="I681" s="8" t="s">
        <v>13</v>
      </c>
      <c r="J681" s="8" t="s">
        <v>101</v>
      </c>
      <c r="K681" t="s">
        <v>102</v>
      </c>
      <c r="L681" t="s">
        <v>103</v>
      </c>
      <c r="M681" s="2">
        <f>VALUE(MID(L681,1,FIND("@",L681)-6))</f>
        <v>126</v>
      </c>
      <c r="N681">
        <v>5</v>
      </c>
      <c r="O681" t="str">
        <f>IF(datos_limpios[[#This Row],[Seating Capacity ]]&gt;4,"SI","NO")</f>
        <v>SI</v>
      </c>
      <c r="P681">
        <v>55</v>
      </c>
    </row>
    <row r="682" spans="1:16" x14ac:dyDescent="0.3">
      <c r="A682" s="8" t="s">
        <v>23</v>
      </c>
      <c r="B682" s="8" t="s">
        <v>1318</v>
      </c>
      <c r="C682" s="9">
        <v>681</v>
      </c>
      <c r="D682" s="3">
        <v>975000</v>
      </c>
      <c r="E682" s="1">
        <f>datos_limpios[[#This Row],[Price INR   ]]*0.011</f>
        <v>10725</v>
      </c>
      <c r="F682" s="13">
        <v>2018</v>
      </c>
      <c r="G682" s="2">
        <v>53300</v>
      </c>
      <c r="H682" s="8" t="s">
        <v>12</v>
      </c>
      <c r="I682" s="8" t="s">
        <v>40</v>
      </c>
      <c r="J682" s="8" t="s">
        <v>14</v>
      </c>
      <c r="K682" t="s">
        <v>78</v>
      </c>
      <c r="L682" t="s">
        <v>1145</v>
      </c>
      <c r="M682" s="2">
        <f>VALUE(MID(L682,1,FIND("@",L682)-6))</f>
        <v>121</v>
      </c>
      <c r="N682">
        <v>5</v>
      </c>
      <c r="O682" t="str">
        <f>IF(datos_limpios[[#This Row],[Seating Capacity ]]&gt;4,"SI","NO")</f>
        <v>SI</v>
      </c>
      <c r="P682">
        <v>45</v>
      </c>
    </row>
    <row r="683" spans="1:16" x14ac:dyDescent="0.3">
      <c r="A683" s="8" t="s">
        <v>23</v>
      </c>
      <c r="B683" s="8" t="s">
        <v>99</v>
      </c>
      <c r="C683" s="9">
        <v>682</v>
      </c>
      <c r="D683" s="3">
        <v>990000</v>
      </c>
      <c r="E683" s="1">
        <f>datos_limpios[[#This Row],[Price INR   ]]*0.011</f>
        <v>10890</v>
      </c>
      <c r="F683" s="13">
        <v>2020</v>
      </c>
      <c r="G683" s="2">
        <v>24013</v>
      </c>
      <c r="H683" s="8" t="s">
        <v>12</v>
      </c>
      <c r="I683" s="8" t="s">
        <v>13</v>
      </c>
      <c r="J683" s="8" t="s">
        <v>57</v>
      </c>
      <c r="K683" t="s">
        <v>69</v>
      </c>
      <c r="L683" t="s">
        <v>87</v>
      </c>
      <c r="M683" s="2">
        <f>VALUE(MID(L683,1,FIND("@",L683)-6))</f>
        <v>118</v>
      </c>
      <c r="N683">
        <v>5</v>
      </c>
      <c r="O683" t="str">
        <f>IF(datos_limpios[[#This Row],[Seating Capacity ]]&gt;4,"SI","NO")</f>
        <v>SI</v>
      </c>
      <c r="P683">
        <v>45</v>
      </c>
    </row>
    <row r="684" spans="1:16" x14ac:dyDescent="0.3">
      <c r="A684" s="8" t="s">
        <v>23</v>
      </c>
      <c r="B684" s="8" t="s">
        <v>820</v>
      </c>
      <c r="C684" s="9">
        <v>683</v>
      </c>
      <c r="D684" s="3">
        <v>990000</v>
      </c>
      <c r="E684" s="1">
        <f>datos_limpios[[#This Row],[Price INR   ]]*0.011</f>
        <v>10890</v>
      </c>
      <c r="F684" s="13">
        <v>2019</v>
      </c>
      <c r="G684" s="2">
        <v>23000</v>
      </c>
      <c r="H684" s="8" t="s">
        <v>19</v>
      </c>
      <c r="I684" s="8" t="s">
        <v>13</v>
      </c>
      <c r="J684" s="8" t="s">
        <v>62</v>
      </c>
      <c r="K684" t="s">
        <v>322</v>
      </c>
      <c r="L684" t="s">
        <v>140</v>
      </c>
      <c r="M684" s="2">
        <f>VALUE(MID(L684,1,FIND("@",L684)-6))</f>
        <v>89</v>
      </c>
      <c r="N684">
        <v>5</v>
      </c>
      <c r="O684" t="str">
        <f>IF(datos_limpios[[#This Row],[Seating Capacity ]]&gt;4,"SI","NO")</f>
        <v>SI</v>
      </c>
      <c r="P684">
        <v>60</v>
      </c>
    </row>
    <row r="685" spans="1:16" x14ac:dyDescent="0.3">
      <c r="A685" s="8" t="s">
        <v>23</v>
      </c>
      <c r="B685" s="8" t="s">
        <v>86</v>
      </c>
      <c r="C685" s="9">
        <v>684</v>
      </c>
      <c r="D685" s="3">
        <v>999000</v>
      </c>
      <c r="E685" s="1">
        <f>datos_limpios[[#This Row],[Price INR   ]]*0.011</f>
        <v>10989</v>
      </c>
      <c r="F685" s="13">
        <v>2019</v>
      </c>
      <c r="G685" s="2">
        <v>27464</v>
      </c>
      <c r="H685" s="8" t="s">
        <v>12</v>
      </c>
      <c r="I685" s="8" t="s">
        <v>13</v>
      </c>
      <c r="J685" s="8" t="s">
        <v>57</v>
      </c>
      <c r="K685" t="s">
        <v>69</v>
      </c>
      <c r="L685" t="s">
        <v>87</v>
      </c>
      <c r="M685" s="2">
        <f>VALUE(MID(L685,1,FIND("@",L685)-6))</f>
        <v>118</v>
      </c>
      <c r="N685">
        <v>5</v>
      </c>
      <c r="O685" t="str">
        <f>IF(datos_limpios[[#This Row],[Seating Capacity ]]&gt;4,"SI","NO")</f>
        <v>SI</v>
      </c>
      <c r="P685">
        <v>45</v>
      </c>
    </row>
    <row r="686" spans="1:16" x14ac:dyDescent="0.3">
      <c r="A686" s="8" t="s">
        <v>23</v>
      </c>
      <c r="B686" s="8" t="s">
        <v>448</v>
      </c>
      <c r="C686" s="9">
        <v>685</v>
      </c>
      <c r="D686" s="3">
        <v>1000000</v>
      </c>
      <c r="E686" s="1">
        <f>datos_limpios[[#This Row],[Price INR   ]]*0.011</f>
        <v>11000</v>
      </c>
      <c r="F686" s="13">
        <v>2018</v>
      </c>
      <c r="G686" s="2">
        <v>42000</v>
      </c>
      <c r="H686" s="8" t="s">
        <v>12</v>
      </c>
      <c r="I686" s="8" t="s">
        <v>40</v>
      </c>
      <c r="J686" s="8" t="s">
        <v>20</v>
      </c>
      <c r="K686" t="s">
        <v>78</v>
      </c>
      <c r="L686" t="s">
        <v>79</v>
      </c>
      <c r="M686" s="2">
        <f>VALUE(MID(L686,1,FIND("@",L686)-6))</f>
        <v>122</v>
      </c>
      <c r="N686">
        <v>5</v>
      </c>
      <c r="O686" t="str">
        <f>IF(datos_limpios[[#This Row],[Seating Capacity ]]&gt;4,"SI","NO")</f>
        <v>SI</v>
      </c>
      <c r="P686">
        <v>60</v>
      </c>
    </row>
    <row r="687" spans="1:16" x14ac:dyDescent="0.3">
      <c r="A687" s="8" t="s">
        <v>23</v>
      </c>
      <c r="B687" s="8" t="s">
        <v>100</v>
      </c>
      <c r="C687" s="9">
        <v>686</v>
      </c>
      <c r="D687" s="3">
        <v>1015000</v>
      </c>
      <c r="E687" s="1">
        <f>datos_limpios[[#This Row],[Price INR   ]]*0.011</f>
        <v>11165</v>
      </c>
      <c r="F687" s="13">
        <v>2015</v>
      </c>
      <c r="G687" s="2">
        <v>68566</v>
      </c>
      <c r="H687" s="8" t="s">
        <v>19</v>
      </c>
      <c r="I687" s="8" t="s">
        <v>40</v>
      </c>
      <c r="J687" s="8" t="s">
        <v>20</v>
      </c>
      <c r="K687" t="s">
        <v>102</v>
      </c>
      <c r="L687" t="s">
        <v>103</v>
      </c>
      <c r="M687" s="2">
        <f>VALUE(MID(L687,1,FIND("@",L687)-6))</f>
        <v>126</v>
      </c>
      <c r="N687">
        <v>5</v>
      </c>
      <c r="O687" t="str">
        <f>IF(datos_limpios[[#This Row],[Seating Capacity ]]&gt;4,"SI","NO")</f>
        <v>SI</v>
      </c>
      <c r="P687">
        <v>60</v>
      </c>
    </row>
    <row r="688" spans="1:16" x14ac:dyDescent="0.3">
      <c r="A688" s="8" t="s">
        <v>23</v>
      </c>
      <c r="B688" s="8" t="s">
        <v>773</v>
      </c>
      <c r="C688" s="9">
        <v>687</v>
      </c>
      <c r="D688" s="3">
        <v>1025000</v>
      </c>
      <c r="E688" s="1">
        <f>datos_limpios[[#This Row],[Price INR   ]]*0.011</f>
        <v>11275</v>
      </c>
      <c r="F688" s="13">
        <v>2019</v>
      </c>
      <c r="G688" s="2">
        <v>42000</v>
      </c>
      <c r="H688" s="8" t="s">
        <v>19</v>
      </c>
      <c r="I688" s="8" t="s">
        <v>13</v>
      </c>
      <c r="J688" s="8" t="s">
        <v>77</v>
      </c>
      <c r="K688" t="s">
        <v>322</v>
      </c>
      <c r="L688" t="s">
        <v>140</v>
      </c>
      <c r="M688" s="2">
        <f>VALUE(MID(L688,1,FIND("@",L688)-6))</f>
        <v>89</v>
      </c>
      <c r="N688">
        <v>5</v>
      </c>
      <c r="O688" t="str">
        <f>IF(datos_limpios[[#This Row],[Seating Capacity ]]&gt;4,"SI","NO")</f>
        <v>SI</v>
      </c>
      <c r="P688">
        <v>45</v>
      </c>
    </row>
    <row r="689" spans="1:16" x14ac:dyDescent="0.3">
      <c r="A689" s="8" t="s">
        <v>23</v>
      </c>
      <c r="B689" s="8" t="s">
        <v>849</v>
      </c>
      <c r="C689" s="9">
        <v>688</v>
      </c>
      <c r="D689" s="3">
        <v>1035000</v>
      </c>
      <c r="E689" s="1">
        <f>datos_limpios[[#This Row],[Price INR   ]]*0.011</f>
        <v>11385</v>
      </c>
      <c r="F689" s="13">
        <v>2018</v>
      </c>
      <c r="G689" s="2">
        <v>36000</v>
      </c>
      <c r="H689" s="8" t="s">
        <v>19</v>
      </c>
      <c r="I689" s="8" t="s">
        <v>13</v>
      </c>
      <c r="J689" s="8" t="s">
        <v>14</v>
      </c>
      <c r="K689" t="s">
        <v>102</v>
      </c>
      <c r="L689" t="s">
        <v>103</v>
      </c>
      <c r="M689" s="2">
        <f>VALUE(MID(L689,1,FIND("@",L689)-6))</f>
        <v>126</v>
      </c>
      <c r="N689">
        <v>5</v>
      </c>
      <c r="O689" t="str">
        <f>IF(datos_limpios[[#This Row],[Seating Capacity ]]&gt;4,"SI","NO")</f>
        <v>SI</v>
      </c>
      <c r="P689">
        <v>60</v>
      </c>
    </row>
    <row r="690" spans="1:16" x14ac:dyDescent="0.3">
      <c r="A690" s="8" t="s">
        <v>23</v>
      </c>
      <c r="B690" s="8" t="s">
        <v>849</v>
      </c>
      <c r="C690" s="9">
        <v>689</v>
      </c>
      <c r="D690" s="3">
        <v>1044999</v>
      </c>
      <c r="E690" s="1">
        <f>datos_limpios[[#This Row],[Price INR   ]]*0.011</f>
        <v>11494.989</v>
      </c>
      <c r="F690" s="13">
        <v>2016</v>
      </c>
      <c r="G690" s="2">
        <v>78000</v>
      </c>
      <c r="H690" s="8" t="s">
        <v>19</v>
      </c>
      <c r="I690" s="8" t="s">
        <v>13</v>
      </c>
      <c r="J690" s="8" t="s">
        <v>101</v>
      </c>
      <c r="K690" t="s">
        <v>102</v>
      </c>
      <c r="L690" t="s">
        <v>103</v>
      </c>
      <c r="M690" s="2">
        <f>VALUE(MID(L690,1,FIND("@",L690)-6))</f>
        <v>126</v>
      </c>
      <c r="N690">
        <v>5</v>
      </c>
      <c r="O690" t="str">
        <f>IF(datos_limpios[[#This Row],[Seating Capacity ]]&gt;4,"SI","NO")</f>
        <v>SI</v>
      </c>
      <c r="P690">
        <v>60</v>
      </c>
    </row>
    <row r="691" spans="1:16" x14ac:dyDescent="0.3">
      <c r="A691" s="8" t="s">
        <v>23</v>
      </c>
      <c r="B691" s="8" t="s">
        <v>258</v>
      </c>
      <c r="C691" s="9">
        <v>690</v>
      </c>
      <c r="D691" s="3">
        <v>1050000</v>
      </c>
      <c r="E691" s="1">
        <f>datos_limpios[[#This Row],[Price INR   ]]*0.011</f>
        <v>11550</v>
      </c>
      <c r="F691" s="13">
        <v>2020</v>
      </c>
      <c r="G691" s="2">
        <v>16282</v>
      </c>
      <c r="H691" s="8" t="s">
        <v>12</v>
      </c>
      <c r="I691" s="8" t="s">
        <v>40</v>
      </c>
      <c r="J691" s="8" t="s">
        <v>20</v>
      </c>
      <c r="K691" t="s">
        <v>69</v>
      </c>
      <c r="L691" t="s">
        <v>87</v>
      </c>
      <c r="M691" s="2">
        <f>VALUE(MID(L691,1,FIND("@",L691)-6))</f>
        <v>118</v>
      </c>
      <c r="N691">
        <v>5</v>
      </c>
      <c r="O691" t="str">
        <f>IF(datos_limpios[[#This Row],[Seating Capacity ]]&gt;4,"SI","NO")</f>
        <v>SI</v>
      </c>
      <c r="P691">
        <v>37</v>
      </c>
    </row>
    <row r="692" spans="1:16" x14ac:dyDescent="0.3">
      <c r="A692" s="8" t="s">
        <v>23</v>
      </c>
      <c r="B692" s="8" t="s">
        <v>142</v>
      </c>
      <c r="C692" s="9">
        <v>691</v>
      </c>
      <c r="D692" s="3">
        <v>1050000</v>
      </c>
      <c r="E692" s="1">
        <f>datos_limpios[[#This Row],[Price INR   ]]*0.011</f>
        <v>11550</v>
      </c>
      <c r="F692" s="13">
        <v>2017</v>
      </c>
      <c r="G692" s="2">
        <v>97000</v>
      </c>
      <c r="H692" s="8" t="s">
        <v>19</v>
      </c>
      <c r="I692" s="8" t="s">
        <v>40</v>
      </c>
      <c r="J692" s="8" t="s">
        <v>77</v>
      </c>
      <c r="K692" t="s">
        <v>102</v>
      </c>
      <c r="L692" t="s">
        <v>103</v>
      </c>
      <c r="M692" s="2">
        <f>VALUE(MID(L692,1,FIND("@",L692)-6))</f>
        <v>126</v>
      </c>
      <c r="N692">
        <v>5</v>
      </c>
      <c r="O692" t="str">
        <f>IF(datos_limpios[[#This Row],[Seating Capacity ]]&gt;4,"SI","NO")</f>
        <v>SI</v>
      </c>
      <c r="P692">
        <v>60</v>
      </c>
    </row>
    <row r="693" spans="1:16" x14ac:dyDescent="0.3">
      <c r="A693" s="8" t="s">
        <v>23</v>
      </c>
      <c r="B693" s="8" t="s">
        <v>1107</v>
      </c>
      <c r="C693" s="9">
        <v>692</v>
      </c>
      <c r="D693" s="3">
        <v>1050000</v>
      </c>
      <c r="E693" s="1">
        <f>datos_limpios[[#This Row],[Price INR   ]]*0.011</f>
        <v>11550</v>
      </c>
      <c r="F693" s="13">
        <v>2018</v>
      </c>
      <c r="G693" s="2">
        <v>34841</v>
      </c>
      <c r="H693" s="8" t="s">
        <v>12</v>
      </c>
      <c r="I693" s="8" t="s">
        <v>13</v>
      </c>
      <c r="J693" s="8" t="s">
        <v>20</v>
      </c>
      <c r="K693" t="s">
        <v>78</v>
      </c>
      <c r="L693" t="s">
        <v>79</v>
      </c>
      <c r="M693" s="2">
        <f>VALUE(MID(L693,1,FIND("@",L693)-6))</f>
        <v>122</v>
      </c>
      <c r="N693">
        <v>5</v>
      </c>
      <c r="O693" t="str">
        <f>IF(datos_limpios[[#This Row],[Seating Capacity ]]&gt;4,"SI","NO")</f>
        <v>SI</v>
      </c>
      <c r="P693">
        <v>55</v>
      </c>
    </row>
    <row r="694" spans="1:16" x14ac:dyDescent="0.3">
      <c r="A694" s="8" t="s">
        <v>23</v>
      </c>
      <c r="B694" s="8" t="s">
        <v>982</v>
      </c>
      <c r="C694" s="9">
        <v>693</v>
      </c>
      <c r="D694" s="3">
        <v>1050000</v>
      </c>
      <c r="E694" s="1">
        <f>datos_limpios[[#This Row],[Price INR   ]]*0.011</f>
        <v>11550</v>
      </c>
      <c r="F694" s="13">
        <v>2021</v>
      </c>
      <c r="G694" s="2">
        <v>7500</v>
      </c>
      <c r="H694" s="8" t="s">
        <v>12</v>
      </c>
      <c r="I694" s="8" t="s">
        <v>13</v>
      </c>
      <c r="J694" s="8" t="s">
        <v>57</v>
      </c>
      <c r="K694" t="s">
        <v>69</v>
      </c>
      <c r="L694" t="s">
        <v>87</v>
      </c>
      <c r="M694" s="2">
        <f>VALUE(MID(L694,1,FIND("@",L694)-6))</f>
        <v>118</v>
      </c>
      <c r="N694">
        <v>5</v>
      </c>
      <c r="O694" t="str">
        <f>IF(datos_limpios[[#This Row],[Seating Capacity ]]&gt;4,"SI","NO")</f>
        <v>SI</v>
      </c>
      <c r="P694">
        <v>45</v>
      </c>
    </row>
    <row r="695" spans="1:16" x14ac:dyDescent="0.3">
      <c r="A695" s="8" t="s">
        <v>23</v>
      </c>
      <c r="B695" s="8" t="s">
        <v>982</v>
      </c>
      <c r="C695" s="9">
        <v>694</v>
      </c>
      <c r="D695" s="3">
        <v>1070000</v>
      </c>
      <c r="E695" s="1">
        <f>datos_limpios[[#This Row],[Price INR   ]]*0.011</f>
        <v>11770</v>
      </c>
      <c r="F695" s="13">
        <v>2021</v>
      </c>
      <c r="G695" s="2">
        <v>8800</v>
      </c>
      <c r="H695" s="8" t="s">
        <v>12</v>
      </c>
      <c r="I695" s="8" t="s">
        <v>13</v>
      </c>
      <c r="J695" s="8" t="s">
        <v>20</v>
      </c>
      <c r="K695" t="s">
        <v>69</v>
      </c>
      <c r="L695" t="s">
        <v>87</v>
      </c>
      <c r="M695" s="2">
        <f>VALUE(MID(L695,1,FIND("@",L695)-6))</f>
        <v>118</v>
      </c>
      <c r="N695">
        <v>5</v>
      </c>
      <c r="O695" t="str">
        <f>IF(datos_limpios[[#This Row],[Seating Capacity ]]&gt;4,"SI","NO")</f>
        <v>SI</v>
      </c>
      <c r="P695">
        <v>45</v>
      </c>
    </row>
    <row r="696" spans="1:16" x14ac:dyDescent="0.3">
      <c r="A696" s="8" t="s">
        <v>23</v>
      </c>
      <c r="B696" s="8" t="s">
        <v>448</v>
      </c>
      <c r="C696" s="9">
        <v>695</v>
      </c>
      <c r="D696" s="3">
        <v>1074000</v>
      </c>
      <c r="E696" s="1">
        <f>datos_limpios[[#This Row],[Price INR   ]]*0.011</f>
        <v>11814</v>
      </c>
      <c r="F696" s="13">
        <v>2017</v>
      </c>
      <c r="G696" s="2">
        <v>50050</v>
      </c>
      <c r="H696" s="8" t="s">
        <v>12</v>
      </c>
      <c r="I696" s="8" t="s">
        <v>40</v>
      </c>
      <c r="J696" s="8" t="s">
        <v>20</v>
      </c>
      <c r="K696" t="s">
        <v>78</v>
      </c>
      <c r="L696" t="s">
        <v>79</v>
      </c>
      <c r="M696" s="2">
        <f>VALUE(MID(L696,1,FIND("@",L696)-6))</f>
        <v>122</v>
      </c>
      <c r="N696">
        <v>5</v>
      </c>
      <c r="O696" t="str">
        <f>IF(datos_limpios[[#This Row],[Seating Capacity ]]&gt;4,"SI","NO")</f>
        <v>SI</v>
      </c>
      <c r="P696">
        <v>60</v>
      </c>
    </row>
    <row r="697" spans="1:16" x14ac:dyDescent="0.3">
      <c r="A697" s="8" t="s">
        <v>23</v>
      </c>
      <c r="B697" s="8" t="s">
        <v>281</v>
      </c>
      <c r="C697" s="9">
        <v>696</v>
      </c>
      <c r="D697" s="3">
        <v>1075000</v>
      </c>
      <c r="E697" s="1">
        <f>datos_limpios[[#This Row],[Price INR   ]]*0.011</f>
        <v>11825</v>
      </c>
      <c r="F697" s="13">
        <v>2019</v>
      </c>
      <c r="G697" s="2">
        <v>45000</v>
      </c>
      <c r="H697" s="8" t="s">
        <v>12</v>
      </c>
      <c r="I697" s="8" t="s">
        <v>40</v>
      </c>
      <c r="J697" s="8" t="s">
        <v>20</v>
      </c>
      <c r="K697" t="s">
        <v>78</v>
      </c>
      <c r="L697" t="s">
        <v>79</v>
      </c>
      <c r="M697" s="2">
        <f>VALUE(MID(L697,1,FIND("@",L697)-6))</f>
        <v>122</v>
      </c>
      <c r="N697">
        <v>5</v>
      </c>
      <c r="O697" t="str">
        <f>IF(datos_limpios[[#This Row],[Seating Capacity ]]&gt;4,"SI","NO")</f>
        <v>SI</v>
      </c>
      <c r="P697">
        <v>55</v>
      </c>
    </row>
    <row r="698" spans="1:16" x14ac:dyDescent="0.3">
      <c r="A698" s="8" t="s">
        <v>23</v>
      </c>
      <c r="B698" s="8" t="s">
        <v>1111</v>
      </c>
      <c r="C698" s="9">
        <v>697</v>
      </c>
      <c r="D698" s="3">
        <v>1075000</v>
      </c>
      <c r="E698" s="1">
        <f>datos_limpios[[#This Row],[Price INR   ]]*0.011</f>
        <v>11825</v>
      </c>
      <c r="F698" s="13">
        <v>2021</v>
      </c>
      <c r="G698" s="2">
        <v>12020</v>
      </c>
      <c r="H698" s="8" t="s">
        <v>12</v>
      </c>
      <c r="I698" s="8" t="s">
        <v>40</v>
      </c>
      <c r="J698" s="8" t="s">
        <v>20</v>
      </c>
      <c r="K698" t="s">
        <v>26</v>
      </c>
      <c r="L698" t="s">
        <v>16</v>
      </c>
      <c r="M698" s="2">
        <f>VALUE(MID(L698,1,FIND("@",L698)-6))</f>
        <v>87</v>
      </c>
      <c r="N698">
        <v>5</v>
      </c>
      <c r="O698" t="str">
        <f>IF(datos_limpios[[#This Row],[Seating Capacity ]]&gt;4,"SI","NO")</f>
        <v>SI</v>
      </c>
      <c r="P698">
        <v>37</v>
      </c>
    </row>
    <row r="699" spans="1:16" x14ac:dyDescent="0.3">
      <c r="A699" s="8" t="s">
        <v>23</v>
      </c>
      <c r="B699" s="8" t="s">
        <v>711</v>
      </c>
      <c r="C699" s="9">
        <v>698</v>
      </c>
      <c r="D699" s="3">
        <v>1075000</v>
      </c>
      <c r="E699" s="1">
        <f>datos_limpios[[#This Row],[Price INR   ]]*0.011</f>
        <v>11825</v>
      </c>
      <c r="F699" s="13">
        <v>2019</v>
      </c>
      <c r="G699" s="2">
        <v>28000</v>
      </c>
      <c r="H699" s="8" t="s">
        <v>12</v>
      </c>
      <c r="I699" s="8" t="s">
        <v>40</v>
      </c>
      <c r="J699" s="8" t="s">
        <v>57</v>
      </c>
      <c r="K699" t="s">
        <v>69</v>
      </c>
      <c r="L699" t="s">
        <v>87</v>
      </c>
      <c r="M699" s="2">
        <f>VALUE(MID(L699,1,FIND("@",L699)-6))</f>
        <v>118</v>
      </c>
      <c r="N699">
        <v>5</v>
      </c>
      <c r="O699" t="str">
        <f>IF(datos_limpios[[#This Row],[Seating Capacity ]]&gt;4,"SI","NO")</f>
        <v>SI</v>
      </c>
      <c r="P699">
        <v>45</v>
      </c>
    </row>
    <row r="700" spans="1:16" x14ac:dyDescent="0.3">
      <c r="A700" s="8" t="s">
        <v>23</v>
      </c>
      <c r="B700" s="8" t="s">
        <v>1114</v>
      </c>
      <c r="C700" s="9">
        <v>699</v>
      </c>
      <c r="D700" s="3">
        <v>1080000</v>
      </c>
      <c r="E700" s="1">
        <f>datos_limpios[[#This Row],[Price INR   ]]*0.011</f>
        <v>11880</v>
      </c>
      <c r="F700" s="13">
        <v>2019</v>
      </c>
      <c r="G700" s="2">
        <v>68000</v>
      </c>
      <c r="H700" s="8" t="s">
        <v>19</v>
      </c>
      <c r="I700" s="8" t="s">
        <v>13</v>
      </c>
      <c r="J700" s="8" t="s">
        <v>20</v>
      </c>
      <c r="K700" t="s">
        <v>322</v>
      </c>
      <c r="L700" t="s">
        <v>140</v>
      </c>
      <c r="M700" s="2">
        <f>VALUE(MID(L700,1,FIND("@",L700)-6))</f>
        <v>89</v>
      </c>
      <c r="N700">
        <v>5</v>
      </c>
      <c r="O700" t="str">
        <f>IF(datos_limpios[[#This Row],[Seating Capacity ]]&gt;4,"SI","NO")</f>
        <v>SI</v>
      </c>
      <c r="P700">
        <v>60</v>
      </c>
    </row>
    <row r="701" spans="1:16" x14ac:dyDescent="0.3">
      <c r="A701" s="8" t="s">
        <v>23</v>
      </c>
      <c r="B701" s="8" t="s">
        <v>1115</v>
      </c>
      <c r="C701" s="9">
        <v>700</v>
      </c>
      <c r="D701" s="3">
        <v>1080000</v>
      </c>
      <c r="E701" s="1">
        <f>datos_limpios[[#This Row],[Price INR   ]]*0.011</f>
        <v>11880</v>
      </c>
      <c r="F701" s="13">
        <v>2020</v>
      </c>
      <c r="G701" s="2">
        <v>56000</v>
      </c>
      <c r="H701" s="8" t="s">
        <v>19</v>
      </c>
      <c r="I701" s="8" t="s">
        <v>13</v>
      </c>
      <c r="J701" s="8" t="s">
        <v>57</v>
      </c>
      <c r="K701" t="s">
        <v>184</v>
      </c>
      <c r="L701" t="s">
        <v>185</v>
      </c>
      <c r="M701" s="2">
        <f>VALUE(MID(L701,1,FIND("@",L701)-6))</f>
        <v>99</v>
      </c>
      <c r="N701">
        <v>5</v>
      </c>
      <c r="O701" t="str">
        <f>IF(datos_limpios[[#This Row],[Seating Capacity ]]&gt;4,"SI","NO")</f>
        <v>SI</v>
      </c>
      <c r="P701">
        <v>45</v>
      </c>
    </row>
    <row r="702" spans="1:16" x14ac:dyDescent="0.3">
      <c r="A702" s="8" t="s">
        <v>23</v>
      </c>
      <c r="B702" s="8" t="s">
        <v>99</v>
      </c>
      <c r="C702" s="9">
        <v>701</v>
      </c>
      <c r="D702" s="3">
        <v>1085000</v>
      </c>
      <c r="E702" s="1">
        <f>datos_limpios[[#This Row],[Price INR   ]]*0.011</f>
        <v>11935</v>
      </c>
      <c r="F702" s="13">
        <v>2022</v>
      </c>
      <c r="G702" s="2">
        <v>3383</v>
      </c>
      <c r="H702" s="8" t="s">
        <v>12</v>
      </c>
      <c r="I702" s="8" t="s">
        <v>13</v>
      </c>
      <c r="J702" s="8" t="s">
        <v>57</v>
      </c>
      <c r="K702" t="s">
        <v>69</v>
      </c>
      <c r="L702" t="s">
        <v>87</v>
      </c>
      <c r="M702" s="2">
        <f>VALUE(MID(L702,1,FIND("@",L702)-6))</f>
        <v>118</v>
      </c>
      <c r="N702">
        <v>5</v>
      </c>
      <c r="O702" t="str">
        <f>IF(datos_limpios[[#This Row],[Seating Capacity ]]&gt;4,"SI","NO")</f>
        <v>SI</v>
      </c>
      <c r="P702">
        <v>45</v>
      </c>
    </row>
    <row r="703" spans="1:16" x14ac:dyDescent="0.3">
      <c r="A703" s="8" t="s">
        <v>23</v>
      </c>
      <c r="B703" s="8" t="s">
        <v>780</v>
      </c>
      <c r="C703" s="9">
        <v>702</v>
      </c>
      <c r="D703" s="3">
        <v>1085000</v>
      </c>
      <c r="E703" s="1">
        <f>datos_limpios[[#This Row],[Price INR   ]]*0.011</f>
        <v>11935</v>
      </c>
      <c r="F703" s="13">
        <v>2018</v>
      </c>
      <c r="G703" s="2">
        <v>45915</v>
      </c>
      <c r="H703" s="8" t="s">
        <v>19</v>
      </c>
      <c r="I703" s="8" t="s">
        <v>40</v>
      </c>
      <c r="J703" s="8" t="s">
        <v>101</v>
      </c>
      <c r="K703" t="s">
        <v>102</v>
      </c>
      <c r="L703" t="s">
        <v>103</v>
      </c>
      <c r="M703" s="2">
        <f>VALUE(MID(L703,1,FIND("@",L703)-6))</f>
        <v>126</v>
      </c>
      <c r="N703">
        <v>5</v>
      </c>
      <c r="O703" t="str">
        <f>IF(datos_limpios[[#This Row],[Seating Capacity ]]&gt;4,"SI","NO")</f>
        <v>SI</v>
      </c>
      <c r="P703">
        <v>45</v>
      </c>
    </row>
    <row r="704" spans="1:16" x14ac:dyDescent="0.3">
      <c r="A704" s="8" t="s">
        <v>23</v>
      </c>
      <c r="B704" s="8" t="s">
        <v>711</v>
      </c>
      <c r="C704" s="9">
        <v>703</v>
      </c>
      <c r="D704" s="3">
        <v>1090000</v>
      </c>
      <c r="E704" s="1">
        <f>datos_limpios[[#This Row],[Price INR   ]]*0.011</f>
        <v>11990</v>
      </c>
      <c r="F704" s="13">
        <v>2020</v>
      </c>
      <c r="G704" s="2">
        <v>26200</v>
      </c>
      <c r="H704" s="8" t="s">
        <v>12</v>
      </c>
      <c r="I704" s="8" t="s">
        <v>40</v>
      </c>
      <c r="J704" s="8" t="s">
        <v>20</v>
      </c>
      <c r="K704" t="s">
        <v>69</v>
      </c>
      <c r="L704" t="s">
        <v>87</v>
      </c>
      <c r="M704" s="2">
        <f>VALUE(MID(L704,1,FIND("@",L704)-6))</f>
        <v>118</v>
      </c>
      <c r="N704">
        <v>5</v>
      </c>
      <c r="O704" t="str">
        <f>IF(datos_limpios[[#This Row],[Seating Capacity ]]&gt;4,"SI","NO")</f>
        <v>SI</v>
      </c>
      <c r="P704">
        <v>45</v>
      </c>
    </row>
    <row r="705" spans="1:16" x14ac:dyDescent="0.3">
      <c r="A705" s="8" t="s">
        <v>23</v>
      </c>
      <c r="B705" s="8" t="s">
        <v>777</v>
      </c>
      <c r="C705" s="9">
        <v>704</v>
      </c>
      <c r="D705" s="3">
        <v>1090000</v>
      </c>
      <c r="E705" s="1">
        <f>datos_limpios[[#This Row],[Price INR   ]]*0.011</f>
        <v>11990</v>
      </c>
      <c r="F705" s="13">
        <v>2019</v>
      </c>
      <c r="G705" s="2">
        <v>37000</v>
      </c>
      <c r="H705" s="8" t="s">
        <v>19</v>
      </c>
      <c r="I705" s="8" t="s">
        <v>13</v>
      </c>
      <c r="J705" s="8" t="s">
        <v>57</v>
      </c>
      <c r="K705" t="s">
        <v>322</v>
      </c>
      <c r="L705" t="s">
        <v>140</v>
      </c>
      <c r="M705" s="2">
        <f>VALUE(MID(L705,1,FIND("@",L705)-6))</f>
        <v>89</v>
      </c>
      <c r="N705">
        <v>5</v>
      </c>
      <c r="O705" t="str">
        <f>IF(datos_limpios[[#This Row],[Seating Capacity ]]&gt;4,"SI","NO")</f>
        <v>SI</v>
      </c>
      <c r="P705">
        <v>55</v>
      </c>
    </row>
    <row r="706" spans="1:16" x14ac:dyDescent="0.3">
      <c r="A706" s="8" t="s">
        <v>23</v>
      </c>
      <c r="B706" s="8" t="s">
        <v>448</v>
      </c>
      <c r="C706" s="9">
        <v>705</v>
      </c>
      <c r="D706" s="3">
        <v>1095000</v>
      </c>
      <c r="E706" s="1">
        <f>datos_limpios[[#This Row],[Price INR   ]]*0.011</f>
        <v>12045</v>
      </c>
      <c r="F706" s="13">
        <v>2017</v>
      </c>
      <c r="G706" s="2">
        <v>39000</v>
      </c>
      <c r="H706" s="8" t="s">
        <v>12</v>
      </c>
      <c r="I706" s="8" t="s">
        <v>40</v>
      </c>
      <c r="J706" s="8" t="s">
        <v>30</v>
      </c>
      <c r="K706" t="s">
        <v>78</v>
      </c>
      <c r="L706" t="s">
        <v>79</v>
      </c>
      <c r="M706" s="2">
        <f>VALUE(MID(L706,1,FIND("@",L706)-6))</f>
        <v>122</v>
      </c>
      <c r="N706">
        <v>5</v>
      </c>
      <c r="O706" t="str">
        <f>IF(datos_limpios[[#This Row],[Seating Capacity ]]&gt;4,"SI","NO")</f>
        <v>SI</v>
      </c>
      <c r="P706">
        <v>60</v>
      </c>
    </row>
    <row r="707" spans="1:16" x14ac:dyDescent="0.3">
      <c r="A707" s="8" t="s">
        <v>23</v>
      </c>
      <c r="B707" s="8" t="s">
        <v>492</v>
      </c>
      <c r="C707" s="9">
        <v>706</v>
      </c>
      <c r="D707" s="3">
        <v>1097000</v>
      </c>
      <c r="E707" s="1">
        <f>datos_limpios[[#This Row],[Price INR   ]]*0.011</f>
        <v>12067</v>
      </c>
      <c r="F707" s="13">
        <v>2022</v>
      </c>
      <c r="G707" s="2">
        <v>1700</v>
      </c>
      <c r="H707" s="8" t="s">
        <v>19</v>
      </c>
      <c r="I707" s="8" t="s">
        <v>13</v>
      </c>
      <c r="J707" s="8" t="s">
        <v>20</v>
      </c>
      <c r="K707" t="s">
        <v>184</v>
      </c>
      <c r="L707" t="s">
        <v>185</v>
      </c>
      <c r="M707" s="2">
        <f>VALUE(MID(L707,1,FIND("@",L707)-6))</f>
        <v>99</v>
      </c>
      <c r="N707">
        <v>5</v>
      </c>
      <c r="O707" t="str">
        <f>IF(datos_limpios[[#This Row],[Seating Capacity ]]&gt;4,"SI","NO")</f>
        <v>SI</v>
      </c>
      <c r="P707">
        <v>45</v>
      </c>
    </row>
    <row r="708" spans="1:16" x14ac:dyDescent="0.3">
      <c r="A708" s="8" t="s">
        <v>23</v>
      </c>
      <c r="B708" s="8" t="s">
        <v>807</v>
      </c>
      <c r="C708" s="9">
        <v>707</v>
      </c>
      <c r="D708" s="3">
        <v>1100000</v>
      </c>
      <c r="E708" s="1">
        <f>datos_limpios[[#This Row],[Price INR   ]]*0.011</f>
        <v>12100</v>
      </c>
      <c r="F708" s="13">
        <v>2018</v>
      </c>
      <c r="G708" s="2">
        <v>65954</v>
      </c>
      <c r="H708" s="8" t="s">
        <v>19</v>
      </c>
      <c r="I708" s="8" t="s">
        <v>13</v>
      </c>
      <c r="J708" s="8" t="s">
        <v>30</v>
      </c>
      <c r="K708" t="s">
        <v>102</v>
      </c>
      <c r="L708" t="s">
        <v>103</v>
      </c>
      <c r="M708" s="2">
        <f>VALUE(MID(L708,1,FIND("@",L708)-6))</f>
        <v>126</v>
      </c>
      <c r="N708">
        <v>5</v>
      </c>
      <c r="O708" t="str">
        <f>IF(datos_limpios[[#This Row],[Seating Capacity ]]&gt;4,"SI","NO")</f>
        <v>SI</v>
      </c>
      <c r="P708">
        <v>55</v>
      </c>
    </row>
    <row r="709" spans="1:16" x14ac:dyDescent="0.3">
      <c r="A709" s="8" t="s">
        <v>23</v>
      </c>
      <c r="B709" s="8" t="s">
        <v>994</v>
      </c>
      <c r="C709" s="9">
        <v>708</v>
      </c>
      <c r="D709" s="3">
        <v>1100000</v>
      </c>
      <c r="E709" s="1">
        <f>datos_limpios[[#This Row],[Price INR   ]]*0.011</f>
        <v>12100</v>
      </c>
      <c r="F709" s="13">
        <v>2019</v>
      </c>
      <c r="G709" s="2">
        <v>26000</v>
      </c>
      <c r="H709" s="8" t="s">
        <v>19</v>
      </c>
      <c r="I709" s="8" t="s">
        <v>13</v>
      </c>
      <c r="J709" s="8" t="s">
        <v>20</v>
      </c>
      <c r="K709" t="s">
        <v>102</v>
      </c>
      <c r="L709" t="s">
        <v>103</v>
      </c>
      <c r="M709" s="2">
        <f>VALUE(MID(L709,1,FIND("@",L709)-6))</f>
        <v>126</v>
      </c>
      <c r="N709">
        <v>5</v>
      </c>
      <c r="O709" t="str">
        <f>IF(datos_limpios[[#This Row],[Seating Capacity ]]&gt;4,"SI","NO")</f>
        <v>SI</v>
      </c>
      <c r="P709">
        <v>43</v>
      </c>
    </row>
    <row r="710" spans="1:16" x14ac:dyDescent="0.3">
      <c r="A710" s="8" t="s">
        <v>23</v>
      </c>
      <c r="B710" s="8" t="s">
        <v>870</v>
      </c>
      <c r="C710" s="9">
        <v>709</v>
      </c>
      <c r="D710" s="3">
        <v>1115000</v>
      </c>
      <c r="E710" s="1">
        <f>datos_limpios[[#This Row],[Price INR   ]]*0.011</f>
        <v>12265</v>
      </c>
      <c r="F710" s="13">
        <v>2018</v>
      </c>
      <c r="G710" s="2">
        <v>37000</v>
      </c>
      <c r="H710" s="8" t="s">
        <v>12</v>
      </c>
      <c r="I710" s="8" t="s">
        <v>13</v>
      </c>
      <c r="J710" s="8" t="s">
        <v>101</v>
      </c>
      <c r="K710" t="s">
        <v>78</v>
      </c>
      <c r="L710" t="s">
        <v>79</v>
      </c>
      <c r="M710" s="2">
        <f>VALUE(MID(L710,1,FIND("@",L710)-6))</f>
        <v>122</v>
      </c>
      <c r="N710">
        <v>5</v>
      </c>
      <c r="O710" t="str">
        <f>IF(datos_limpios[[#This Row],[Seating Capacity ]]&gt;4,"SI","NO")</f>
        <v>SI</v>
      </c>
      <c r="P710">
        <v>55</v>
      </c>
    </row>
    <row r="711" spans="1:16" x14ac:dyDescent="0.3">
      <c r="A711" s="8" t="s">
        <v>23</v>
      </c>
      <c r="B711" s="8" t="s">
        <v>780</v>
      </c>
      <c r="C711" s="9">
        <v>710</v>
      </c>
      <c r="D711" s="3">
        <v>1123000</v>
      </c>
      <c r="E711" s="1">
        <f>datos_limpios[[#This Row],[Price INR   ]]*0.011</f>
        <v>12353</v>
      </c>
      <c r="F711" s="13">
        <v>2017</v>
      </c>
      <c r="G711" s="2">
        <v>80000</v>
      </c>
      <c r="H711" s="8" t="s">
        <v>19</v>
      </c>
      <c r="I711" s="8" t="s">
        <v>40</v>
      </c>
      <c r="J711" s="8" t="s">
        <v>77</v>
      </c>
      <c r="K711" t="s">
        <v>102</v>
      </c>
      <c r="L711" t="s">
        <v>103</v>
      </c>
      <c r="M711" s="2">
        <f>VALUE(MID(L711,1,FIND("@",L711)-6))</f>
        <v>126</v>
      </c>
      <c r="N711">
        <v>5</v>
      </c>
      <c r="O711" t="str">
        <f>IF(datos_limpios[[#This Row],[Seating Capacity ]]&gt;4,"SI","NO")</f>
        <v>SI</v>
      </c>
      <c r="P711">
        <v>45</v>
      </c>
    </row>
    <row r="712" spans="1:16" x14ac:dyDescent="0.3">
      <c r="A712" s="8" t="s">
        <v>23</v>
      </c>
      <c r="B712" s="8" t="s">
        <v>120</v>
      </c>
      <c r="C712" s="9">
        <v>711</v>
      </c>
      <c r="D712" s="3">
        <v>1125000</v>
      </c>
      <c r="E712" s="1">
        <f>datos_limpios[[#This Row],[Price INR   ]]*0.011</f>
        <v>12375</v>
      </c>
      <c r="F712" s="13">
        <v>2018</v>
      </c>
      <c r="G712" s="2">
        <v>60000</v>
      </c>
      <c r="H712" s="8" t="s">
        <v>19</v>
      </c>
      <c r="I712" s="8" t="s">
        <v>13</v>
      </c>
      <c r="J712" s="8" t="s">
        <v>20</v>
      </c>
      <c r="K712" t="s">
        <v>102</v>
      </c>
      <c r="L712" t="s">
        <v>103</v>
      </c>
      <c r="M712" s="2">
        <f>VALUE(MID(L712,1,FIND("@",L712)-6))</f>
        <v>126</v>
      </c>
      <c r="N712">
        <v>5</v>
      </c>
      <c r="O712" t="str">
        <f>IF(datos_limpios[[#This Row],[Seating Capacity ]]&gt;4,"SI","NO")</f>
        <v>SI</v>
      </c>
      <c r="P712">
        <v>55</v>
      </c>
    </row>
    <row r="713" spans="1:16" x14ac:dyDescent="0.3">
      <c r="A713" s="8" t="s">
        <v>23</v>
      </c>
      <c r="B713" s="8" t="s">
        <v>994</v>
      </c>
      <c r="C713" s="9">
        <v>712</v>
      </c>
      <c r="D713" s="3">
        <v>1125000</v>
      </c>
      <c r="E713" s="1">
        <f>datos_limpios[[#This Row],[Price INR   ]]*0.011</f>
        <v>12375</v>
      </c>
      <c r="F713" s="13">
        <v>2019</v>
      </c>
      <c r="G713" s="2">
        <v>40000</v>
      </c>
      <c r="H713" s="8" t="s">
        <v>19</v>
      </c>
      <c r="I713" s="8" t="s">
        <v>13</v>
      </c>
      <c r="J713" s="8" t="s">
        <v>20</v>
      </c>
      <c r="K713" t="s">
        <v>102</v>
      </c>
      <c r="L713" t="s">
        <v>103</v>
      </c>
      <c r="M713" s="2">
        <f>VALUE(MID(L713,1,FIND("@",L713)-6))</f>
        <v>126</v>
      </c>
      <c r="N713">
        <v>5</v>
      </c>
      <c r="O713" t="str">
        <f>IF(datos_limpios[[#This Row],[Seating Capacity ]]&gt;4,"SI","NO")</f>
        <v>SI</v>
      </c>
      <c r="P713">
        <v>43</v>
      </c>
    </row>
    <row r="714" spans="1:16" x14ac:dyDescent="0.3">
      <c r="A714" s="8" t="s">
        <v>23</v>
      </c>
      <c r="B714" s="8" t="s">
        <v>1093</v>
      </c>
      <c r="C714" s="9">
        <v>713</v>
      </c>
      <c r="D714" s="3">
        <v>1125000</v>
      </c>
      <c r="E714" s="1">
        <f>datos_limpios[[#This Row],[Price INR   ]]*0.011</f>
        <v>12375</v>
      </c>
      <c r="F714" s="13">
        <v>2019</v>
      </c>
      <c r="G714" s="2">
        <v>50000</v>
      </c>
      <c r="H714" s="8" t="s">
        <v>12</v>
      </c>
      <c r="I714" s="8" t="s">
        <v>40</v>
      </c>
      <c r="J714" s="8" t="s">
        <v>20</v>
      </c>
      <c r="K714" t="s">
        <v>78</v>
      </c>
      <c r="L714" t="s">
        <v>231</v>
      </c>
      <c r="M714" s="2">
        <f>VALUE(MID(L714,1,FIND("@",L714)-6))</f>
        <v>121</v>
      </c>
      <c r="N714">
        <v>5</v>
      </c>
      <c r="O714" t="str">
        <f>IF(datos_limpios[[#This Row],[Seating Capacity ]]&gt;4,"SI","NO")</f>
        <v>SI</v>
      </c>
      <c r="P714">
        <v>43</v>
      </c>
    </row>
    <row r="715" spans="1:16" x14ac:dyDescent="0.3">
      <c r="A715" s="8" t="s">
        <v>23</v>
      </c>
      <c r="B715" s="8" t="s">
        <v>1284</v>
      </c>
      <c r="C715" s="9">
        <v>714</v>
      </c>
      <c r="D715" s="3">
        <v>1130000</v>
      </c>
      <c r="E715" s="1">
        <f>datos_limpios[[#This Row],[Price INR   ]]*0.011</f>
        <v>12430</v>
      </c>
      <c r="F715" s="13">
        <v>2020</v>
      </c>
      <c r="G715" s="2">
        <v>12905</v>
      </c>
      <c r="H715" s="8" t="s">
        <v>12</v>
      </c>
      <c r="I715" s="8" t="s">
        <v>13</v>
      </c>
      <c r="J715" s="8" t="s">
        <v>20</v>
      </c>
      <c r="K715" t="s">
        <v>69</v>
      </c>
      <c r="L715" t="s">
        <v>87</v>
      </c>
      <c r="M715" s="2">
        <f>VALUE(MID(L715,1,FIND("@",L715)-6))</f>
        <v>118</v>
      </c>
      <c r="N715">
        <v>5</v>
      </c>
      <c r="O715" t="str">
        <f>IF(datos_limpios[[#This Row],[Seating Capacity ]]&gt;4,"SI","NO")</f>
        <v>SI</v>
      </c>
      <c r="P715">
        <v>37</v>
      </c>
    </row>
    <row r="716" spans="1:16" x14ac:dyDescent="0.3">
      <c r="A716" s="8" t="s">
        <v>23</v>
      </c>
      <c r="B716" s="8" t="s">
        <v>1144</v>
      </c>
      <c r="C716" s="9">
        <v>715</v>
      </c>
      <c r="D716" s="3">
        <v>1149000</v>
      </c>
      <c r="E716" s="1">
        <f>datos_limpios[[#This Row],[Price INR   ]]*0.011</f>
        <v>12639</v>
      </c>
      <c r="F716" s="13">
        <v>2019</v>
      </c>
      <c r="G716" s="2">
        <v>26894</v>
      </c>
      <c r="H716" s="8" t="s">
        <v>12</v>
      </c>
      <c r="I716" s="8" t="s">
        <v>40</v>
      </c>
      <c r="J716" s="8" t="s">
        <v>101</v>
      </c>
      <c r="K716" t="s">
        <v>78</v>
      </c>
      <c r="L716" t="s">
        <v>1145</v>
      </c>
      <c r="M716" s="2">
        <f>VALUE(MID(L716,1,FIND("@",L716)-6))</f>
        <v>121</v>
      </c>
      <c r="N716">
        <v>5</v>
      </c>
      <c r="O716" t="str">
        <f>IF(datos_limpios[[#This Row],[Seating Capacity ]]&gt;4,"SI","NO")</f>
        <v>SI</v>
      </c>
      <c r="P716">
        <v>45</v>
      </c>
    </row>
    <row r="717" spans="1:16" x14ac:dyDescent="0.3">
      <c r="A717" s="8" t="s">
        <v>23</v>
      </c>
      <c r="B717" s="8" t="s">
        <v>142</v>
      </c>
      <c r="C717" s="9">
        <v>716</v>
      </c>
      <c r="D717" s="3">
        <v>1150000</v>
      </c>
      <c r="E717" s="1">
        <f>datos_limpios[[#This Row],[Price INR   ]]*0.011</f>
        <v>12650</v>
      </c>
      <c r="F717" s="13">
        <v>2017</v>
      </c>
      <c r="G717" s="2">
        <v>66602</v>
      </c>
      <c r="H717" s="8" t="s">
        <v>19</v>
      </c>
      <c r="I717" s="8" t="s">
        <v>40</v>
      </c>
      <c r="J717" s="8" t="s">
        <v>14</v>
      </c>
      <c r="K717" t="s">
        <v>102</v>
      </c>
      <c r="L717" t="s">
        <v>103</v>
      </c>
      <c r="M717" s="2">
        <f>VALUE(MID(L717,1,FIND("@",L717)-6))</f>
        <v>126</v>
      </c>
      <c r="N717">
        <v>5</v>
      </c>
      <c r="O717" t="str">
        <f>IF(datos_limpios[[#This Row],[Seating Capacity ]]&gt;4,"SI","NO")</f>
        <v>SI</v>
      </c>
      <c r="P717">
        <v>60</v>
      </c>
    </row>
    <row r="718" spans="1:16" x14ac:dyDescent="0.3">
      <c r="A718" s="8" t="s">
        <v>23</v>
      </c>
      <c r="B718" s="8" t="s">
        <v>93</v>
      </c>
      <c r="C718" s="9">
        <v>717</v>
      </c>
      <c r="D718" s="3">
        <v>1175000</v>
      </c>
      <c r="E718" s="1">
        <f>datos_limpios[[#This Row],[Price INR   ]]*0.011</f>
        <v>12925</v>
      </c>
      <c r="F718" s="13">
        <v>2019</v>
      </c>
      <c r="G718" s="2">
        <v>36313</v>
      </c>
      <c r="H718" s="8" t="s">
        <v>12</v>
      </c>
      <c r="I718" s="8" t="s">
        <v>13</v>
      </c>
      <c r="J718" s="8" t="s">
        <v>14</v>
      </c>
      <c r="K718" t="s">
        <v>78</v>
      </c>
      <c r="L718" t="s">
        <v>79</v>
      </c>
      <c r="M718" s="2">
        <f>VALUE(MID(L718,1,FIND("@",L718)-6))</f>
        <v>122</v>
      </c>
      <c r="N718">
        <v>5</v>
      </c>
      <c r="O718" t="str">
        <f>IF(datos_limpios[[#This Row],[Seating Capacity ]]&gt;4,"SI","NO")</f>
        <v>SI</v>
      </c>
      <c r="P718">
        <v>60</v>
      </c>
    </row>
    <row r="719" spans="1:16" x14ac:dyDescent="0.3">
      <c r="A719" s="8" t="s">
        <v>23</v>
      </c>
      <c r="B719" s="8" t="s">
        <v>1047</v>
      </c>
      <c r="C719" s="9">
        <v>718</v>
      </c>
      <c r="D719" s="3">
        <v>1175000</v>
      </c>
      <c r="E719" s="1">
        <f>datos_limpios[[#This Row],[Price INR   ]]*0.011</f>
        <v>12925</v>
      </c>
      <c r="F719" s="13">
        <v>2017</v>
      </c>
      <c r="G719" s="2">
        <v>24000</v>
      </c>
      <c r="H719" s="8" t="s">
        <v>12</v>
      </c>
      <c r="I719" s="8" t="s">
        <v>40</v>
      </c>
      <c r="J719" s="8" t="s">
        <v>20</v>
      </c>
      <c r="K719" t="s">
        <v>301</v>
      </c>
      <c r="L719" t="s">
        <v>1048</v>
      </c>
      <c r="M719" s="2">
        <f>VALUE(MID(L719,1,FIND("@",L719)-6))</f>
        <v>150</v>
      </c>
      <c r="N719">
        <v>5</v>
      </c>
      <c r="O719" t="str">
        <f>IF(datos_limpios[[#This Row],[Seating Capacity ]]&gt;4,"SI","NO")</f>
        <v>SI</v>
      </c>
      <c r="P719">
        <v>50</v>
      </c>
    </row>
    <row r="720" spans="1:16" x14ac:dyDescent="0.3">
      <c r="A720" s="8" t="s">
        <v>23</v>
      </c>
      <c r="B720" s="8" t="s">
        <v>1092</v>
      </c>
      <c r="C720" s="9">
        <v>719</v>
      </c>
      <c r="D720" s="3">
        <v>1175000</v>
      </c>
      <c r="E720" s="1">
        <f>datos_limpios[[#This Row],[Price INR   ]]*0.011</f>
        <v>12925</v>
      </c>
      <c r="F720" s="13">
        <v>2018</v>
      </c>
      <c r="G720" s="2">
        <v>97000</v>
      </c>
      <c r="H720" s="8" t="s">
        <v>19</v>
      </c>
      <c r="I720" s="8" t="s">
        <v>13</v>
      </c>
      <c r="J720" s="8" t="s">
        <v>20</v>
      </c>
      <c r="K720" t="s">
        <v>102</v>
      </c>
      <c r="L720" t="s">
        <v>103</v>
      </c>
      <c r="M720" s="2">
        <f>VALUE(MID(L720,1,FIND("@",L720)-6))</f>
        <v>126</v>
      </c>
      <c r="N720">
        <v>5</v>
      </c>
      <c r="O720" t="str">
        <f>IF(datos_limpios[[#This Row],[Seating Capacity ]]&gt;4,"SI","NO")</f>
        <v>SI</v>
      </c>
      <c r="P720">
        <v>43</v>
      </c>
    </row>
    <row r="721" spans="1:16" x14ac:dyDescent="0.3">
      <c r="A721" s="8" t="s">
        <v>23</v>
      </c>
      <c r="B721" s="8" t="s">
        <v>1120</v>
      </c>
      <c r="C721" s="9">
        <v>720</v>
      </c>
      <c r="D721" s="3">
        <v>1175000</v>
      </c>
      <c r="E721" s="1">
        <f>datos_limpios[[#This Row],[Price INR   ]]*0.011</f>
        <v>12925</v>
      </c>
      <c r="F721" s="13">
        <v>2019</v>
      </c>
      <c r="G721" s="2">
        <v>20000</v>
      </c>
      <c r="H721" s="8" t="s">
        <v>12</v>
      </c>
      <c r="I721" s="8" t="s">
        <v>13</v>
      </c>
      <c r="J721" s="8" t="s">
        <v>101</v>
      </c>
      <c r="K721" t="s">
        <v>78</v>
      </c>
      <c r="L721" t="s">
        <v>231</v>
      </c>
      <c r="M721" s="2">
        <f>VALUE(MID(L721,1,FIND("@",L721)-6))</f>
        <v>121</v>
      </c>
      <c r="N721">
        <v>5</v>
      </c>
      <c r="O721" t="str">
        <f>IF(datos_limpios[[#This Row],[Seating Capacity ]]&gt;4,"SI","NO")</f>
        <v>SI</v>
      </c>
      <c r="P721">
        <v>43</v>
      </c>
    </row>
    <row r="722" spans="1:16" x14ac:dyDescent="0.3">
      <c r="A722" s="8" t="s">
        <v>23</v>
      </c>
      <c r="B722" s="8" t="s">
        <v>1001</v>
      </c>
      <c r="C722" s="9">
        <v>721</v>
      </c>
      <c r="D722" s="3">
        <v>1175000</v>
      </c>
      <c r="E722" s="1">
        <f>datos_limpios[[#This Row],[Price INR   ]]*0.011</f>
        <v>12925</v>
      </c>
      <c r="F722" s="13">
        <v>2014</v>
      </c>
      <c r="G722" s="2">
        <v>87938</v>
      </c>
      <c r="H722" s="8" t="s">
        <v>19</v>
      </c>
      <c r="I722" s="8" t="s">
        <v>40</v>
      </c>
      <c r="J722" s="8" t="s">
        <v>20</v>
      </c>
      <c r="K722" t="s">
        <v>1002</v>
      </c>
      <c r="L722" t="s">
        <v>1003</v>
      </c>
      <c r="M722" s="2">
        <f>VALUE(MID(L722,1,FIND("@",L722)-6))</f>
        <v>194</v>
      </c>
      <c r="N722">
        <v>7</v>
      </c>
      <c r="O722" t="str">
        <f>IF(datos_limpios[[#This Row],[Seating Capacity ]]&gt;4,"SI","NO")</f>
        <v>SI</v>
      </c>
      <c r="P722">
        <v>64</v>
      </c>
    </row>
    <row r="723" spans="1:16" x14ac:dyDescent="0.3">
      <c r="A723" s="8" t="s">
        <v>23</v>
      </c>
      <c r="B723" s="8" t="s">
        <v>773</v>
      </c>
      <c r="C723" s="9">
        <v>722</v>
      </c>
      <c r="D723" s="3">
        <v>1175000</v>
      </c>
      <c r="E723" s="1">
        <f>datos_limpios[[#This Row],[Price INR   ]]*0.011</f>
        <v>12925</v>
      </c>
      <c r="F723" s="13">
        <v>2021</v>
      </c>
      <c r="G723" s="2">
        <v>37556</v>
      </c>
      <c r="H723" s="8" t="s">
        <v>19</v>
      </c>
      <c r="I723" s="8" t="s">
        <v>13</v>
      </c>
      <c r="J723" s="8" t="s">
        <v>20</v>
      </c>
      <c r="K723" t="s">
        <v>322</v>
      </c>
      <c r="L723" t="s">
        <v>140</v>
      </c>
      <c r="M723" s="2">
        <f>VALUE(MID(L723,1,FIND("@",L723)-6))</f>
        <v>89</v>
      </c>
      <c r="N723">
        <v>5</v>
      </c>
      <c r="O723" t="str">
        <f>IF(datos_limpios[[#This Row],[Seating Capacity ]]&gt;4,"SI","NO")</f>
        <v>SI</v>
      </c>
      <c r="P723">
        <v>45</v>
      </c>
    </row>
    <row r="724" spans="1:16" x14ac:dyDescent="0.3">
      <c r="A724" s="8" t="s">
        <v>23</v>
      </c>
      <c r="B724" s="8" t="s">
        <v>1093</v>
      </c>
      <c r="C724" s="9">
        <v>723</v>
      </c>
      <c r="D724" s="3">
        <v>1180000</v>
      </c>
      <c r="E724" s="1">
        <f>datos_limpios[[#This Row],[Price INR   ]]*0.011</f>
        <v>12980</v>
      </c>
      <c r="F724" s="13">
        <v>2019</v>
      </c>
      <c r="G724" s="2">
        <v>38000</v>
      </c>
      <c r="H724" s="8" t="s">
        <v>12</v>
      </c>
      <c r="I724" s="8" t="s">
        <v>40</v>
      </c>
      <c r="J724" s="8" t="s">
        <v>20</v>
      </c>
      <c r="K724" t="s">
        <v>78</v>
      </c>
      <c r="L724" t="s">
        <v>231</v>
      </c>
      <c r="M724" s="2">
        <f>VALUE(MID(L724,1,FIND("@",L724)-6))</f>
        <v>121</v>
      </c>
      <c r="N724">
        <v>5</v>
      </c>
      <c r="O724" t="str">
        <f>IF(datos_limpios[[#This Row],[Seating Capacity ]]&gt;4,"SI","NO")</f>
        <v>SI</v>
      </c>
      <c r="P724">
        <v>43</v>
      </c>
    </row>
    <row r="725" spans="1:16" x14ac:dyDescent="0.3">
      <c r="A725" s="8" t="s">
        <v>23</v>
      </c>
      <c r="B725" s="8" t="s">
        <v>99</v>
      </c>
      <c r="C725" s="9">
        <v>724</v>
      </c>
      <c r="D725" s="3">
        <v>1185000</v>
      </c>
      <c r="E725" s="1">
        <f>datos_limpios[[#This Row],[Price INR   ]]*0.011</f>
        <v>13035</v>
      </c>
      <c r="F725" s="13">
        <v>2021</v>
      </c>
      <c r="G725" s="2">
        <v>10700</v>
      </c>
      <c r="H725" s="8" t="s">
        <v>12</v>
      </c>
      <c r="I725" s="8" t="s">
        <v>13</v>
      </c>
      <c r="J725" s="8" t="s">
        <v>20</v>
      </c>
      <c r="K725" t="s">
        <v>69</v>
      </c>
      <c r="L725" t="s">
        <v>87</v>
      </c>
      <c r="M725" s="2">
        <f>VALUE(MID(L725,1,FIND("@",L725)-6))</f>
        <v>118</v>
      </c>
      <c r="N725">
        <v>5</v>
      </c>
      <c r="O725" t="str">
        <f>IF(datos_limpios[[#This Row],[Seating Capacity ]]&gt;4,"SI","NO")</f>
        <v>SI</v>
      </c>
      <c r="P725">
        <v>45</v>
      </c>
    </row>
    <row r="726" spans="1:16" x14ac:dyDescent="0.3">
      <c r="A726" s="8" t="s">
        <v>23</v>
      </c>
      <c r="B726" s="8" t="s">
        <v>142</v>
      </c>
      <c r="C726" s="9">
        <v>725</v>
      </c>
      <c r="D726" s="3">
        <v>1190000</v>
      </c>
      <c r="E726" s="1">
        <f>datos_limpios[[#This Row],[Price INR   ]]*0.011</f>
        <v>13090</v>
      </c>
      <c r="F726" s="13">
        <v>2018</v>
      </c>
      <c r="G726" s="2">
        <v>76000</v>
      </c>
      <c r="H726" s="8" t="s">
        <v>19</v>
      </c>
      <c r="I726" s="8" t="s">
        <v>40</v>
      </c>
      <c r="J726" s="8" t="s">
        <v>20</v>
      </c>
      <c r="K726" t="s">
        <v>102</v>
      </c>
      <c r="L726" t="s">
        <v>103</v>
      </c>
      <c r="M726" s="2">
        <f>VALUE(MID(L726,1,FIND("@",L726)-6))</f>
        <v>126</v>
      </c>
      <c r="N726">
        <v>5</v>
      </c>
      <c r="O726" t="str">
        <f>IF(datos_limpios[[#This Row],[Seating Capacity ]]&gt;4,"SI","NO")</f>
        <v>SI</v>
      </c>
      <c r="P726">
        <v>60</v>
      </c>
    </row>
    <row r="727" spans="1:16" x14ac:dyDescent="0.3">
      <c r="A727" s="8" t="s">
        <v>23</v>
      </c>
      <c r="B727" s="8" t="s">
        <v>775</v>
      </c>
      <c r="C727" s="9">
        <v>726</v>
      </c>
      <c r="D727" s="3">
        <v>1200000</v>
      </c>
      <c r="E727" s="1">
        <f>datos_limpios[[#This Row],[Price INR   ]]*0.011</f>
        <v>13200</v>
      </c>
      <c r="F727" s="13">
        <v>2019</v>
      </c>
      <c r="G727" s="2">
        <v>27657</v>
      </c>
      <c r="H727" s="8" t="s">
        <v>19</v>
      </c>
      <c r="I727" s="8" t="s">
        <v>40</v>
      </c>
      <c r="J727" s="8" t="s">
        <v>14</v>
      </c>
      <c r="K727" t="s">
        <v>102</v>
      </c>
      <c r="L727" t="s">
        <v>103</v>
      </c>
      <c r="M727" s="2">
        <f>VALUE(MID(L727,1,FIND("@",L727)-6))</f>
        <v>126</v>
      </c>
      <c r="N727">
        <v>5</v>
      </c>
      <c r="O727" t="str">
        <f>IF(datos_limpios[[#This Row],[Seating Capacity ]]&gt;4,"SI","NO")</f>
        <v>SI</v>
      </c>
      <c r="P727">
        <v>55</v>
      </c>
    </row>
    <row r="728" spans="1:16" x14ac:dyDescent="0.3">
      <c r="A728" s="8" t="s">
        <v>23</v>
      </c>
      <c r="B728" s="8" t="s">
        <v>807</v>
      </c>
      <c r="C728" s="9">
        <v>727</v>
      </c>
      <c r="D728" s="3">
        <v>1225000</v>
      </c>
      <c r="E728" s="1">
        <f>datos_limpios[[#This Row],[Price INR   ]]*0.011</f>
        <v>13475</v>
      </c>
      <c r="F728" s="13">
        <v>2019</v>
      </c>
      <c r="G728" s="2">
        <v>47000</v>
      </c>
      <c r="H728" s="8" t="s">
        <v>19</v>
      </c>
      <c r="I728" s="8" t="s">
        <v>13</v>
      </c>
      <c r="J728" s="8" t="s">
        <v>20</v>
      </c>
      <c r="K728" t="s">
        <v>102</v>
      </c>
      <c r="L728" t="s">
        <v>103</v>
      </c>
      <c r="M728" s="2">
        <f>VALUE(MID(L728,1,FIND("@",L728)-6))</f>
        <v>126</v>
      </c>
      <c r="N728">
        <v>5</v>
      </c>
      <c r="O728" t="str">
        <f>IF(datos_limpios[[#This Row],[Seating Capacity ]]&gt;4,"SI","NO")</f>
        <v>SI</v>
      </c>
      <c r="P728">
        <v>55</v>
      </c>
    </row>
    <row r="729" spans="1:16" x14ac:dyDescent="0.3">
      <c r="A729" s="8" t="s">
        <v>23</v>
      </c>
      <c r="B729" s="8" t="s">
        <v>775</v>
      </c>
      <c r="C729" s="9">
        <v>728</v>
      </c>
      <c r="D729" s="3">
        <v>1240000</v>
      </c>
      <c r="E729" s="1">
        <f>datos_limpios[[#This Row],[Price INR   ]]*0.011</f>
        <v>13640</v>
      </c>
      <c r="F729" s="13">
        <v>2018</v>
      </c>
      <c r="G729" s="2">
        <v>440000</v>
      </c>
      <c r="H729" s="8" t="s">
        <v>19</v>
      </c>
      <c r="I729" s="8" t="s">
        <v>40</v>
      </c>
      <c r="J729" s="8" t="s">
        <v>14</v>
      </c>
      <c r="K729" t="s">
        <v>102</v>
      </c>
      <c r="L729" t="s">
        <v>103</v>
      </c>
      <c r="M729" s="2">
        <f>VALUE(MID(L729,1,FIND("@",L729)-6))</f>
        <v>126</v>
      </c>
      <c r="N729">
        <v>5</v>
      </c>
      <c r="O729" t="str">
        <f>IF(datos_limpios[[#This Row],[Seating Capacity ]]&gt;4,"SI","NO")</f>
        <v>SI</v>
      </c>
      <c r="P729">
        <v>55</v>
      </c>
    </row>
    <row r="730" spans="1:16" x14ac:dyDescent="0.3">
      <c r="A730" s="8" t="s">
        <v>23</v>
      </c>
      <c r="B730" s="8" t="s">
        <v>258</v>
      </c>
      <c r="C730" s="9">
        <v>729</v>
      </c>
      <c r="D730" s="3">
        <v>1245000</v>
      </c>
      <c r="E730" s="1">
        <f>datos_limpios[[#This Row],[Price INR   ]]*0.011</f>
        <v>13695</v>
      </c>
      <c r="F730" s="13">
        <v>2021</v>
      </c>
      <c r="G730" s="2">
        <v>10530</v>
      </c>
      <c r="H730" s="8" t="s">
        <v>12</v>
      </c>
      <c r="I730" s="8" t="s">
        <v>40</v>
      </c>
      <c r="J730" s="8" t="s">
        <v>30</v>
      </c>
      <c r="K730" t="s">
        <v>69</v>
      </c>
      <c r="L730" t="s">
        <v>87</v>
      </c>
      <c r="M730" s="2">
        <f>VALUE(MID(L730,1,FIND("@",L730)-6))</f>
        <v>118</v>
      </c>
      <c r="N730">
        <v>5</v>
      </c>
      <c r="O730" t="str">
        <f>IF(datos_limpios[[#This Row],[Seating Capacity ]]&gt;4,"SI","NO")</f>
        <v>SI</v>
      </c>
      <c r="P730">
        <v>37</v>
      </c>
    </row>
    <row r="731" spans="1:16" x14ac:dyDescent="0.3">
      <c r="A731" s="8" t="s">
        <v>23</v>
      </c>
      <c r="B731" s="8" t="s">
        <v>448</v>
      </c>
      <c r="C731" s="9">
        <v>730</v>
      </c>
      <c r="D731" s="3">
        <v>1260000</v>
      </c>
      <c r="E731" s="1">
        <f>datos_limpios[[#This Row],[Price INR   ]]*0.011</f>
        <v>13860</v>
      </c>
      <c r="F731" s="13">
        <v>2018</v>
      </c>
      <c r="G731" s="2">
        <v>33500</v>
      </c>
      <c r="H731" s="8" t="s">
        <v>12</v>
      </c>
      <c r="I731" s="8" t="s">
        <v>40</v>
      </c>
      <c r="J731" s="8" t="s">
        <v>20</v>
      </c>
      <c r="K731" t="s">
        <v>78</v>
      </c>
      <c r="L731" t="s">
        <v>79</v>
      </c>
      <c r="M731" s="2">
        <f>VALUE(MID(L731,1,FIND("@",L731)-6))</f>
        <v>122</v>
      </c>
      <c r="N731">
        <v>5</v>
      </c>
      <c r="O731" t="str">
        <f>IF(datos_limpios[[#This Row],[Seating Capacity ]]&gt;4,"SI","NO")</f>
        <v>SI</v>
      </c>
      <c r="P731">
        <v>60</v>
      </c>
    </row>
    <row r="732" spans="1:16" x14ac:dyDescent="0.3">
      <c r="A732" s="8" t="s">
        <v>23</v>
      </c>
      <c r="B732" s="8" t="s">
        <v>281</v>
      </c>
      <c r="C732" s="9">
        <v>731</v>
      </c>
      <c r="D732" s="3">
        <v>1260000</v>
      </c>
      <c r="E732" s="1">
        <f>datos_limpios[[#This Row],[Price INR   ]]*0.011</f>
        <v>13860</v>
      </c>
      <c r="F732" s="13">
        <v>2018</v>
      </c>
      <c r="G732" s="2">
        <v>36000</v>
      </c>
      <c r="H732" s="8" t="s">
        <v>12</v>
      </c>
      <c r="I732" s="8" t="s">
        <v>40</v>
      </c>
      <c r="J732" s="8" t="s">
        <v>14</v>
      </c>
      <c r="K732" t="s">
        <v>78</v>
      </c>
      <c r="L732" t="s">
        <v>79</v>
      </c>
      <c r="M732" s="2">
        <f>VALUE(MID(L732,1,FIND("@",L732)-6))</f>
        <v>122</v>
      </c>
      <c r="N732">
        <v>5</v>
      </c>
      <c r="O732" t="str">
        <f>IF(datos_limpios[[#This Row],[Seating Capacity ]]&gt;4,"SI","NO")</f>
        <v>SI</v>
      </c>
      <c r="P732">
        <v>55</v>
      </c>
    </row>
    <row r="733" spans="1:16" x14ac:dyDescent="0.3">
      <c r="A733" s="8" t="s">
        <v>23</v>
      </c>
      <c r="B733" s="8" t="s">
        <v>870</v>
      </c>
      <c r="C733" s="9">
        <v>732</v>
      </c>
      <c r="D733" s="3">
        <v>1275000</v>
      </c>
      <c r="E733" s="1">
        <f>datos_limpios[[#This Row],[Price INR   ]]*0.011</f>
        <v>14025</v>
      </c>
      <c r="F733" s="13">
        <v>2019</v>
      </c>
      <c r="G733" s="2">
        <v>44000</v>
      </c>
      <c r="H733" s="8" t="s">
        <v>12</v>
      </c>
      <c r="I733" s="8" t="s">
        <v>13</v>
      </c>
      <c r="J733" s="8" t="s">
        <v>14</v>
      </c>
      <c r="K733" t="s">
        <v>78</v>
      </c>
      <c r="L733" t="s">
        <v>79</v>
      </c>
      <c r="M733" s="2">
        <f>VALUE(MID(L733,1,FIND("@",L733)-6))</f>
        <v>122</v>
      </c>
      <c r="N733">
        <v>5</v>
      </c>
      <c r="O733" t="str">
        <f>IF(datos_limpios[[#This Row],[Seating Capacity ]]&gt;4,"SI","NO")</f>
        <v>SI</v>
      </c>
      <c r="P733">
        <v>55</v>
      </c>
    </row>
    <row r="734" spans="1:16" x14ac:dyDescent="0.3">
      <c r="A734" s="8" t="s">
        <v>23</v>
      </c>
      <c r="B734" s="8" t="s">
        <v>807</v>
      </c>
      <c r="C734" s="9">
        <v>733</v>
      </c>
      <c r="D734" s="3">
        <v>1275000</v>
      </c>
      <c r="E734" s="1">
        <f>datos_limpios[[#This Row],[Price INR   ]]*0.011</f>
        <v>14025</v>
      </c>
      <c r="F734" s="13">
        <v>2019</v>
      </c>
      <c r="G734" s="2">
        <v>58900</v>
      </c>
      <c r="H734" s="8" t="s">
        <v>19</v>
      </c>
      <c r="I734" s="8" t="s">
        <v>13</v>
      </c>
      <c r="J734" s="8" t="s">
        <v>20</v>
      </c>
      <c r="K734" t="s">
        <v>102</v>
      </c>
      <c r="L734" t="s">
        <v>103</v>
      </c>
      <c r="M734" s="2">
        <f>VALUE(MID(L734,1,FIND("@",L734)-6))</f>
        <v>126</v>
      </c>
      <c r="N734">
        <v>5</v>
      </c>
      <c r="O734" t="str">
        <f>IF(datos_limpios[[#This Row],[Seating Capacity ]]&gt;4,"SI","NO")</f>
        <v>SI</v>
      </c>
      <c r="P734">
        <v>55</v>
      </c>
    </row>
    <row r="735" spans="1:16" x14ac:dyDescent="0.3">
      <c r="A735" s="8" t="s">
        <v>23</v>
      </c>
      <c r="B735" s="8" t="s">
        <v>281</v>
      </c>
      <c r="C735" s="9">
        <v>734</v>
      </c>
      <c r="D735" s="3">
        <v>1295000</v>
      </c>
      <c r="E735" s="1">
        <f>datos_limpios[[#This Row],[Price INR   ]]*0.011</f>
        <v>14245</v>
      </c>
      <c r="F735" s="13">
        <v>2018</v>
      </c>
      <c r="G735" s="2">
        <v>30000</v>
      </c>
      <c r="H735" s="8" t="s">
        <v>12</v>
      </c>
      <c r="I735" s="8" t="s">
        <v>40</v>
      </c>
      <c r="J735" s="8" t="s">
        <v>101</v>
      </c>
      <c r="K735" t="s">
        <v>78</v>
      </c>
      <c r="L735" t="s">
        <v>79</v>
      </c>
      <c r="M735" s="2">
        <f>VALUE(MID(L735,1,FIND("@",L735)-6))</f>
        <v>122</v>
      </c>
      <c r="N735">
        <v>5</v>
      </c>
      <c r="O735" t="str">
        <f>IF(datos_limpios[[#This Row],[Seating Capacity ]]&gt;4,"SI","NO")</f>
        <v>SI</v>
      </c>
      <c r="P735">
        <v>55</v>
      </c>
    </row>
    <row r="736" spans="1:16" x14ac:dyDescent="0.3">
      <c r="A736" s="8" t="s">
        <v>23</v>
      </c>
      <c r="B736" s="8" t="s">
        <v>448</v>
      </c>
      <c r="C736" s="9">
        <v>735</v>
      </c>
      <c r="D736" s="3">
        <v>1299000</v>
      </c>
      <c r="E736" s="1">
        <f>datos_limpios[[#This Row],[Price INR   ]]*0.011</f>
        <v>14289</v>
      </c>
      <c r="F736" s="13">
        <v>2018</v>
      </c>
      <c r="G736" s="2">
        <v>50000</v>
      </c>
      <c r="H736" s="8" t="s">
        <v>12</v>
      </c>
      <c r="I736" s="8" t="s">
        <v>40</v>
      </c>
      <c r="J736" s="8" t="s">
        <v>20</v>
      </c>
      <c r="K736" t="s">
        <v>78</v>
      </c>
      <c r="L736" t="s">
        <v>79</v>
      </c>
      <c r="M736" s="2">
        <f>VALUE(MID(L736,1,FIND("@",L736)-6))</f>
        <v>122</v>
      </c>
      <c r="N736">
        <v>5</v>
      </c>
      <c r="O736" t="str">
        <f>IF(datos_limpios[[#This Row],[Seating Capacity ]]&gt;4,"SI","NO")</f>
        <v>SI</v>
      </c>
      <c r="P736">
        <v>60</v>
      </c>
    </row>
    <row r="737" spans="1:16" x14ac:dyDescent="0.3">
      <c r="A737" s="8" t="s">
        <v>23</v>
      </c>
      <c r="B737" s="8" t="s">
        <v>807</v>
      </c>
      <c r="C737" s="9">
        <v>736</v>
      </c>
      <c r="D737" s="3">
        <v>1299000</v>
      </c>
      <c r="E737" s="1">
        <f>datos_limpios[[#This Row],[Price INR   ]]*0.011</f>
        <v>14289</v>
      </c>
      <c r="F737" s="13">
        <v>2019</v>
      </c>
      <c r="G737" s="2">
        <v>39000</v>
      </c>
      <c r="H737" s="8" t="s">
        <v>19</v>
      </c>
      <c r="I737" s="8" t="s">
        <v>13</v>
      </c>
      <c r="J737" s="8" t="s">
        <v>20</v>
      </c>
      <c r="K737" t="s">
        <v>102</v>
      </c>
      <c r="L737" t="s">
        <v>103</v>
      </c>
      <c r="M737" s="2">
        <f>VALUE(MID(L737,1,FIND("@",L737)-6))</f>
        <v>126</v>
      </c>
      <c r="N737">
        <v>5</v>
      </c>
      <c r="O737" t="str">
        <f>IF(datos_limpios[[#This Row],[Seating Capacity ]]&gt;4,"SI","NO")</f>
        <v>SI</v>
      </c>
      <c r="P737">
        <v>55</v>
      </c>
    </row>
    <row r="738" spans="1:16" x14ac:dyDescent="0.3">
      <c r="A738" s="8" t="s">
        <v>23</v>
      </c>
      <c r="B738" s="8" t="s">
        <v>1093</v>
      </c>
      <c r="C738" s="9">
        <v>737</v>
      </c>
      <c r="D738" s="3">
        <v>1325000</v>
      </c>
      <c r="E738" s="1">
        <f>datos_limpios[[#This Row],[Price INR   ]]*0.011</f>
        <v>14575</v>
      </c>
      <c r="F738" s="13">
        <v>2021</v>
      </c>
      <c r="G738" s="2">
        <v>9900</v>
      </c>
      <c r="H738" s="8" t="s">
        <v>12</v>
      </c>
      <c r="I738" s="8" t="s">
        <v>40</v>
      </c>
      <c r="J738" s="8" t="s">
        <v>57</v>
      </c>
      <c r="K738" t="s">
        <v>78</v>
      </c>
      <c r="L738" t="s">
        <v>231</v>
      </c>
      <c r="M738" s="2">
        <f>VALUE(MID(L738,1,FIND("@",L738)-6))</f>
        <v>121</v>
      </c>
      <c r="N738">
        <v>5</v>
      </c>
      <c r="O738" t="str">
        <f>IF(datos_limpios[[#This Row],[Seating Capacity ]]&gt;4,"SI","NO")</f>
        <v>SI</v>
      </c>
      <c r="P738">
        <v>43</v>
      </c>
    </row>
    <row r="739" spans="1:16" x14ac:dyDescent="0.3">
      <c r="A739" s="8" t="s">
        <v>23</v>
      </c>
      <c r="B739" s="8" t="s">
        <v>1164</v>
      </c>
      <c r="C739" s="9">
        <v>738</v>
      </c>
      <c r="D739" s="3">
        <v>1375000</v>
      </c>
      <c r="E739" s="1">
        <f>datos_limpios[[#This Row],[Price INR   ]]*0.011</f>
        <v>15125</v>
      </c>
      <c r="F739" s="13">
        <v>2017</v>
      </c>
      <c r="G739" s="2">
        <v>70000</v>
      </c>
      <c r="H739" s="8" t="s">
        <v>19</v>
      </c>
      <c r="I739" s="8" t="s">
        <v>40</v>
      </c>
      <c r="J739" s="8" t="s">
        <v>20</v>
      </c>
      <c r="K739" t="s">
        <v>102</v>
      </c>
      <c r="L739" t="s">
        <v>103</v>
      </c>
      <c r="M739" s="2">
        <f>VALUE(MID(L739,1,FIND("@",L739)-6))</f>
        <v>126</v>
      </c>
      <c r="N739">
        <v>5</v>
      </c>
      <c r="O739" t="str">
        <f>IF(datos_limpios[[#This Row],[Seating Capacity ]]&gt;4,"SI","NO")</f>
        <v>SI</v>
      </c>
      <c r="P739">
        <v>60</v>
      </c>
    </row>
    <row r="740" spans="1:16" x14ac:dyDescent="0.3">
      <c r="A740" s="8" t="s">
        <v>23</v>
      </c>
      <c r="B740" s="8" t="s">
        <v>281</v>
      </c>
      <c r="C740" s="9">
        <v>739</v>
      </c>
      <c r="D740" s="3">
        <v>1390000</v>
      </c>
      <c r="E740" s="1">
        <f>datos_limpios[[#This Row],[Price INR   ]]*0.011</f>
        <v>15290</v>
      </c>
      <c r="F740" s="13">
        <v>2019</v>
      </c>
      <c r="G740" s="2">
        <v>29096</v>
      </c>
      <c r="H740" s="8" t="s">
        <v>12</v>
      </c>
      <c r="I740" s="8" t="s">
        <v>40</v>
      </c>
      <c r="J740" s="8" t="s">
        <v>20</v>
      </c>
      <c r="K740" t="s">
        <v>78</v>
      </c>
      <c r="L740" t="s">
        <v>79</v>
      </c>
      <c r="M740" s="2">
        <f>VALUE(MID(L740,1,FIND("@",L740)-6))</f>
        <v>122</v>
      </c>
      <c r="N740">
        <v>5</v>
      </c>
      <c r="O740" t="str">
        <f>IF(datos_limpios[[#This Row],[Seating Capacity ]]&gt;4,"SI","NO")</f>
        <v>SI</v>
      </c>
      <c r="P740">
        <v>55</v>
      </c>
    </row>
    <row r="741" spans="1:16" x14ac:dyDescent="0.3">
      <c r="A741" s="8" t="s">
        <v>23</v>
      </c>
      <c r="B741" s="8" t="s">
        <v>448</v>
      </c>
      <c r="C741" s="9">
        <v>740</v>
      </c>
      <c r="D741" s="3">
        <v>1400000</v>
      </c>
      <c r="E741" s="1">
        <f>datos_limpios[[#This Row],[Price INR   ]]*0.011</f>
        <v>15400</v>
      </c>
      <c r="F741" s="13">
        <v>2019</v>
      </c>
      <c r="G741" s="2">
        <v>13000</v>
      </c>
      <c r="H741" s="8" t="s">
        <v>12</v>
      </c>
      <c r="I741" s="8" t="s">
        <v>40</v>
      </c>
      <c r="J741" s="8" t="s">
        <v>20</v>
      </c>
      <c r="K741" t="s">
        <v>78</v>
      </c>
      <c r="L741" t="s">
        <v>79</v>
      </c>
      <c r="M741" s="2">
        <f>VALUE(MID(L741,1,FIND("@",L741)-6))</f>
        <v>122</v>
      </c>
      <c r="N741">
        <v>5</v>
      </c>
      <c r="O741" t="str">
        <f>IF(datos_limpios[[#This Row],[Seating Capacity ]]&gt;4,"SI","NO")</f>
        <v>SI</v>
      </c>
      <c r="P741">
        <v>60</v>
      </c>
    </row>
    <row r="742" spans="1:16" x14ac:dyDescent="0.3">
      <c r="A742" s="8" t="s">
        <v>23</v>
      </c>
      <c r="B742" s="8" t="s">
        <v>775</v>
      </c>
      <c r="C742" s="9">
        <v>741</v>
      </c>
      <c r="D742" s="3">
        <v>1425000</v>
      </c>
      <c r="E742" s="1">
        <f>datos_limpios[[#This Row],[Price INR   ]]*0.011</f>
        <v>15675</v>
      </c>
      <c r="F742" s="13">
        <v>2018</v>
      </c>
      <c r="G742" s="2">
        <v>72870</v>
      </c>
      <c r="H742" s="8" t="s">
        <v>19</v>
      </c>
      <c r="I742" s="8" t="s">
        <v>40</v>
      </c>
      <c r="J742" s="8" t="s">
        <v>20</v>
      </c>
      <c r="K742" t="s">
        <v>102</v>
      </c>
      <c r="L742" t="s">
        <v>103</v>
      </c>
      <c r="M742" s="2">
        <f>VALUE(MID(L742,1,FIND("@",L742)-6))</f>
        <v>126</v>
      </c>
      <c r="N742">
        <v>5</v>
      </c>
      <c r="O742" t="str">
        <f>IF(datos_limpios[[#This Row],[Seating Capacity ]]&gt;4,"SI","NO")</f>
        <v>SI</v>
      </c>
      <c r="P742">
        <v>55</v>
      </c>
    </row>
    <row r="743" spans="1:16" x14ac:dyDescent="0.3">
      <c r="A743" s="8" t="s">
        <v>23</v>
      </c>
      <c r="B743" s="8" t="s">
        <v>1321</v>
      </c>
      <c r="C743" s="9">
        <v>742</v>
      </c>
      <c r="D743" s="3">
        <v>1465000</v>
      </c>
      <c r="E743" s="1">
        <f>datos_limpios[[#This Row],[Price INR   ]]*0.011</f>
        <v>16114.999999999998</v>
      </c>
      <c r="F743" s="13">
        <v>2019</v>
      </c>
      <c r="G743" s="2">
        <v>22000</v>
      </c>
      <c r="H743" s="8" t="s">
        <v>12</v>
      </c>
      <c r="I743" s="8" t="s">
        <v>40</v>
      </c>
      <c r="J743" s="8" t="s">
        <v>77</v>
      </c>
      <c r="K743" t="s">
        <v>301</v>
      </c>
      <c r="L743" t="s">
        <v>1048</v>
      </c>
      <c r="M743" s="2">
        <f>VALUE(MID(L743,1,FIND("@",L743)-6))</f>
        <v>150</v>
      </c>
      <c r="N743">
        <v>5</v>
      </c>
      <c r="O743" t="str">
        <f>IF(datos_limpios[[#This Row],[Seating Capacity ]]&gt;4,"SI","NO")</f>
        <v>SI</v>
      </c>
      <c r="P743">
        <v>50</v>
      </c>
    </row>
    <row r="744" spans="1:16" x14ac:dyDescent="0.3">
      <c r="A744" s="8" t="s">
        <v>23</v>
      </c>
      <c r="B744" s="8" t="s">
        <v>281</v>
      </c>
      <c r="C744" s="9">
        <v>743</v>
      </c>
      <c r="D744" s="3">
        <v>1475000</v>
      </c>
      <c r="E744" s="1">
        <f>datos_limpios[[#This Row],[Price INR   ]]*0.011</f>
        <v>16224.999999999998</v>
      </c>
      <c r="F744" s="13">
        <v>2019</v>
      </c>
      <c r="G744" s="2">
        <v>9576</v>
      </c>
      <c r="H744" s="8" t="s">
        <v>12</v>
      </c>
      <c r="I744" s="8" t="s">
        <v>40</v>
      </c>
      <c r="J744" s="8" t="s">
        <v>20</v>
      </c>
      <c r="K744" t="s">
        <v>78</v>
      </c>
      <c r="L744" t="s">
        <v>79</v>
      </c>
      <c r="M744" s="2">
        <f>VALUE(MID(L744,1,FIND("@",L744)-6))</f>
        <v>122</v>
      </c>
      <c r="N744">
        <v>5</v>
      </c>
      <c r="O744" t="str">
        <f>IF(datos_limpios[[#This Row],[Seating Capacity ]]&gt;4,"SI","NO")</f>
        <v>SI</v>
      </c>
      <c r="P744">
        <v>55</v>
      </c>
    </row>
    <row r="745" spans="1:16" x14ac:dyDescent="0.3">
      <c r="A745" s="8" t="s">
        <v>23</v>
      </c>
      <c r="B745" s="8" t="s">
        <v>477</v>
      </c>
      <c r="C745" s="9">
        <v>744</v>
      </c>
      <c r="D745" s="3">
        <v>1595000</v>
      </c>
      <c r="E745" s="1">
        <f>datos_limpios[[#This Row],[Price INR   ]]*0.011</f>
        <v>17545</v>
      </c>
      <c r="F745" s="13">
        <v>2017</v>
      </c>
      <c r="G745" s="2">
        <v>86000</v>
      </c>
      <c r="H745" s="8" t="s">
        <v>12</v>
      </c>
      <c r="I745" s="8" t="s">
        <v>40</v>
      </c>
      <c r="J745" s="8" t="s">
        <v>57</v>
      </c>
      <c r="K745" t="s">
        <v>301</v>
      </c>
      <c r="L745" t="s">
        <v>478</v>
      </c>
      <c r="M745" s="2">
        <f>VALUE(MID(L745,1,FIND("@",L745)-6))</f>
        <v>153</v>
      </c>
      <c r="N745">
        <v>5</v>
      </c>
      <c r="O745" t="str">
        <f>IF(datos_limpios[[#This Row],[Seating Capacity ]]&gt;4,"SI","NO")</f>
        <v>SI</v>
      </c>
      <c r="P745">
        <v>62</v>
      </c>
    </row>
    <row r="746" spans="1:16" x14ac:dyDescent="0.3">
      <c r="A746" s="8" t="s">
        <v>23</v>
      </c>
      <c r="B746" s="8" t="s">
        <v>873</v>
      </c>
      <c r="C746" s="9">
        <v>745</v>
      </c>
      <c r="D746" s="3">
        <v>1598000</v>
      </c>
      <c r="E746" s="1">
        <f>datos_limpios[[#This Row],[Price INR   ]]*0.011</f>
        <v>17578</v>
      </c>
      <c r="F746" s="13">
        <v>2020</v>
      </c>
      <c r="G746" s="2">
        <v>19700</v>
      </c>
      <c r="H746" s="8" t="s">
        <v>19</v>
      </c>
      <c r="I746" s="8" t="s">
        <v>13</v>
      </c>
      <c r="J746" s="8" t="s">
        <v>25</v>
      </c>
      <c r="K746" t="s">
        <v>184</v>
      </c>
      <c r="L746" t="s">
        <v>292</v>
      </c>
      <c r="M746" s="2">
        <f>VALUE(MID(L746,1,FIND("@",L746)-6))</f>
        <v>113</v>
      </c>
      <c r="N746">
        <v>5</v>
      </c>
      <c r="O746" t="str">
        <f>IF(datos_limpios[[#This Row],[Seating Capacity ]]&gt;4,"SI","NO")</f>
        <v>SI</v>
      </c>
      <c r="P746">
        <v>50</v>
      </c>
    </row>
    <row r="747" spans="1:16" x14ac:dyDescent="0.3">
      <c r="A747" s="8" t="s">
        <v>23</v>
      </c>
      <c r="B747" s="8" t="s">
        <v>680</v>
      </c>
      <c r="C747" s="9">
        <v>746</v>
      </c>
      <c r="D747" s="3">
        <v>1600000</v>
      </c>
      <c r="E747" s="1">
        <f>datos_limpios[[#This Row],[Price INR   ]]*0.011</f>
        <v>17600</v>
      </c>
      <c r="F747" s="13">
        <v>2016</v>
      </c>
      <c r="G747" s="2">
        <v>128000</v>
      </c>
      <c r="H747" s="8" t="s">
        <v>19</v>
      </c>
      <c r="I747" s="8" t="s">
        <v>40</v>
      </c>
      <c r="J747" s="8" t="s">
        <v>20</v>
      </c>
      <c r="K747" t="s">
        <v>41</v>
      </c>
      <c r="L747" t="s">
        <v>681</v>
      </c>
      <c r="M747" s="2">
        <f>VALUE(MID(L747,1,FIND("@",L747)-6))</f>
        <v>182</v>
      </c>
      <c r="N747">
        <v>5</v>
      </c>
      <c r="O747" t="str">
        <f>IF(datos_limpios[[#This Row],[Seating Capacity ]]&gt;4,"SI","NO")</f>
        <v>SI</v>
      </c>
      <c r="P747">
        <v>62</v>
      </c>
    </row>
    <row r="748" spans="1:16" x14ac:dyDescent="0.3">
      <c r="A748" s="8" t="s">
        <v>23</v>
      </c>
      <c r="B748" s="8" t="s">
        <v>1123</v>
      </c>
      <c r="C748" s="9">
        <v>747</v>
      </c>
      <c r="D748" s="3">
        <v>1625000</v>
      </c>
      <c r="E748" s="1">
        <f>datos_limpios[[#This Row],[Price INR   ]]*0.011</f>
        <v>17875</v>
      </c>
      <c r="F748" s="13">
        <v>2022</v>
      </c>
      <c r="G748" s="2">
        <v>27800</v>
      </c>
      <c r="H748" s="8" t="s">
        <v>19</v>
      </c>
      <c r="I748" s="8" t="s">
        <v>13</v>
      </c>
      <c r="J748" s="8" t="s">
        <v>20</v>
      </c>
      <c r="K748" t="s">
        <v>184</v>
      </c>
      <c r="L748" t="s">
        <v>292</v>
      </c>
      <c r="M748" s="2">
        <f>VALUE(MID(L748,1,FIND("@",L748)-6))</f>
        <v>113</v>
      </c>
      <c r="N748">
        <v>5</v>
      </c>
      <c r="O748" t="str">
        <f>IF(datos_limpios[[#This Row],[Seating Capacity ]]&gt;4,"SI","NO")</f>
        <v>SI</v>
      </c>
      <c r="P748">
        <v>50</v>
      </c>
    </row>
    <row r="749" spans="1:16" x14ac:dyDescent="0.3">
      <c r="A749" s="8" t="s">
        <v>23</v>
      </c>
      <c r="B749" s="8" t="s">
        <v>873</v>
      </c>
      <c r="C749" s="9">
        <v>748</v>
      </c>
      <c r="D749" s="3">
        <v>1650000</v>
      </c>
      <c r="E749" s="1">
        <f>datos_limpios[[#This Row],[Price INR   ]]*0.011</f>
        <v>18150</v>
      </c>
      <c r="F749" s="13">
        <v>2020</v>
      </c>
      <c r="G749" s="2">
        <v>7000</v>
      </c>
      <c r="H749" s="8" t="s">
        <v>19</v>
      </c>
      <c r="I749" s="8" t="s">
        <v>13</v>
      </c>
      <c r="J749" s="8" t="s">
        <v>20</v>
      </c>
      <c r="K749" t="s">
        <v>184</v>
      </c>
      <c r="L749" t="s">
        <v>292</v>
      </c>
      <c r="M749" s="2">
        <f>VALUE(MID(L749,1,FIND("@",L749)-6))</f>
        <v>113</v>
      </c>
      <c r="N749">
        <v>5</v>
      </c>
      <c r="O749" t="str">
        <f>IF(datos_limpios[[#This Row],[Seating Capacity ]]&gt;4,"SI","NO")</f>
        <v>SI</v>
      </c>
      <c r="P749">
        <v>50</v>
      </c>
    </row>
    <row r="750" spans="1:16" x14ac:dyDescent="0.3">
      <c r="A750" s="8" t="s">
        <v>23</v>
      </c>
      <c r="B750" s="8" t="s">
        <v>873</v>
      </c>
      <c r="C750" s="9">
        <v>749</v>
      </c>
      <c r="D750" s="3">
        <v>1700000</v>
      </c>
      <c r="E750" s="1">
        <f>datos_limpios[[#This Row],[Price INR   ]]*0.011</f>
        <v>18700</v>
      </c>
      <c r="F750" s="13">
        <v>2022</v>
      </c>
      <c r="G750" s="2">
        <v>9000</v>
      </c>
      <c r="H750" s="8" t="s">
        <v>19</v>
      </c>
      <c r="I750" s="8" t="s">
        <v>13</v>
      </c>
      <c r="J750" s="8" t="s">
        <v>101</v>
      </c>
      <c r="K750" t="s">
        <v>184</v>
      </c>
      <c r="L750" t="s">
        <v>292</v>
      </c>
      <c r="M750" s="2">
        <f>VALUE(MID(L750,1,FIND("@",L750)-6))</f>
        <v>113</v>
      </c>
      <c r="N750">
        <v>5</v>
      </c>
      <c r="O750" t="str">
        <f>IF(datos_limpios[[#This Row],[Seating Capacity ]]&gt;4,"SI","NO")</f>
        <v>SI</v>
      </c>
      <c r="P750">
        <v>50</v>
      </c>
    </row>
    <row r="751" spans="1:16" x14ac:dyDescent="0.3">
      <c r="A751" s="8" t="s">
        <v>23</v>
      </c>
      <c r="B751" s="8" t="s">
        <v>1123</v>
      </c>
      <c r="C751" s="9">
        <v>750</v>
      </c>
      <c r="D751" s="3">
        <v>1725000</v>
      </c>
      <c r="E751" s="1">
        <f>datos_limpios[[#This Row],[Price INR   ]]*0.011</f>
        <v>18975</v>
      </c>
      <c r="F751" s="13">
        <v>2020</v>
      </c>
      <c r="G751" s="2">
        <v>35000</v>
      </c>
      <c r="H751" s="8" t="s">
        <v>19</v>
      </c>
      <c r="I751" s="8" t="s">
        <v>13</v>
      </c>
      <c r="J751" s="8" t="s">
        <v>20</v>
      </c>
      <c r="K751" t="s">
        <v>184</v>
      </c>
      <c r="L751" t="s">
        <v>292</v>
      </c>
      <c r="M751" s="2">
        <f>VALUE(MID(L751,1,FIND("@",L751)-6))</f>
        <v>113</v>
      </c>
      <c r="N751">
        <v>5</v>
      </c>
      <c r="O751" t="str">
        <f>IF(datos_limpios[[#This Row],[Seating Capacity ]]&gt;4,"SI","NO")</f>
        <v>SI</v>
      </c>
      <c r="P751">
        <v>50</v>
      </c>
    </row>
    <row r="752" spans="1:16" x14ac:dyDescent="0.3">
      <c r="A752" s="8" t="s">
        <v>23</v>
      </c>
      <c r="B752" s="8" t="s">
        <v>582</v>
      </c>
      <c r="C752" s="9">
        <v>751</v>
      </c>
      <c r="D752" s="3">
        <v>1748999</v>
      </c>
      <c r="E752" s="1">
        <f>datos_limpios[[#This Row],[Price INR   ]]*0.011</f>
        <v>19238.988999999998</v>
      </c>
      <c r="F752" s="13">
        <v>2022</v>
      </c>
      <c r="G752" s="2">
        <v>2670</v>
      </c>
      <c r="H752" s="8" t="s">
        <v>12</v>
      </c>
      <c r="I752" s="8" t="s">
        <v>40</v>
      </c>
      <c r="J752" s="8" t="s">
        <v>20</v>
      </c>
      <c r="K752" t="s">
        <v>165</v>
      </c>
      <c r="L752" t="s">
        <v>583</v>
      </c>
      <c r="M752" s="2">
        <f>VALUE(MID(L752,1,FIND("@",L752)-6))</f>
        <v>113</v>
      </c>
      <c r="N752">
        <v>5</v>
      </c>
      <c r="O752" t="str">
        <f>IF(datos_limpios[[#This Row],[Seating Capacity ]]&gt;4,"SI","NO")</f>
        <v>SI</v>
      </c>
      <c r="P752">
        <v>50</v>
      </c>
    </row>
    <row r="753" spans="1:16" x14ac:dyDescent="0.3">
      <c r="A753" s="8" t="s">
        <v>23</v>
      </c>
      <c r="B753" s="8" t="s">
        <v>880</v>
      </c>
      <c r="C753" s="9">
        <v>752</v>
      </c>
      <c r="D753" s="3">
        <v>1750000</v>
      </c>
      <c r="E753" s="1">
        <f>datos_limpios[[#This Row],[Price INR   ]]*0.011</f>
        <v>19250</v>
      </c>
      <c r="F753" s="13">
        <v>2021</v>
      </c>
      <c r="G753" s="2">
        <v>17000</v>
      </c>
      <c r="H753" s="8" t="s">
        <v>19</v>
      </c>
      <c r="I753" s="8" t="s">
        <v>13</v>
      </c>
      <c r="J753" s="8" t="s">
        <v>101</v>
      </c>
      <c r="K753" t="s">
        <v>102</v>
      </c>
      <c r="L753" t="s">
        <v>103</v>
      </c>
      <c r="M753" s="2">
        <f>VALUE(MID(L753,1,FIND("@",L753)-6))</f>
        <v>126</v>
      </c>
      <c r="N753">
        <v>5</v>
      </c>
      <c r="O753" t="str">
        <f>IF(datos_limpios[[#This Row],[Seating Capacity ]]&gt;4,"SI","NO")</f>
        <v>SI</v>
      </c>
      <c r="P753">
        <v>60</v>
      </c>
    </row>
    <row r="754" spans="1:16" x14ac:dyDescent="0.3">
      <c r="A754" s="8" t="s">
        <v>23</v>
      </c>
      <c r="B754" s="8" t="s">
        <v>262</v>
      </c>
      <c r="C754" s="9">
        <v>753</v>
      </c>
      <c r="D754" s="3">
        <v>1750000</v>
      </c>
      <c r="E754" s="1">
        <f>datos_limpios[[#This Row],[Price INR   ]]*0.011</f>
        <v>19250</v>
      </c>
      <c r="F754" s="13">
        <v>2022</v>
      </c>
      <c r="G754" s="2">
        <v>23000</v>
      </c>
      <c r="H754" s="8" t="s">
        <v>12</v>
      </c>
      <c r="I754" s="8" t="s">
        <v>40</v>
      </c>
      <c r="J754" s="8" t="s">
        <v>20</v>
      </c>
      <c r="K754" t="s">
        <v>263</v>
      </c>
      <c r="L754" t="s">
        <v>264</v>
      </c>
      <c r="M754" s="2">
        <f>VALUE(MID(L754,1,FIND("@",L754)-6))</f>
        <v>138</v>
      </c>
      <c r="N754">
        <v>5</v>
      </c>
      <c r="O754" t="str">
        <f>IF(datos_limpios[[#This Row],[Seating Capacity ]]&gt;4,"SI","NO")</f>
        <v>SI</v>
      </c>
      <c r="P754">
        <v>50</v>
      </c>
    </row>
    <row r="755" spans="1:16" x14ac:dyDescent="0.3">
      <c r="A755" s="8" t="s">
        <v>23</v>
      </c>
      <c r="B755" s="8" t="s">
        <v>849</v>
      </c>
      <c r="C755" s="9">
        <v>754</v>
      </c>
      <c r="D755" s="3">
        <v>1750000</v>
      </c>
      <c r="E755" s="1">
        <f>datos_limpios[[#This Row],[Price INR   ]]*0.011</f>
        <v>19250</v>
      </c>
      <c r="F755" s="13">
        <v>2021</v>
      </c>
      <c r="G755" s="2">
        <v>14000</v>
      </c>
      <c r="H755" s="8" t="s">
        <v>19</v>
      </c>
      <c r="I755" s="8" t="s">
        <v>13</v>
      </c>
      <c r="J755" s="8" t="s">
        <v>101</v>
      </c>
      <c r="K755" t="s">
        <v>102</v>
      </c>
      <c r="L755" t="s">
        <v>103</v>
      </c>
      <c r="M755" s="2">
        <f>VALUE(MID(L755,1,FIND("@",L755)-6))</f>
        <v>126</v>
      </c>
      <c r="N755">
        <v>5</v>
      </c>
      <c r="O755" t="str">
        <f>IF(datos_limpios[[#This Row],[Seating Capacity ]]&gt;4,"SI","NO")</f>
        <v>SI</v>
      </c>
      <c r="P755">
        <v>60</v>
      </c>
    </row>
    <row r="756" spans="1:16" x14ac:dyDescent="0.3">
      <c r="A756" s="8" t="s">
        <v>23</v>
      </c>
      <c r="B756" s="8" t="s">
        <v>1359</v>
      </c>
      <c r="C756" s="9">
        <v>755</v>
      </c>
      <c r="D756" s="3">
        <v>1750000</v>
      </c>
      <c r="E756" s="1">
        <f>datos_limpios[[#This Row],[Price INR   ]]*0.011</f>
        <v>19250</v>
      </c>
      <c r="F756" s="13">
        <v>2021</v>
      </c>
      <c r="G756" s="2">
        <v>26000</v>
      </c>
      <c r="H756" s="8" t="s">
        <v>19</v>
      </c>
      <c r="I756" s="8" t="s">
        <v>13</v>
      </c>
      <c r="J756" s="8" t="s">
        <v>20</v>
      </c>
      <c r="K756" t="s">
        <v>184</v>
      </c>
      <c r="L756" t="s">
        <v>292</v>
      </c>
      <c r="M756" s="2">
        <f>VALUE(MID(L756,1,FIND("@",L756)-6))</f>
        <v>113</v>
      </c>
      <c r="N756">
        <v>7</v>
      </c>
      <c r="O756" t="str">
        <f>IF(datos_limpios[[#This Row],[Seating Capacity ]]&gt;4,"SI","NO")</f>
        <v>SI</v>
      </c>
      <c r="P756">
        <v>50</v>
      </c>
    </row>
    <row r="757" spans="1:16" x14ac:dyDescent="0.3">
      <c r="A757" s="8" t="s">
        <v>23</v>
      </c>
      <c r="B757" s="8" t="s">
        <v>531</v>
      </c>
      <c r="C757" s="9">
        <v>756</v>
      </c>
      <c r="D757" s="3">
        <v>1789999</v>
      </c>
      <c r="E757" s="1">
        <f>datos_limpios[[#This Row],[Price INR   ]]*0.011</f>
        <v>19689.988999999998</v>
      </c>
      <c r="F757" s="13">
        <v>2018</v>
      </c>
      <c r="G757" s="2">
        <v>46000</v>
      </c>
      <c r="H757" s="8" t="s">
        <v>12</v>
      </c>
      <c r="I757" s="8" t="s">
        <v>40</v>
      </c>
      <c r="J757" s="8" t="s">
        <v>101</v>
      </c>
      <c r="K757" t="s">
        <v>301</v>
      </c>
      <c r="L757" t="s">
        <v>478</v>
      </c>
      <c r="M757" s="2">
        <f>VALUE(MID(L757,1,FIND("@",L757)-6))</f>
        <v>153</v>
      </c>
      <c r="N757">
        <v>5</v>
      </c>
      <c r="O757" t="str">
        <f>IF(datos_limpios[[#This Row],[Seating Capacity ]]&gt;4,"SI","NO")</f>
        <v>SI</v>
      </c>
      <c r="P757">
        <v>62</v>
      </c>
    </row>
    <row r="758" spans="1:16" x14ac:dyDescent="0.3">
      <c r="A758" s="8" t="s">
        <v>23</v>
      </c>
      <c r="B758" s="8" t="s">
        <v>262</v>
      </c>
      <c r="C758" s="9">
        <v>757</v>
      </c>
      <c r="D758" s="3">
        <v>1825000</v>
      </c>
      <c r="E758" s="1">
        <f>datos_limpios[[#This Row],[Price INR   ]]*0.011</f>
        <v>20075</v>
      </c>
      <c r="F758" s="13">
        <v>2021</v>
      </c>
      <c r="G758" s="2">
        <v>45000</v>
      </c>
      <c r="H758" s="8" t="s">
        <v>12</v>
      </c>
      <c r="I758" s="8" t="s">
        <v>40</v>
      </c>
      <c r="J758" s="8" t="s">
        <v>20</v>
      </c>
      <c r="K758" t="s">
        <v>263</v>
      </c>
      <c r="L758" t="s">
        <v>264</v>
      </c>
      <c r="M758" s="2">
        <f>VALUE(MID(L758,1,FIND("@",L758)-6))</f>
        <v>138</v>
      </c>
      <c r="N758">
        <v>5</v>
      </c>
      <c r="O758" t="str">
        <f>IF(datos_limpios[[#This Row],[Seating Capacity ]]&gt;4,"SI","NO")</f>
        <v>SI</v>
      </c>
      <c r="P758">
        <v>50</v>
      </c>
    </row>
    <row r="759" spans="1:16" x14ac:dyDescent="0.3">
      <c r="A759" s="8" t="s">
        <v>23</v>
      </c>
      <c r="B759" s="8" t="s">
        <v>1000</v>
      </c>
      <c r="C759" s="9">
        <v>758</v>
      </c>
      <c r="D759" s="3">
        <v>1848999</v>
      </c>
      <c r="E759" s="1">
        <f>datos_limpios[[#This Row],[Price INR   ]]*0.011</f>
        <v>20338.988999999998</v>
      </c>
      <c r="F759" s="13">
        <v>2021</v>
      </c>
      <c r="G759" s="2">
        <v>20000</v>
      </c>
      <c r="H759" s="8" t="s">
        <v>19</v>
      </c>
      <c r="I759" s="8" t="s">
        <v>13</v>
      </c>
      <c r="J759" s="8" t="s">
        <v>20</v>
      </c>
      <c r="K759" t="s">
        <v>184</v>
      </c>
      <c r="L759" t="s">
        <v>292</v>
      </c>
      <c r="M759" s="2">
        <f>VALUE(MID(L759,1,FIND("@",L759)-6))</f>
        <v>113</v>
      </c>
      <c r="N759">
        <v>7</v>
      </c>
      <c r="O759" t="str">
        <f>IF(datos_limpios[[#This Row],[Seating Capacity ]]&gt;4,"SI","NO")</f>
        <v>SI</v>
      </c>
      <c r="P759">
        <v>50</v>
      </c>
    </row>
    <row r="760" spans="1:16" x14ac:dyDescent="0.3">
      <c r="A760" s="8" t="s">
        <v>23</v>
      </c>
      <c r="B760" s="8" t="s">
        <v>262</v>
      </c>
      <c r="C760" s="9">
        <v>759</v>
      </c>
      <c r="D760" s="3">
        <v>1875000</v>
      </c>
      <c r="E760" s="1">
        <f>datos_limpios[[#This Row],[Price INR   ]]*0.011</f>
        <v>20625</v>
      </c>
      <c r="F760" s="13">
        <v>2022</v>
      </c>
      <c r="G760" s="2">
        <v>18000</v>
      </c>
      <c r="H760" s="8" t="s">
        <v>12</v>
      </c>
      <c r="I760" s="8" t="s">
        <v>40</v>
      </c>
      <c r="J760" s="8" t="s">
        <v>101</v>
      </c>
      <c r="K760" t="s">
        <v>263</v>
      </c>
      <c r="L760" t="s">
        <v>264</v>
      </c>
      <c r="M760" s="2">
        <f>VALUE(MID(L760,1,FIND("@",L760)-6))</f>
        <v>138</v>
      </c>
      <c r="N760">
        <v>5</v>
      </c>
      <c r="O760" t="str">
        <f>IF(datos_limpios[[#This Row],[Seating Capacity ]]&gt;4,"SI","NO")</f>
        <v>SI</v>
      </c>
      <c r="P760">
        <v>50</v>
      </c>
    </row>
    <row r="761" spans="1:16" x14ac:dyDescent="0.3">
      <c r="A761" s="8" t="s">
        <v>23</v>
      </c>
      <c r="B761" s="8" t="s">
        <v>262</v>
      </c>
      <c r="C761" s="9">
        <v>760</v>
      </c>
      <c r="D761" s="3">
        <v>1875000</v>
      </c>
      <c r="E761" s="1">
        <f>datos_limpios[[#This Row],[Price INR   ]]*0.011</f>
        <v>20625</v>
      </c>
      <c r="F761" s="13">
        <v>2020</v>
      </c>
      <c r="G761" s="2">
        <v>18000</v>
      </c>
      <c r="H761" s="8" t="s">
        <v>12</v>
      </c>
      <c r="I761" s="8" t="s">
        <v>40</v>
      </c>
      <c r="J761" s="8" t="s">
        <v>101</v>
      </c>
      <c r="K761" t="s">
        <v>263</v>
      </c>
      <c r="L761" t="s">
        <v>264</v>
      </c>
      <c r="M761" s="2">
        <f>VALUE(MID(L761,1,FIND("@",L761)-6))</f>
        <v>138</v>
      </c>
      <c r="N761">
        <v>5</v>
      </c>
      <c r="O761" t="str">
        <f>IF(datos_limpios[[#This Row],[Seating Capacity ]]&gt;4,"SI","NO")</f>
        <v>SI</v>
      </c>
      <c r="P761">
        <v>50</v>
      </c>
    </row>
    <row r="762" spans="1:16" x14ac:dyDescent="0.3">
      <c r="A762" s="8" t="s">
        <v>23</v>
      </c>
      <c r="B762" s="8" t="s">
        <v>844</v>
      </c>
      <c r="C762" s="9">
        <v>761</v>
      </c>
      <c r="D762" s="3">
        <v>1911000</v>
      </c>
      <c r="E762" s="1">
        <f>datos_limpios[[#This Row],[Price INR   ]]*0.011</f>
        <v>21021</v>
      </c>
      <c r="F762" s="13">
        <v>2022</v>
      </c>
      <c r="G762" s="2">
        <v>1300</v>
      </c>
      <c r="H762" s="8" t="s">
        <v>12</v>
      </c>
      <c r="I762" s="8" t="s">
        <v>40</v>
      </c>
      <c r="J762" s="8" t="s">
        <v>101</v>
      </c>
      <c r="K762" t="s">
        <v>263</v>
      </c>
      <c r="L762" t="s">
        <v>264</v>
      </c>
      <c r="M762" s="2">
        <f>VALUE(MID(L762,1,FIND("@",L762)-6))</f>
        <v>138</v>
      </c>
      <c r="N762">
        <v>5</v>
      </c>
      <c r="O762" t="str">
        <f>IF(datos_limpios[[#This Row],[Seating Capacity ]]&gt;4,"SI","NO")</f>
        <v>SI</v>
      </c>
      <c r="P762">
        <v>50</v>
      </c>
    </row>
    <row r="763" spans="1:16" x14ac:dyDescent="0.3">
      <c r="A763" s="8" t="s">
        <v>23</v>
      </c>
      <c r="B763" s="8" t="s">
        <v>1364</v>
      </c>
      <c r="C763" s="9">
        <v>762</v>
      </c>
      <c r="D763" s="3">
        <v>1925000</v>
      </c>
      <c r="E763" s="1">
        <f>datos_limpios[[#This Row],[Price INR   ]]*0.011</f>
        <v>21175</v>
      </c>
      <c r="F763" s="13">
        <v>2022</v>
      </c>
      <c r="G763" s="2">
        <v>9355</v>
      </c>
      <c r="H763" s="8" t="s">
        <v>12</v>
      </c>
      <c r="I763" s="8" t="s">
        <v>40</v>
      </c>
      <c r="J763" s="8" t="s">
        <v>20</v>
      </c>
      <c r="K763" t="s">
        <v>165</v>
      </c>
      <c r="L763" t="s">
        <v>583</v>
      </c>
      <c r="M763" s="2">
        <f>VALUE(MID(L763,1,FIND("@",L763)-6))</f>
        <v>113</v>
      </c>
      <c r="N763">
        <v>5</v>
      </c>
      <c r="O763" t="str">
        <f>IF(datos_limpios[[#This Row],[Seating Capacity ]]&gt;4,"SI","NO")</f>
        <v>SI</v>
      </c>
      <c r="P763">
        <v>50</v>
      </c>
    </row>
    <row r="764" spans="1:16" x14ac:dyDescent="0.3">
      <c r="A764" s="8" t="s">
        <v>23</v>
      </c>
      <c r="B764" s="8" t="s">
        <v>1428</v>
      </c>
      <c r="C764" s="9">
        <v>763</v>
      </c>
      <c r="D764" s="3">
        <v>1989999</v>
      </c>
      <c r="E764" s="1">
        <f>datos_limpios[[#This Row],[Price INR   ]]*0.011</f>
        <v>21889.988999999998</v>
      </c>
      <c r="F764" s="13">
        <v>2022</v>
      </c>
      <c r="G764" s="2">
        <v>5800</v>
      </c>
      <c r="H764" s="8" t="s">
        <v>19</v>
      </c>
      <c r="I764" s="8" t="s">
        <v>40</v>
      </c>
      <c r="J764" s="8" t="s">
        <v>20</v>
      </c>
      <c r="K764" t="s">
        <v>184</v>
      </c>
      <c r="L764" t="s">
        <v>292</v>
      </c>
      <c r="M764" s="2">
        <f>VALUE(MID(L764,1,FIND("@",L764)-6))</f>
        <v>113</v>
      </c>
      <c r="N764">
        <v>5</v>
      </c>
      <c r="O764" t="str">
        <f>IF(datos_limpios[[#This Row],[Seating Capacity ]]&gt;4,"SI","NO")</f>
        <v>SI</v>
      </c>
      <c r="P764">
        <v>50</v>
      </c>
    </row>
    <row r="765" spans="1:16" x14ac:dyDescent="0.3">
      <c r="A765" s="8" t="s">
        <v>23</v>
      </c>
      <c r="B765" s="8" t="s">
        <v>892</v>
      </c>
      <c r="C765" s="9">
        <v>764</v>
      </c>
      <c r="D765" s="3">
        <v>2089999</v>
      </c>
      <c r="E765" s="1">
        <f>datos_limpios[[#This Row],[Price INR   ]]*0.011</f>
        <v>22989.988999999998</v>
      </c>
      <c r="F765" s="13">
        <v>2019</v>
      </c>
      <c r="G765" s="2">
        <v>31000</v>
      </c>
      <c r="H765" s="8" t="s">
        <v>19</v>
      </c>
      <c r="I765" s="8" t="s">
        <v>40</v>
      </c>
      <c r="J765" s="8" t="s">
        <v>20</v>
      </c>
      <c r="K765" t="s">
        <v>41</v>
      </c>
      <c r="L765" t="s">
        <v>681</v>
      </c>
      <c r="M765" s="2">
        <f>VALUE(MID(L765,1,FIND("@",L765)-6))</f>
        <v>182</v>
      </c>
      <c r="N765">
        <v>5</v>
      </c>
      <c r="O765" t="str">
        <f>IF(datos_limpios[[#This Row],[Seating Capacity ]]&gt;4,"SI","NO")</f>
        <v>SI</v>
      </c>
      <c r="P765">
        <v>62</v>
      </c>
    </row>
    <row r="766" spans="1:16" x14ac:dyDescent="0.3">
      <c r="A766" s="8" t="s">
        <v>23</v>
      </c>
      <c r="B766" s="8" t="s">
        <v>781</v>
      </c>
      <c r="C766" s="9">
        <v>765</v>
      </c>
      <c r="D766" s="3">
        <v>2140000</v>
      </c>
      <c r="E766" s="1">
        <f>datos_limpios[[#This Row],[Price INR   ]]*0.011</f>
        <v>23540</v>
      </c>
      <c r="F766" s="13">
        <v>2021</v>
      </c>
      <c r="G766" s="2">
        <v>24000</v>
      </c>
      <c r="H766" s="8" t="s">
        <v>12</v>
      </c>
      <c r="I766" s="8" t="s">
        <v>40</v>
      </c>
      <c r="J766" s="8" t="s">
        <v>14</v>
      </c>
      <c r="K766" t="s">
        <v>301</v>
      </c>
      <c r="L766" t="s">
        <v>782</v>
      </c>
      <c r="M766" s="2">
        <f>VALUE(MID(L766,1,FIND("@",L766)-6))</f>
        <v>157</v>
      </c>
      <c r="N766">
        <v>6</v>
      </c>
      <c r="O766" t="str">
        <f>IF(datos_limpios[[#This Row],[Seating Capacity ]]&gt;4,"SI","NO")</f>
        <v>SI</v>
      </c>
      <c r="P766">
        <v>50</v>
      </c>
    </row>
    <row r="767" spans="1:16" x14ac:dyDescent="0.3">
      <c r="A767" s="8" t="s">
        <v>23</v>
      </c>
      <c r="B767" s="8" t="s">
        <v>892</v>
      </c>
      <c r="C767" s="9">
        <v>766</v>
      </c>
      <c r="D767" s="3">
        <v>2395000</v>
      </c>
      <c r="E767" s="1">
        <f>datos_limpios[[#This Row],[Price INR   ]]*0.011</f>
        <v>26345</v>
      </c>
      <c r="F767" s="13">
        <v>2019</v>
      </c>
      <c r="G767" s="2">
        <v>44876</v>
      </c>
      <c r="H767" s="8" t="s">
        <v>19</v>
      </c>
      <c r="I767" s="8" t="s">
        <v>40</v>
      </c>
      <c r="J767" s="8" t="s">
        <v>20</v>
      </c>
      <c r="K767" t="s">
        <v>41</v>
      </c>
      <c r="L767" t="s">
        <v>681</v>
      </c>
      <c r="M767" s="2">
        <f>VALUE(MID(L767,1,FIND("@",L767)-6))</f>
        <v>182</v>
      </c>
      <c r="N767">
        <v>5</v>
      </c>
      <c r="O767" t="str">
        <f>IF(datos_limpios[[#This Row],[Seating Capacity ]]&gt;4,"SI","NO")</f>
        <v>SI</v>
      </c>
      <c r="P767">
        <v>62</v>
      </c>
    </row>
    <row r="768" spans="1:16" x14ac:dyDescent="0.3">
      <c r="A768" s="8" t="s">
        <v>23</v>
      </c>
      <c r="B768" s="8" t="s">
        <v>1375</v>
      </c>
      <c r="C768" s="9">
        <v>767</v>
      </c>
      <c r="D768" s="3">
        <v>2400000</v>
      </c>
      <c r="E768" s="1">
        <f>datos_limpios[[#This Row],[Price INR   ]]*0.011</f>
        <v>26400</v>
      </c>
      <c r="F768" s="13">
        <v>2022</v>
      </c>
      <c r="G768" s="2">
        <v>8000</v>
      </c>
      <c r="H768" s="8" t="s">
        <v>19</v>
      </c>
      <c r="I768" s="8" t="s">
        <v>40</v>
      </c>
      <c r="J768" s="8" t="s">
        <v>20</v>
      </c>
      <c r="K768" t="s">
        <v>184</v>
      </c>
      <c r="L768" t="s">
        <v>292</v>
      </c>
      <c r="M768" s="2">
        <f>VALUE(MID(L768,1,FIND("@",L768)-6))</f>
        <v>113</v>
      </c>
      <c r="N768">
        <v>7</v>
      </c>
      <c r="O768" t="str">
        <f>IF(datos_limpios[[#This Row],[Seating Capacity ]]&gt;4,"SI","NO")</f>
        <v>SI</v>
      </c>
      <c r="P768">
        <v>50</v>
      </c>
    </row>
    <row r="769" spans="1:16" x14ac:dyDescent="0.3">
      <c r="A769" s="8" t="s">
        <v>449</v>
      </c>
      <c r="B769" s="8" t="s">
        <v>450</v>
      </c>
      <c r="C769" s="9">
        <v>768</v>
      </c>
      <c r="D769" s="3">
        <v>1791000</v>
      </c>
      <c r="E769" s="1">
        <f>datos_limpios[[#This Row],[Price INR   ]]*0.011</f>
        <v>19701</v>
      </c>
      <c r="F769" s="13">
        <v>2017</v>
      </c>
      <c r="G769" s="2">
        <v>96095</v>
      </c>
      <c r="H769" s="8" t="s">
        <v>19</v>
      </c>
      <c r="I769" s="8" t="s">
        <v>40</v>
      </c>
      <c r="J769" s="8" t="s">
        <v>77</v>
      </c>
      <c r="K769" t="s">
        <v>451</v>
      </c>
      <c r="L769" t="s">
        <v>452</v>
      </c>
      <c r="M769" s="2">
        <f>VALUE(MID(L769,1,FIND("@",L769)-6))</f>
        <v>174</v>
      </c>
      <c r="N769">
        <v>7</v>
      </c>
      <c r="O769" t="str">
        <f>IF(datos_limpios[[#This Row],[Seating Capacity ]]&gt;4,"SI","NO")</f>
        <v>SI</v>
      </c>
      <c r="P769">
        <v>65</v>
      </c>
    </row>
    <row r="770" spans="1:16" x14ac:dyDescent="0.3">
      <c r="A770" s="8" t="s">
        <v>449</v>
      </c>
      <c r="B770" s="8" t="s">
        <v>450</v>
      </c>
      <c r="C770" s="9">
        <v>769</v>
      </c>
      <c r="D770" s="3">
        <v>2100000</v>
      </c>
      <c r="E770" s="1">
        <f>datos_limpios[[#This Row],[Price INR   ]]*0.011</f>
        <v>23100</v>
      </c>
      <c r="F770" s="13">
        <v>2018</v>
      </c>
      <c r="G770" s="2">
        <v>75592</v>
      </c>
      <c r="H770" s="8" t="s">
        <v>19</v>
      </c>
      <c r="I770" s="8" t="s">
        <v>40</v>
      </c>
      <c r="J770" s="8" t="s">
        <v>20</v>
      </c>
      <c r="K770" t="s">
        <v>451</v>
      </c>
      <c r="L770" t="s">
        <v>452</v>
      </c>
      <c r="M770" s="2">
        <f>VALUE(MID(L770,1,FIND("@",L770)-6))</f>
        <v>174</v>
      </c>
      <c r="N770">
        <v>7</v>
      </c>
      <c r="O770" t="str">
        <f>IF(datos_limpios[[#This Row],[Seating Capacity ]]&gt;4,"SI","NO")</f>
        <v>SI</v>
      </c>
      <c r="P770">
        <v>65</v>
      </c>
    </row>
    <row r="771" spans="1:16" x14ac:dyDescent="0.3">
      <c r="A771" s="8" t="s">
        <v>426</v>
      </c>
      <c r="B771" s="8" t="s">
        <v>889</v>
      </c>
      <c r="C771" s="9">
        <v>770</v>
      </c>
      <c r="D771" s="3">
        <v>2550000</v>
      </c>
      <c r="E771" s="1">
        <f>datos_limpios[[#This Row],[Price INR   ]]*0.011</f>
        <v>28050</v>
      </c>
      <c r="F771" s="13">
        <v>2013</v>
      </c>
      <c r="G771" s="2">
        <v>65000</v>
      </c>
      <c r="H771" s="8" t="s">
        <v>12</v>
      </c>
      <c r="I771" s="8" t="s">
        <v>40</v>
      </c>
      <c r="J771" s="8" t="s">
        <v>20</v>
      </c>
      <c r="K771" t="s">
        <v>224</v>
      </c>
      <c r="L771" t="s">
        <v>890</v>
      </c>
      <c r="M771" s="2">
        <f>VALUE(MID(L771,1,FIND("@",L771)-6))</f>
        <v>335</v>
      </c>
      <c r="N771">
        <v>5</v>
      </c>
      <c r="O771" t="str">
        <f>IF(datos_limpios[[#This Row],[Seating Capacity ]]&gt;4,"SI","NO")</f>
        <v>SI</v>
      </c>
      <c r="P771">
        <v>83</v>
      </c>
    </row>
    <row r="772" spans="1:16" x14ac:dyDescent="0.3">
      <c r="A772" s="8" t="s">
        <v>426</v>
      </c>
      <c r="B772" s="8" t="s">
        <v>462</v>
      </c>
      <c r="C772" s="9">
        <v>771</v>
      </c>
      <c r="D772" s="3">
        <v>2700000</v>
      </c>
      <c r="E772" s="1">
        <f>datos_limpios[[#This Row],[Price INR   ]]*0.011</f>
        <v>29700</v>
      </c>
      <c r="F772" s="13">
        <v>2018</v>
      </c>
      <c r="G772" s="2">
        <v>45545</v>
      </c>
      <c r="H772" s="8" t="s">
        <v>19</v>
      </c>
      <c r="I772" s="8" t="s">
        <v>40</v>
      </c>
      <c r="J772" s="8" t="s">
        <v>30</v>
      </c>
      <c r="K772" t="s">
        <v>301</v>
      </c>
      <c r="L772" t="s">
        <v>302</v>
      </c>
      <c r="M772" s="2">
        <f>VALUE(MID(L772,1,FIND("@",L772)-6))</f>
        <v>177</v>
      </c>
      <c r="N772">
        <v>5</v>
      </c>
      <c r="O772" t="str">
        <f>IF(datos_limpios[[#This Row],[Seating Capacity ]]&gt;4,"SI","NO")</f>
        <v>SI</v>
      </c>
      <c r="P772">
        <v>56</v>
      </c>
    </row>
    <row r="773" spans="1:16" x14ac:dyDescent="0.3">
      <c r="A773" s="8" t="s">
        <v>426</v>
      </c>
      <c r="B773" s="8" t="s">
        <v>462</v>
      </c>
      <c r="C773" s="9">
        <v>772</v>
      </c>
      <c r="D773" s="3">
        <v>2850000</v>
      </c>
      <c r="E773" s="1">
        <f>datos_limpios[[#This Row],[Price INR   ]]*0.011</f>
        <v>31350</v>
      </c>
      <c r="F773" s="13">
        <v>2018</v>
      </c>
      <c r="G773" s="2">
        <v>45000</v>
      </c>
      <c r="H773" s="8" t="s">
        <v>19</v>
      </c>
      <c r="I773" s="8" t="s">
        <v>40</v>
      </c>
      <c r="J773" s="8" t="s">
        <v>20</v>
      </c>
      <c r="K773" t="s">
        <v>301</v>
      </c>
      <c r="L773" t="s">
        <v>302</v>
      </c>
      <c r="M773" s="2">
        <f>VALUE(MID(L773,1,FIND("@",L773)-6))</f>
        <v>177</v>
      </c>
      <c r="N773">
        <v>5</v>
      </c>
      <c r="O773" t="str">
        <f>IF(datos_limpios[[#This Row],[Seating Capacity ]]&gt;4,"SI","NO")</f>
        <v>SI</v>
      </c>
      <c r="P773">
        <v>56</v>
      </c>
    </row>
    <row r="774" spans="1:16" x14ac:dyDescent="0.3">
      <c r="A774" s="8" t="s">
        <v>426</v>
      </c>
      <c r="B774" s="8" t="s">
        <v>1090</v>
      </c>
      <c r="C774" s="9">
        <v>773</v>
      </c>
      <c r="D774" s="3">
        <v>3150000</v>
      </c>
      <c r="E774" s="1">
        <f>datos_limpios[[#This Row],[Price INR   ]]*0.011</f>
        <v>34650</v>
      </c>
      <c r="F774" s="13">
        <v>2014</v>
      </c>
      <c r="G774" s="2">
        <v>66500</v>
      </c>
      <c r="H774" s="8" t="s">
        <v>19</v>
      </c>
      <c r="I774" s="8" t="s">
        <v>40</v>
      </c>
      <c r="J774" s="8" t="s">
        <v>20</v>
      </c>
      <c r="K774" t="s">
        <v>359</v>
      </c>
      <c r="L774" t="s">
        <v>1091</v>
      </c>
      <c r="M774" s="2">
        <f>VALUE(MID(L774,1,FIND("@",L774)-6))</f>
        <v>271</v>
      </c>
      <c r="N774">
        <v>5</v>
      </c>
      <c r="O774" t="str">
        <f>IF(datos_limpios[[#This Row],[Seating Capacity ]]&gt;4,"SI","NO")</f>
        <v>SI</v>
      </c>
      <c r="P774">
        <v>83</v>
      </c>
    </row>
    <row r="775" spans="1:16" x14ac:dyDescent="0.3">
      <c r="A775" s="8" t="s">
        <v>426</v>
      </c>
      <c r="B775" s="8" t="s">
        <v>462</v>
      </c>
      <c r="C775" s="9">
        <v>774</v>
      </c>
      <c r="D775" s="3">
        <v>3299000</v>
      </c>
      <c r="E775" s="1">
        <f>datos_limpios[[#This Row],[Price INR   ]]*0.011</f>
        <v>36289</v>
      </c>
      <c r="F775" s="13">
        <v>2017</v>
      </c>
      <c r="G775" s="2">
        <v>29999</v>
      </c>
      <c r="H775" s="8" t="s">
        <v>19</v>
      </c>
      <c r="I775" s="8" t="s">
        <v>40</v>
      </c>
      <c r="J775" s="8" t="s">
        <v>57</v>
      </c>
      <c r="K775" t="s">
        <v>301</v>
      </c>
      <c r="L775" t="s">
        <v>302</v>
      </c>
      <c r="M775" s="2">
        <f>VALUE(MID(L775,1,FIND("@",L775)-6))</f>
        <v>177</v>
      </c>
      <c r="N775">
        <v>5</v>
      </c>
      <c r="O775" t="str">
        <f>IF(datos_limpios[[#This Row],[Seating Capacity ]]&gt;4,"SI","NO")</f>
        <v>SI</v>
      </c>
      <c r="P775">
        <v>56</v>
      </c>
    </row>
    <row r="776" spans="1:16" x14ac:dyDescent="0.3">
      <c r="A776" s="8" t="s">
        <v>426</v>
      </c>
      <c r="B776" s="8" t="s">
        <v>1090</v>
      </c>
      <c r="C776" s="9">
        <v>775</v>
      </c>
      <c r="D776" s="3">
        <v>3600000</v>
      </c>
      <c r="E776" s="1">
        <f>datos_limpios[[#This Row],[Price INR   ]]*0.011</f>
        <v>39600</v>
      </c>
      <c r="F776" s="13">
        <v>2014</v>
      </c>
      <c r="G776" s="2">
        <v>32000</v>
      </c>
      <c r="H776" s="8" t="s">
        <v>19</v>
      </c>
      <c r="I776" s="8" t="s">
        <v>40</v>
      </c>
      <c r="J776" s="8" t="s">
        <v>82</v>
      </c>
      <c r="K776" t="s">
        <v>359</v>
      </c>
      <c r="L776" t="s">
        <v>1091</v>
      </c>
      <c r="M776" s="2">
        <f>VALUE(MID(L776,1,FIND("@",L776)-6))</f>
        <v>271</v>
      </c>
      <c r="N776">
        <v>5</v>
      </c>
      <c r="O776" t="str">
        <f>IF(datos_limpios[[#This Row],[Seating Capacity ]]&gt;4,"SI","NO")</f>
        <v>SI</v>
      </c>
      <c r="P776">
        <v>83</v>
      </c>
    </row>
    <row r="777" spans="1:16" x14ac:dyDescent="0.3">
      <c r="A777" s="8" t="s">
        <v>426</v>
      </c>
      <c r="B777" s="8" t="s">
        <v>792</v>
      </c>
      <c r="C777" s="9">
        <v>776</v>
      </c>
      <c r="D777" s="3">
        <v>3750000</v>
      </c>
      <c r="E777" s="1">
        <f>datos_limpios[[#This Row],[Price INR   ]]*0.011</f>
        <v>41250</v>
      </c>
      <c r="F777" s="13">
        <v>2019</v>
      </c>
      <c r="G777" s="2">
        <v>13500</v>
      </c>
      <c r="H777" s="8" t="s">
        <v>19</v>
      </c>
      <c r="I777" s="8" t="s">
        <v>40</v>
      </c>
      <c r="J777" s="8" t="s">
        <v>77</v>
      </c>
      <c r="K777" t="s">
        <v>301</v>
      </c>
      <c r="L777" t="s">
        <v>302</v>
      </c>
      <c r="M777" s="2">
        <f>VALUE(MID(L777,1,FIND("@",L777)-6))</f>
        <v>177</v>
      </c>
      <c r="N777">
        <v>5</v>
      </c>
      <c r="O777" t="str">
        <f>IF(datos_limpios[[#This Row],[Seating Capacity ]]&gt;4,"SI","NO")</f>
        <v>SI</v>
      </c>
      <c r="P777">
        <v>66</v>
      </c>
    </row>
    <row r="778" spans="1:16" x14ac:dyDescent="0.3">
      <c r="A778" s="8" t="s">
        <v>426</v>
      </c>
      <c r="B778" s="8" t="s">
        <v>1090</v>
      </c>
      <c r="C778" s="9">
        <v>777</v>
      </c>
      <c r="D778" s="3">
        <v>3900000</v>
      </c>
      <c r="E778" s="1">
        <f>datos_limpios[[#This Row],[Price INR   ]]*0.011</f>
        <v>42900</v>
      </c>
      <c r="F778" s="13">
        <v>2015</v>
      </c>
      <c r="G778" s="2">
        <v>39000</v>
      </c>
      <c r="H778" s="8" t="s">
        <v>19</v>
      </c>
      <c r="I778" s="8" t="s">
        <v>40</v>
      </c>
      <c r="J778" s="8" t="s">
        <v>101</v>
      </c>
      <c r="K778" t="s">
        <v>359</v>
      </c>
      <c r="L778" t="s">
        <v>1091</v>
      </c>
      <c r="M778" s="2">
        <f>VALUE(MID(L778,1,FIND("@",L778)-6))</f>
        <v>271</v>
      </c>
      <c r="N778">
        <v>5</v>
      </c>
      <c r="O778" t="str">
        <f>IF(datos_limpios[[#This Row],[Seating Capacity ]]&gt;4,"SI","NO")</f>
        <v>SI</v>
      </c>
      <c r="P778">
        <v>83</v>
      </c>
    </row>
    <row r="779" spans="1:16" x14ac:dyDescent="0.3">
      <c r="A779" s="8" t="s">
        <v>426</v>
      </c>
      <c r="B779" s="8" t="s">
        <v>427</v>
      </c>
      <c r="C779" s="9">
        <v>778</v>
      </c>
      <c r="D779" s="3">
        <v>4200000</v>
      </c>
      <c r="E779" s="1">
        <f>datos_limpios[[#This Row],[Price INR   ]]*0.011</f>
        <v>46200</v>
      </c>
      <c r="F779" s="13">
        <v>2018</v>
      </c>
      <c r="G779" s="2">
        <v>90868</v>
      </c>
      <c r="H779" s="8" t="s">
        <v>19</v>
      </c>
      <c r="I779" s="8" t="s">
        <v>40</v>
      </c>
      <c r="J779" s="8" t="s">
        <v>57</v>
      </c>
      <c r="K779" t="s">
        <v>301</v>
      </c>
      <c r="L779" t="s">
        <v>302</v>
      </c>
      <c r="M779" s="2">
        <f>VALUE(MID(L779,1,FIND("@",L779)-6))</f>
        <v>177</v>
      </c>
      <c r="N779">
        <v>5</v>
      </c>
      <c r="O779" t="str">
        <f>IF(datos_limpios[[#This Row],[Seating Capacity ]]&gt;4,"SI","NO")</f>
        <v>SI</v>
      </c>
      <c r="P779">
        <v>82</v>
      </c>
    </row>
    <row r="780" spans="1:16" x14ac:dyDescent="0.3">
      <c r="A780" s="8" t="s">
        <v>426</v>
      </c>
      <c r="B780" s="8" t="s">
        <v>427</v>
      </c>
      <c r="C780" s="9">
        <v>779</v>
      </c>
      <c r="D780" s="3">
        <v>4325000</v>
      </c>
      <c r="E780" s="1">
        <f>datos_limpios[[#This Row],[Price INR   ]]*0.011</f>
        <v>47575</v>
      </c>
      <c r="F780" s="13">
        <v>2018</v>
      </c>
      <c r="G780" s="2">
        <v>40545</v>
      </c>
      <c r="H780" s="8" t="s">
        <v>19</v>
      </c>
      <c r="I780" s="8" t="s">
        <v>40</v>
      </c>
      <c r="J780" s="8" t="s">
        <v>14</v>
      </c>
      <c r="K780" t="s">
        <v>301</v>
      </c>
      <c r="L780" t="s">
        <v>302</v>
      </c>
      <c r="M780" s="2">
        <f>VALUE(MID(L780,1,FIND("@",L780)-6))</f>
        <v>177</v>
      </c>
      <c r="N780">
        <v>5</v>
      </c>
      <c r="O780" t="str">
        <f>IF(datos_limpios[[#This Row],[Seating Capacity ]]&gt;4,"SI","NO")</f>
        <v>SI</v>
      </c>
      <c r="P780">
        <v>82</v>
      </c>
    </row>
    <row r="781" spans="1:16" x14ac:dyDescent="0.3">
      <c r="A781" s="8" t="s">
        <v>426</v>
      </c>
      <c r="B781" s="8" t="s">
        <v>1154</v>
      </c>
      <c r="C781" s="9">
        <v>780</v>
      </c>
      <c r="D781" s="3">
        <v>4600000</v>
      </c>
      <c r="E781" s="1">
        <f>datos_limpios[[#This Row],[Price INR   ]]*0.011</f>
        <v>50600</v>
      </c>
      <c r="F781" s="13">
        <v>2020</v>
      </c>
      <c r="G781" s="2">
        <v>56000</v>
      </c>
      <c r="H781" s="8" t="s">
        <v>19</v>
      </c>
      <c r="I781" s="8" t="s">
        <v>40</v>
      </c>
      <c r="J781" s="8" t="s">
        <v>57</v>
      </c>
      <c r="K781" t="s">
        <v>301</v>
      </c>
      <c r="L781" t="s">
        <v>302</v>
      </c>
      <c r="M781" s="2">
        <f>VALUE(MID(L781,1,FIND("@",L781)-6))</f>
        <v>177</v>
      </c>
      <c r="N781">
        <v>5</v>
      </c>
      <c r="O781" t="str">
        <f>IF(datos_limpios[[#This Row],[Seating Capacity ]]&gt;4,"SI","NO")</f>
        <v>SI</v>
      </c>
      <c r="P781">
        <v>66</v>
      </c>
    </row>
    <row r="782" spans="1:16" x14ac:dyDescent="0.3">
      <c r="A782" s="8" t="s">
        <v>426</v>
      </c>
      <c r="B782" s="8" t="s">
        <v>427</v>
      </c>
      <c r="C782" s="9">
        <v>781</v>
      </c>
      <c r="D782" s="3">
        <v>5200000</v>
      </c>
      <c r="E782" s="1">
        <f>datos_limpios[[#This Row],[Price INR   ]]*0.011</f>
        <v>57200</v>
      </c>
      <c r="F782" s="13">
        <v>2019</v>
      </c>
      <c r="G782" s="2">
        <v>43000</v>
      </c>
      <c r="H782" s="8" t="s">
        <v>19</v>
      </c>
      <c r="I782" s="8" t="s">
        <v>40</v>
      </c>
      <c r="J782" s="8" t="s">
        <v>101</v>
      </c>
      <c r="K782" t="s">
        <v>301</v>
      </c>
      <c r="L782" t="s">
        <v>302</v>
      </c>
      <c r="M782" s="2">
        <f>VALUE(MID(L782,1,FIND("@",L782)-6))</f>
        <v>177</v>
      </c>
      <c r="N782">
        <v>5</v>
      </c>
      <c r="O782" t="str">
        <f>IF(datos_limpios[[#This Row],[Seating Capacity ]]&gt;4,"SI","NO")</f>
        <v>SI</v>
      </c>
      <c r="P782">
        <v>82</v>
      </c>
    </row>
    <row r="783" spans="1:16" x14ac:dyDescent="0.3">
      <c r="A783" s="8" t="s">
        <v>426</v>
      </c>
      <c r="B783" s="8" t="s">
        <v>1159</v>
      </c>
      <c r="C783" s="9">
        <v>782</v>
      </c>
      <c r="D783" s="3">
        <v>5800000</v>
      </c>
      <c r="E783" s="1">
        <f>datos_limpios[[#This Row],[Price INR   ]]*0.011</f>
        <v>63799.999999999993</v>
      </c>
      <c r="F783" s="13">
        <v>2017</v>
      </c>
      <c r="G783" s="2">
        <v>30000</v>
      </c>
      <c r="H783" s="8" t="s">
        <v>19</v>
      </c>
      <c r="I783" s="8" t="s">
        <v>40</v>
      </c>
      <c r="J783" s="8" t="s">
        <v>20</v>
      </c>
      <c r="K783" t="s">
        <v>359</v>
      </c>
      <c r="L783" t="s">
        <v>1160</v>
      </c>
      <c r="M783" s="2">
        <f>VALUE(MID(L783,1,FIND("@",L783)-6))</f>
        <v>225</v>
      </c>
      <c r="N783">
        <v>5</v>
      </c>
      <c r="O783" t="str">
        <f>IF(datos_limpios[[#This Row],[Seating Capacity ]]&gt;4,"SI","NO")</f>
        <v>SI</v>
      </c>
      <c r="P783">
        <v>77</v>
      </c>
    </row>
    <row r="784" spans="1:16" x14ac:dyDescent="0.3">
      <c r="A784" s="8" t="s">
        <v>154</v>
      </c>
      <c r="B784" s="8" t="s">
        <v>282</v>
      </c>
      <c r="C784" s="9">
        <v>783</v>
      </c>
      <c r="D784" s="3">
        <v>1050000</v>
      </c>
      <c r="E784" s="1">
        <f>datos_limpios[[#This Row],[Price INR   ]]*0.011</f>
        <v>11550</v>
      </c>
      <c r="F784" s="13">
        <v>2017</v>
      </c>
      <c r="G784" s="2">
        <v>71800</v>
      </c>
      <c r="H784" s="8" t="s">
        <v>19</v>
      </c>
      <c r="I784" s="8" t="s">
        <v>13</v>
      </c>
      <c r="J784" s="8" t="s">
        <v>101</v>
      </c>
      <c r="K784" t="s">
        <v>63</v>
      </c>
      <c r="L784" t="s">
        <v>156</v>
      </c>
      <c r="M784" s="2">
        <f>VALUE(MID(L784,1,FIND("@",L784)-6))</f>
        <v>171</v>
      </c>
      <c r="N784">
        <v>5</v>
      </c>
      <c r="O784" t="str">
        <f>IF(datos_limpios[[#This Row],[Seating Capacity ]]&gt;4,"SI","NO")</f>
        <v>SI</v>
      </c>
      <c r="P784">
        <v>60</v>
      </c>
    </row>
    <row r="785" spans="1:16" x14ac:dyDescent="0.3">
      <c r="A785" s="8" t="s">
        <v>154</v>
      </c>
      <c r="B785" s="8" t="s">
        <v>282</v>
      </c>
      <c r="C785" s="9">
        <v>784</v>
      </c>
      <c r="D785" s="3">
        <v>1075000</v>
      </c>
      <c r="E785" s="1">
        <f>datos_limpios[[#This Row],[Price INR   ]]*0.011</f>
        <v>11825</v>
      </c>
      <c r="F785" s="13">
        <v>2017</v>
      </c>
      <c r="G785" s="2">
        <v>86000</v>
      </c>
      <c r="H785" s="8" t="s">
        <v>19</v>
      </c>
      <c r="I785" s="8" t="s">
        <v>13</v>
      </c>
      <c r="J785" s="8" t="s">
        <v>20</v>
      </c>
      <c r="K785" t="s">
        <v>63</v>
      </c>
      <c r="L785" t="s">
        <v>156</v>
      </c>
      <c r="M785" s="2">
        <f>VALUE(MID(L785,1,FIND("@",L785)-6))</f>
        <v>171</v>
      </c>
      <c r="N785">
        <v>5</v>
      </c>
      <c r="O785" t="str">
        <f>IF(datos_limpios[[#This Row],[Seating Capacity ]]&gt;4,"SI","NO")</f>
        <v>SI</v>
      </c>
      <c r="P785">
        <v>60</v>
      </c>
    </row>
    <row r="786" spans="1:16" x14ac:dyDescent="0.3">
      <c r="A786" s="8" t="s">
        <v>154</v>
      </c>
      <c r="B786" s="8" t="s">
        <v>929</v>
      </c>
      <c r="C786" s="9">
        <v>785</v>
      </c>
      <c r="D786" s="3">
        <v>1240000</v>
      </c>
      <c r="E786" s="1">
        <f>datos_limpios[[#This Row],[Price INR   ]]*0.011</f>
        <v>13640</v>
      </c>
      <c r="F786" s="13">
        <v>2017</v>
      </c>
      <c r="G786" s="2">
        <v>57000</v>
      </c>
      <c r="H786" s="8" t="s">
        <v>19</v>
      </c>
      <c r="I786" s="8" t="s">
        <v>13</v>
      </c>
      <c r="J786" s="8" t="s">
        <v>20</v>
      </c>
      <c r="K786" t="s">
        <v>63</v>
      </c>
      <c r="L786" t="s">
        <v>156</v>
      </c>
      <c r="M786" s="2">
        <f>VALUE(MID(L786,1,FIND("@",L786)-6))</f>
        <v>171</v>
      </c>
      <c r="N786">
        <v>5</v>
      </c>
      <c r="O786" t="str">
        <f>IF(datos_limpios[[#This Row],[Seating Capacity ]]&gt;4,"SI","NO")</f>
        <v>SI</v>
      </c>
      <c r="P786">
        <v>60</v>
      </c>
    </row>
    <row r="787" spans="1:16" x14ac:dyDescent="0.3">
      <c r="A787" s="8" t="s">
        <v>154</v>
      </c>
      <c r="B787" s="8" t="s">
        <v>495</v>
      </c>
      <c r="C787" s="9">
        <v>786</v>
      </c>
      <c r="D787" s="3">
        <v>1250000</v>
      </c>
      <c r="E787" s="1">
        <f>datos_limpios[[#This Row],[Price INR   ]]*0.011</f>
        <v>13750</v>
      </c>
      <c r="F787" s="13">
        <v>2017</v>
      </c>
      <c r="G787" s="2">
        <v>60200</v>
      </c>
      <c r="H787" s="8" t="s">
        <v>12</v>
      </c>
      <c r="I787" s="8" t="s">
        <v>40</v>
      </c>
      <c r="J787" s="8" t="s">
        <v>20</v>
      </c>
      <c r="K787" t="s">
        <v>496</v>
      </c>
      <c r="L787" t="s">
        <v>497</v>
      </c>
      <c r="M787" s="2">
        <f>VALUE(MID(L787,1,FIND("@",L787)-6))</f>
        <v>160</v>
      </c>
      <c r="N787">
        <v>5</v>
      </c>
      <c r="O787" t="str">
        <f>IF(datos_limpios[[#This Row],[Seating Capacity ]]&gt;4,"SI","NO")</f>
        <v>SI</v>
      </c>
      <c r="P787">
        <v>60</v>
      </c>
    </row>
    <row r="788" spans="1:16" x14ac:dyDescent="0.3">
      <c r="A788" s="8" t="s">
        <v>154</v>
      </c>
      <c r="B788" s="8" t="s">
        <v>929</v>
      </c>
      <c r="C788" s="9">
        <v>787</v>
      </c>
      <c r="D788" s="3">
        <v>1250000</v>
      </c>
      <c r="E788" s="1">
        <f>datos_limpios[[#This Row],[Price INR   ]]*0.011</f>
        <v>13750</v>
      </c>
      <c r="F788" s="13">
        <v>2018</v>
      </c>
      <c r="G788" s="2">
        <v>90000</v>
      </c>
      <c r="H788" s="8" t="s">
        <v>19</v>
      </c>
      <c r="I788" s="8" t="s">
        <v>13</v>
      </c>
      <c r="J788" s="8" t="s">
        <v>77</v>
      </c>
      <c r="K788" t="s">
        <v>63</v>
      </c>
      <c r="L788" t="s">
        <v>156</v>
      </c>
      <c r="M788" s="2">
        <f>VALUE(MID(L788,1,FIND("@",L788)-6))</f>
        <v>171</v>
      </c>
      <c r="N788">
        <v>5</v>
      </c>
      <c r="O788" t="str">
        <f>IF(datos_limpios[[#This Row],[Seating Capacity ]]&gt;4,"SI","NO")</f>
        <v>SI</v>
      </c>
      <c r="P788">
        <v>60</v>
      </c>
    </row>
    <row r="789" spans="1:16" x14ac:dyDescent="0.3">
      <c r="A789" s="8" t="s">
        <v>154</v>
      </c>
      <c r="B789" s="8" t="s">
        <v>940</v>
      </c>
      <c r="C789" s="9">
        <v>788</v>
      </c>
      <c r="D789" s="3">
        <v>1350000</v>
      </c>
      <c r="E789" s="1">
        <f>datos_limpios[[#This Row],[Price INR   ]]*0.011</f>
        <v>14850</v>
      </c>
      <c r="F789" s="13">
        <v>2017</v>
      </c>
      <c r="G789" s="2">
        <v>70000</v>
      </c>
      <c r="H789" s="8" t="s">
        <v>12</v>
      </c>
      <c r="I789" s="8" t="s">
        <v>40</v>
      </c>
      <c r="J789" s="8" t="s">
        <v>57</v>
      </c>
      <c r="K789" t="s">
        <v>496</v>
      </c>
      <c r="L789" t="s">
        <v>497</v>
      </c>
      <c r="M789" s="2">
        <f>VALUE(MID(L789,1,FIND("@",L789)-6))</f>
        <v>160</v>
      </c>
      <c r="N789">
        <v>5</v>
      </c>
      <c r="O789" t="str">
        <f>IF(datos_limpios[[#This Row],[Seating Capacity ]]&gt;4,"SI","NO")</f>
        <v>SI</v>
      </c>
      <c r="P789">
        <v>60</v>
      </c>
    </row>
    <row r="790" spans="1:16" x14ac:dyDescent="0.3">
      <c r="A790" s="8" t="s">
        <v>154</v>
      </c>
      <c r="B790" s="8" t="s">
        <v>1342</v>
      </c>
      <c r="C790" s="9">
        <v>789</v>
      </c>
      <c r="D790" s="3">
        <v>1450000</v>
      </c>
      <c r="E790" s="1">
        <f>datos_limpios[[#This Row],[Price INR   ]]*0.011</f>
        <v>15949.999999999998</v>
      </c>
      <c r="F790" s="13">
        <v>2018</v>
      </c>
      <c r="G790" s="2">
        <v>90000</v>
      </c>
      <c r="H790" s="8" t="s">
        <v>19</v>
      </c>
      <c r="I790" s="8" t="s">
        <v>13</v>
      </c>
      <c r="J790" s="8" t="s">
        <v>101</v>
      </c>
      <c r="K790" t="s">
        <v>63</v>
      </c>
      <c r="L790" t="s">
        <v>156</v>
      </c>
      <c r="M790" s="2">
        <f>VALUE(MID(L790,1,FIND("@",L790)-6))</f>
        <v>171</v>
      </c>
      <c r="N790">
        <v>5</v>
      </c>
      <c r="O790" t="str">
        <f>IF(datos_limpios[[#This Row],[Seating Capacity ]]&gt;4,"SI","NO")</f>
        <v>SI</v>
      </c>
      <c r="P790">
        <v>60</v>
      </c>
    </row>
    <row r="791" spans="1:16" x14ac:dyDescent="0.3">
      <c r="A791" s="8" t="s">
        <v>154</v>
      </c>
      <c r="B791" s="8" t="s">
        <v>940</v>
      </c>
      <c r="C791" s="9">
        <v>790</v>
      </c>
      <c r="D791" s="3">
        <v>1495000</v>
      </c>
      <c r="E791" s="1">
        <f>datos_limpios[[#This Row],[Price INR   ]]*0.011</f>
        <v>16445</v>
      </c>
      <c r="F791" s="13">
        <v>2018</v>
      </c>
      <c r="G791" s="2">
        <v>28000</v>
      </c>
      <c r="H791" s="8" t="s">
        <v>12</v>
      </c>
      <c r="I791" s="8" t="s">
        <v>40</v>
      </c>
      <c r="J791" s="8" t="s">
        <v>77</v>
      </c>
      <c r="K791" t="s">
        <v>496</v>
      </c>
      <c r="L791" t="s">
        <v>497</v>
      </c>
      <c r="M791" s="2">
        <f>VALUE(MID(L791,1,FIND("@",L791)-6))</f>
        <v>160</v>
      </c>
      <c r="N791">
        <v>5</v>
      </c>
      <c r="O791" t="str">
        <f>IF(datos_limpios[[#This Row],[Seating Capacity ]]&gt;4,"SI","NO")</f>
        <v>SI</v>
      </c>
      <c r="P791">
        <v>60</v>
      </c>
    </row>
    <row r="792" spans="1:16" x14ac:dyDescent="0.3">
      <c r="A792" s="8" t="s">
        <v>154</v>
      </c>
      <c r="B792" s="8" t="s">
        <v>1041</v>
      </c>
      <c r="C792" s="9">
        <v>791</v>
      </c>
      <c r="D792" s="3">
        <v>1748999</v>
      </c>
      <c r="E792" s="1">
        <f>datos_limpios[[#This Row],[Price INR   ]]*0.011</f>
        <v>19238.988999999998</v>
      </c>
      <c r="F792" s="13">
        <v>2021</v>
      </c>
      <c r="G792" s="2">
        <v>25700</v>
      </c>
      <c r="H792" s="8" t="s">
        <v>12</v>
      </c>
      <c r="I792" s="8" t="s">
        <v>13</v>
      </c>
      <c r="J792" s="8" t="s">
        <v>101</v>
      </c>
      <c r="K792" t="s">
        <v>496</v>
      </c>
      <c r="L792" t="s">
        <v>497</v>
      </c>
      <c r="M792" s="2">
        <f>VALUE(MID(L792,1,FIND("@",L792)-6))</f>
        <v>160</v>
      </c>
      <c r="N792">
        <v>5</v>
      </c>
      <c r="O792" t="str">
        <f>IF(datos_limpios[[#This Row],[Seating Capacity ]]&gt;4,"SI","NO")</f>
        <v>SI</v>
      </c>
      <c r="P792">
        <v>60</v>
      </c>
    </row>
    <row r="793" spans="1:16" x14ac:dyDescent="0.3">
      <c r="A793" s="8" t="s">
        <v>154</v>
      </c>
      <c r="B793" s="8" t="s">
        <v>1137</v>
      </c>
      <c r="C793" s="9">
        <v>792</v>
      </c>
      <c r="D793" s="3">
        <v>1750000</v>
      </c>
      <c r="E793" s="1">
        <f>datos_limpios[[#This Row],[Price INR   ]]*0.011</f>
        <v>19250</v>
      </c>
      <c r="F793" s="13">
        <v>2019</v>
      </c>
      <c r="G793" s="2">
        <v>57000</v>
      </c>
      <c r="H793" s="8" t="s">
        <v>12</v>
      </c>
      <c r="I793" s="8" t="s">
        <v>40</v>
      </c>
      <c r="J793" s="8" t="s">
        <v>77</v>
      </c>
      <c r="K793" t="s">
        <v>496</v>
      </c>
      <c r="L793" t="s">
        <v>497</v>
      </c>
      <c r="M793" s="2">
        <f>VALUE(MID(L793,1,FIND("@",L793)-6))</f>
        <v>160</v>
      </c>
      <c r="N793">
        <v>5</v>
      </c>
      <c r="O793" t="str">
        <f>IF(datos_limpios[[#This Row],[Seating Capacity ]]&gt;4,"SI","NO")</f>
        <v>SI</v>
      </c>
      <c r="P793">
        <v>60</v>
      </c>
    </row>
    <row r="794" spans="1:16" x14ac:dyDescent="0.3">
      <c r="A794" s="8" t="s">
        <v>154</v>
      </c>
      <c r="B794" s="8" t="s">
        <v>399</v>
      </c>
      <c r="C794" s="9">
        <v>793</v>
      </c>
      <c r="D794" s="3">
        <v>1900000</v>
      </c>
      <c r="E794" s="1">
        <f>datos_limpios[[#This Row],[Price INR   ]]*0.011</f>
        <v>20900</v>
      </c>
      <c r="F794" s="13">
        <v>2020</v>
      </c>
      <c r="G794" s="2">
        <v>41736</v>
      </c>
      <c r="H794" s="8" t="s">
        <v>19</v>
      </c>
      <c r="I794" s="8" t="s">
        <v>40</v>
      </c>
      <c r="J794" s="8" t="s">
        <v>14</v>
      </c>
      <c r="K794" t="s">
        <v>63</v>
      </c>
      <c r="L794" t="s">
        <v>156</v>
      </c>
      <c r="M794" s="2">
        <f>VALUE(MID(L794,1,FIND("@",L794)-6))</f>
        <v>171</v>
      </c>
      <c r="N794">
        <v>5</v>
      </c>
      <c r="O794" t="str">
        <f>IF(datos_limpios[[#This Row],[Seating Capacity ]]&gt;4,"SI","NO")</f>
        <v>SI</v>
      </c>
      <c r="P794">
        <v>60</v>
      </c>
    </row>
    <row r="795" spans="1:16" x14ac:dyDescent="0.3">
      <c r="A795" s="8" t="s">
        <v>154</v>
      </c>
      <c r="B795" s="8" t="s">
        <v>1424</v>
      </c>
      <c r="C795" s="9">
        <v>794</v>
      </c>
      <c r="D795" s="3">
        <v>2275000</v>
      </c>
      <c r="E795" s="1">
        <f>datos_limpios[[#This Row],[Price INR   ]]*0.011</f>
        <v>25025</v>
      </c>
      <c r="F795" s="13">
        <v>2022</v>
      </c>
      <c r="G795" s="2">
        <v>2000</v>
      </c>
      <c r="H795" s="8" t="s">
        <v>12</v>
      </c>
      <c r="I795" s="8" t="s">
        <v>40</v>
      </c>
      <c r="J795" s="8" t="s">
        <v>288</v>
      </c>
      <c r="K795" t="s">
        <v>496</v>
      </c>
      <c r="L795" t="s">
        <v>1101</v>
      </c>
      <c r="M795" s="2">
        <f>VALUE(MID(L795,1,FIND("@",L795)-6))</f>
        <v>161</v>
      </c>
      <c r="N795">
        <v>5</v>
      </c>
      <c r="O795" t="str">
        <f>IF(datos_limpios[[#This Row],[Seating Capacity ]]&gt;4,"SI","NO")</f>
        <v>SI</v>
      </c>
      <c r="P795">
        <v>60</v>
      </c>
    </row>
    <row r="796" spans="1:16" x14ac:dyDescent="0.3">
      <c r="A796" s="8" t="s">
        <v>154</v>
      </c>
      <c r="B796" s="8" t="s">
        <v>155</v>
      </c>
      <c r="C796" s="9">
        <v>795</v>
      </c>
      <c r="D796" s="3">
        <v>2475000</v>
      </c>
      <c r="E796" s="1">
        <f>datos_limpios[[#This Row],[Price INR   ]]*0.011</f>
        <v>27225</v>
      </c>
      <c r="F796" s="13">
        <v>2020</v>
      </c>
      <c r="G796" s="2">
        <v>11293</v>
      </c>
      <c r="H796" s="8" t="s">
        <v>19</v>
      </c>
      <c r="I796" s="8" t="s">
        <v>40</v>
      </c>
      <c r="J796" s="8" t="s">
        <v>20</v>
      </c>
      <c r="K796" t="s">
        <v>63</v>
      </c>
      <c r="L796" t="s">
        <v>156</v>
      </c>
      <c r="M796" s="2">
        <f>VALUE(MID(L796,1,FIND("@",L796)-6))</f>
        <v>171</v>
      </c>
      <c r="N796">
        <v>5</v>
      </c>
      <c r="O796" t="str">
        <f>IF(datos_limpios[[#This Row],[Seating Capacity ]]&gt;4,"SI","NO")</f>
        <v>SI</v>
      </c>
      <c r="P796">
        <v>60</v>
      </c>
    </row>
    <row r="797" spans="1:16" x14ac:dyDescent="0.3">
      <c r="A797" s="8" t="s">
        <v>154</v>
      </c>
      <c r="B797" s="8" t="s">
        <v>1100</v>
      </c>
      <c r="C797" s="9">
        <v>796</v>
      </c>
      <c r="D797" s="3">
        <v>2700000</v>
      </c>
      <c r="E797" s="1">
        <f>datos_limpios[[#This Row],[Price INR   ]]*0.011</f>
        <v>29700</v>
      </c>
      <c r="F797" s="13">
        <v>2021</v>
      </c>
      <c r="G797" s="2">
        <v>17000</v>
      </c>
      <c r="H797" s="8" t="s">
        <v>12</v>
      </c>
      <c r="I797" s="8" t="s">
        <v>40</v>
      </c>
      <c r="J797" s="8" t="s">
        <v>57</v>
      </c>
      <c r="K797" t="s">
        <v>496</v>
      </c>
      <c r="L797" t="s">
        <v>1101</v>
      </c>
      <c r="M797" s="2">
        <f>VALUE(MID(L797,1,FIND("@",L797)-6))</f>
        <v>161</v>
      </c>
      <c r="N797">
        <v>5</v>
      </c>
      <c r="O797" t="str">
        <f>IF(datos_limpios[[#This Row],[Seating Capacity ]]&gt;4,"SI","NO")</f>
        <v>SI</v>
      </c>
      <c r="P797">
        <v>60</v>
      </c>
    </row>
    <row r="798" spans="1:16" x14ac:dyDescent="0.3">
      <c r="A798" s="8" t="s">
        <v>154</v>
      </c>
      <c r="B798" s="8" t="s">
        <v>795</v>
      </c>
      <c r="C798" s="9">
        <v>797</v>
      </c>
      <c r="D798" s="3">
        <v>2950000</v>
      </c>
      <c r="E798" s="1">
        <f>datos_limpios[[#This Row],[Price INR   ]]*0.011</f>
        <v>32449.999999999996</v>
      </c>
      <c r="F798" s="13">
        <v>2021</v>
      </c>
      <c r="G798" s="2">
        <v>38000</v>
      </c>
      <c r="H798" s="8" t="s">
        <v>19</v>
      </c>
      <c r="I798" s="8" t="s">
        <v>40</v>
      </c>
      <c r="J798" s="8" t="s">
        <v>20</v>
      </c>
      <c r="K798" t="s">
        <v>63</v>
      </c>
      <c r="L798" t="s">
        <v>257</v>
      </c>
      <c r="M798" s="2">
        <f>VALUE(MID(L798,1,FIND("@",L798)-6))</f>
        <v>168</v>
      </c>
      <c r="N798">
        <v>5</v>
      </c>
      <c r="O798" t="str">
        <f>IF(datos_limpios[[#This Row],[Seating Capacity ]]&gt;4,"SI","NO")</f>
        <v>SI</v>
      </c>
      <c r="P798">
        <v>60</v>
      </c>
    </row>
    <row r="799" spans="1:16" x14ac:dyDescent="0.3">
      <c r="A799" s="8" t="s">
        <v>154</v>
      </c>
      <c r="B799" s="8" t="s">
        <v>1288</v>
      </c>
      <c r="C799" s="9">
        <v>798</v>
      </c>
      <c r="D799" s="3">
        <v>6100000</v>
      </c>
      <c r="E799" s="1">
        <f>datos_limpios[[#This Row],[Price INR   ]]*0.011</f>
        <v>67100</v>
      </c>
      <c r="F799" s="13">
        <v>2022</v>
      </c>
      <c r="G799" s="2">
        <v>15000</v>
      </c>
      <c r="H799" s="8" t="s">
        <v>12</v>
      </c>
      <c r="I799" s="8" t="s">
        <v>40</v>
      </c>
      <c r="J799" s="8" t="s">
        <v>30</v>
      </c>
      <c r="K799" t="s">
        <v>41</v>
      </c>
      <c r="L799" t="s">
        <v>1289</v>
      </c>
      <c r="M799" s="2">
        <f>VALUE(MID(L799,1,FIND("@",L799)-6))</f>
        <v>268</v>
      </c>
      <c r="N799">
        <v>5</v>
      </c>
      <c r="O799" t="str">
        <f>IF(datos_limpios[[#This Row],[Seating Capacity ]]&gt;4,"SI","NO")</f>
        <v>SI</v>
      </c>
      <c r="P799">
        <v>81</v>
      </c>
    </row>
    <row r="800" spans="1:16" x14ac:dyDescent="0.3">
      <c r="A800" s="8" t="s">
        <v>290</v>
      </c>
      <c r="B800" s="8" t="s">
        <v>327</v>
      </c>
      <c r="C800" s="9">
        <v>799</v>
      </c>
      <c r="D800" s="3">
        <v>1055000</v>
      </c>
      <c r="E800" s="1">
        <f>datos_limpios[[#This Row],[Price INR   ]]*0.011</f>
        <v>11605</v>
      </c>
      <c r="F800" s="13">
        <v>2020</v>
      </c>
      <c r="G800" s="2">
        <v>15000</v>
      </c>
      <c r="H800" s="8" t="s">
        <v>12</v>
      </c>
      <c r="I800" s="8" t="s">
        <v>40</v>
      </c>
      <c r="J800" s="8" t="s">
        <v>131</v>
      </c>
      <c r="K800" t="s">
        <v>69</v>
      </c>
      <c r="L800" t="s">
        <v>87</v>
      </c>
      <c r="M800" s="2">
        <f>VALUE(MID(L800,1,FIND("@",L800)-6))</f>
        <v>118</v>
      </c>
      <c r="N800">
        <v>5</v>
      </c>
      <c r="O800" t="str">
        <f>IF(datos_limpios[[#This Row],[Seating Capacity ]]&gt;4,"SI","NO")</f>
        <v>SI</v>
      </c>
      <c r="P800">
        <v>45</v>
      </c>
    </row>
    <row r="801" spans="1:16" x14ac:dyDescent="0.3">
      <c r="A801" s="8" t="s">
        <v>290</v>
      </c>
      <c r="B801" s="8" t="s">
        <v>720</v>
      </c>
      <c r="C801" s="9">
        <v>800</v>
      </c>
      <c r="D801" s="3">
        <v>1195000</v>
      </c>
      <c r="E801" s="1">
        <f>datos_limpios[[#This Row],[Price INR   ]]*0.011</f>
        <v>13145</v>
      </c>
      <c r="F801" s="13">
        <v>2022</v>
      </c>
      <c r="G801" s="2">
        <v>6200</v>
      </c>
      <c r="H801" s="8" t="s">
        <v>12</v>
      </c>
      <c r="I801" s="8" t="s">
        <v>13</v>
      </c>
      <c r="J801" s="8" t="s">
        <v>30</v>
      </c>
      <c r="K801" t="s">
        <v>69</v>
      </c>
      <c r="L801" t="s">
        <v>87</v>
      </c>
      <c r="M801" s="2">
        <f>VALUE(MID(L801,1,FIND("@",L801)-6))</f>
        <v>118</v>
      </c>
      <c r="N801">
        <v>5</v>
      </c>
      <c r="O801" t="str">
        <f>IF(datos_limpios[[#This Row],[Seating Capacity ]]&gt;4,"SI","NO")</f>
        <v>SI</v>
      </c>
      <c r="P801">
        <v>45</v>
      </c>
    </row>
    <row r="802" spans="1:16" x14ac:dyDescent="0.3">
      <c r="A802" s="8" t="s">
        <v>290</v>
      </c>
      <c r="B802" s="8" t="s">
        <v>733</v>
      </c>
      <c r="C802" s="9">
        <v>801</v>
      </c>
      <c r="D802" s="3">
        <v>1275000</v>
      </c>
      <c r="E802" s="1">
        <f>datos_limpios[[#This Row],[Price INR   ]]*0.011</f>
        <v>14025</v>
      </c>
      <c r="F802" s="13">
        <v>2020</v>
      </c>
      <c r="G802" s="2">
        <v>42000</v>
      </c>
      <c r="H802" s="8" t="s">
        <v>12</v>
      </c>
      <c r="I802" s="8" t="s">
        <v>13</v>
      </c>
      <c r="J802" s="8" t="s">
        <v>101</v>
      </c>
      <c r="K802" t="s">
        <v>165</v>
      </c>
      <c r="L802" t="s">
        <v>583</v>
      </c>
      <c r="M802" s="2">
        <f>VALUE(MID(L802,1,FIND("@",L802)-6))</f>
        <v>113</v>
      </c>
      <c r="N802">
        <v>5</v>
      </c>
      <c r="O802" t="str">
        <f>IF(datos_limpios[[#This Row],[Seating Capacity ]]&gt;4,"SI","NO")</f>
        <v>SI</v>
      </c>
      <c r="P802">
        <v>50</v>
      </c>
    </row>
    <row r="803" spans="1:16" x14ac:dyDescent="0.3">
      <c r="A803" s="8" t="s">
        <v>290</v>
      </c>
      <c r="B803" s="8" t="s">
        <v>1205</v>
      </c>
      <c r="C803" s="9">
        <v>802</v>
      </c>
      <c r="D803" s="3">
        <v>1275000</v>
      </c>
      <c r="E803" s="1">
        <f>datos_limpios[[#This Row],[Price INR   ]]*0.011</f>
        <v>14025</v>
      </c>
      <c r="F803" s="13">
        <v>2021</v>
      </c>
      <c r="G803" s="2">
        <v>30000</v>
      </c>
      <c r="H803" s="8" t="s">
        <v>19</v>
      </c>
      <c r="I803" s="8" t="s">
        <v>40</v>
      </c>
      <c r="J803" s="8" t="s">
        <v>20</v>
      </c>
      <c r="K803" t="s">
        <v>184</v>
      </c>
      <c r="L803" t="s">
        <v>292</v>
      </c>
      <c r="M803" s="2">
        <f>VALUE(MID(L803,1,FIND("@",L803)-6))</f>
        <v>113</v>
      </c>
      <c r="N803">
        <v>5</v>
      </c>
      <c r="O803" t="str">
        <f>IF(datos_limpios[[#This Row],[Seating Capacity ]]&gt;4,"SI","NO")</f>
        <v>SI</v>
      </c>
      <c r="P803">
        <v>50</v>
      </c>
    </row>
    <row r="804" spans="1:16" x14ac:dyDescent="0.3">
      <c r="A804" s="8" t="s">
        <v>290</v>
      </c>
      <c r="B804" s="8" t="s">
        <v>1376</v>
      </c>
      <c r="C804" s="9">
        <v>803</v>
      </c>
      <c r="D804" s="3">
        <v>1300000</v>
      </c>
      <c r="E804" s="1">
        <f>datos_limpios[[#This Row],[Price INR   ]]*0.011</f>
        <v>14300</v>
      </c>
      <c r="F804" s="13">
        <v>2020</v>
      </c>
      <c r="G804" s="2">
        <v>27000</v>
      </c>
      <c r="H804" s="8" t="s">
        <v>19</v>
      </c>
      <c r="I804" s="8" t="s">
        <v>13</v>
      </c>
      <c r="J804" s="8" t="s">
        <v>77</v>
      </c>
      <c r="K804" t="s">
        <v>184</v>
      </c>
      <c r="L804" t="s">
        <v>292</v>
      </c>
      <c r="M804" s="2">
        <f>VALUE(MID(L804,1,FIND("@",L804)-6))</f>
        <v>113</v>
      </c>
      <c r="N804">
        <v>5</v>
      </c>
      <c r="O804" t="str">
        <f>IF(datos_limpios[[#This Row],[Seating Capacity ]]&gt;4,"SI","NO")</f>
        <v>SI</v>
      </c>
      <c r="P804">
        <v>50</v>
      </c>
    </row>
    <row r="805" spans="1:16" x14ac:dyDescent="0.3">
      <c r="A805" s="8" t="s">
        <v>290</v>
      </c>
      <c r="B805" s="8" t="s">
        <v>720</v>
      </c>
      <c r="C805" s="9">
        <v>804</v>
      </c>
      <c r="D805" s="3">
        <v>1325000</v>
      </c>
      <c r="E805" s="1">
        <f>datos_limpios[[#This Row],[Price INR   ]]*0.011</f>
        <v>14575</v>
      </c>
      <c r="F805" s="13">
        <v>2021</v>
      </c>
      <c r="G805" s="2">
        <v>20000</v>
      </c>
      <c r="H805" s="8" t="s">
        <v>12</v>
      </c>
      <c r="I805" s="8" t="s">
        <v>13</v>
      </c>
      <c r="J805" s="8" t="s">
        <v>25</v>
      </c>
      <c r="K805" t="s">
        <v>69</v>
      </c>
      <c r="L805" t="s">
        <v>87</v>
      </c>
      <c r="M805" s="2">
        <f>VALUE(MID(L805,1,FIND("@",L805)-6))</f>
        <v>118</v>
      </c>
      <c r="N805">
        <v>5</v>
      </c>
      <c r="O805" t="str">
        <f>IF(datos_limpios[[#This Row],[Seating Capacity ]]&gt;4,"SI","NO")</f>
        <v>SI</v>
      </c>
      <c r="P805">
        <v>45</v>
      </c>
    </row>
    <row r="806" spans="1:16" x14ac:dyDescent="0.3">
      <c r="A806" s="8" t="s">
        <v>290</v>
      </c>
      <c r="B806" s="8" t="s">
        <v>291</v>
      </c>
      <c r="C806" s="9">
        <v>805</v>
      </c>
      <c r="D806" s="3">
        <v>1350000</v>
      </c>
      <c r="E806" s="1">
        <f>datos_limpios[[#This Row],[Price INR   ]]*0.011</f>
        <v>14850</v>
      </c>
      <c r="F806" s="13">
        <v>2019</v>
      </c>
      <c r="G806" s="2">
        <v>79000</v>
      </c>
      <c r="H806" s="8" t="s">
        <v>19</v>
      </c>
      <c r="I806" s="8" t="s">
        <v>13</v>
      </c>
      <c r="J806" s="8" t="s">
        <v>14</v>
      </c>
      <c r="K806" t="s">
        <v>184</v>
      </c>
      <c r="L806" t="s">
        <v>292</v>
      </c>
      <c r="M806" s="2">
        <f>VALUE(MID(L806,1,FIND("@",L806)-6))</f>
        <v>113</v>
      </c>
      <c r="N806">
        <v>5</v>
      </c>
      <c r="O806" t="str">
        <f>IF(datos_limpios[[#This Row],[Seating Capacity ]]&gt;4,"SI","NO")</f>
        <v>SI</v>
      </c>
      <c r="P806">
        <v>50</v>
      </c>
    </row>
    <row r="807" spans="1:16" x14ac:dyDescent="0.3">
      <c r="A807" s="8" t="s">
        <v>290</v>
      </c>
      <c r="B807" s="8" t="s">
        <v>733</v>
      </c>
      <c r="C807" s="9">
        <v>806</v>
      </c>
      <c r="D807" s="3">
        <v>1399000</v>
      </c>
      <c r="E807" s="1">
        <f>datos_limpios[[#This Row],[Price INR   ]]*0.011</f>
        <v>15389</v>
      </c>
      <c r="F807" s="13">
        <v>2021</v>
      </c>
      <c r="G807" s="2">
        <v>11000</v>
      </c>
      <c r="H807" s="8" t="s">
        <v>12</v>
      </c>
      <c r="I807" s="8" t="s">
        <v>13</v>
      </c>
      <c r="J807" s="8" t="s">
        <v>77</v>
      </c>
      <c r="K807" t="s">
        <v>165</v>
      </c>
      <c r="L807" t="s">
        <v>583</v>
      </c>
      <c r="M807" s="2">
        <f>VALUE(MID(L807,1,FIND("@",L807)-6))</f>
        <v>113</v>
      </c>
      <c r="N807">
        <v>5</v>
      </c>
      <c r="O807" t="str">
        <f>IF(datos_limpios[[#This Row],[Seating Capacity ]]&gt;4,"SI","NO")</f>
        <v>SI</v>
      </c>
      <c r="P807">
        <v>50</v>
      </c>
    </row>
    <row r="808" spans="1:16" x14ac:dyDescent="0.3">
      <c r="A808" s="8" t="s">
        <v>290</v>
      </c>
      <c r="B808" s="8" t="s">
        <v>1089</v>
      </c>
      <c r="C808" s="9">
        <v>807</v>
      </c>
      <c r="D808" s="3">
        <v>1475000</v>
      </c>
      <c r="E808" s="1">
        <f>datos_limpios[[#This Row],[Price INR   ]]*0.011</f>
        <v>16224.999999999998</v>
      </c>
      <c r="F808" s="13">
        <v>2022</v>
      </c>
      <c r="G808" s="2">
        <v>9500</v>
      </c>
      <c r="H808" s="8" t="s">
        <v>12</v>
      </c>
      <c r="I808" s="8" t="s">
        <v>13</v>
      </c>
      <c r="J808" s="8" t="s">
        <v>20</v>
      </c>
      <c r="K808" t="s">
        <v>165</v>
      </c>
      <c r="L808" t="s">
        <v>583</v>
      </c>
      <c r="M808" s="2">
        <f>VALUE(MID(L808,1,FIND("@",L808)-6))</f>
        <v>113</v>
      </c>
      <c r="N808">
        <v>5</v>
      </c>
      <c r="O808" t="str">
        <f>IF(datos_limpios[[#This Row],[Seating Capacity ]]&gt;4,"SI","NO")</f>
        <v>SI</v>
      </c>
      <c r="P808">
        <v>50</v>
      </c>
    </row>
    <row r="809" spans="1:16" x14ac:dyDescent="0.3">
      <c r="A809" s="8" t="s">
        <v>290</v>
      </c>
      <c r="B809" s="8" t="s">
        <v>375</v>
      </c>
      <c r="C809" s="9">
        <v>808</v>
      </c>
      <c r="D809" s="3">
        <v>1485000</v>
      </c>
      <c r="E809" s="1">
        <f>datos_limpios[[#This Row],[Price INR   ]]*0.011</f>
        <v>16334.999999999998</v>
      </c>
      <c r="F809" s="13">
        <v>2021</v>
      </c>
      <c r="G809" s="2">
        <v>13000</v>
      </c>
      <c r="H809" s="8" t="s">
        <v>19</v>
      </c>
      <c r="I809" s="8" t="s">
        <v>40</v>
      </c>
      <c r="J809" s="8" t="s">
        <v>30</v>
      </c>
      <c r="K809" t="s">
        <v>184</v>
      </c>
      <c r="L809" t="s">
        <v>292</v>
      </c>
      <c r="M809" s="2">
        <f>VALUE(MID(L809,1,FIND("@",L809)-6))</f>
        <v>113</v>
      </c>
      <c r="N809">
        <v>5</v>
      </c>
      <c r="O809" t="str">
        <f>IF(datos_limpios[[#This Row],[Seating Capacity ]]&gt;4,"SI","NO")</f>
        <v>SI</v>
      </c>
      <c r="P809">
        <v>45</v>
      </c>
    </row>
    <row r="810" spans="1:16" x14ac:dyDescent="0.3">
      <c r="A810" s="8" t="s">
        <v>290</v>
      </c>
      <c r="B810" s="8" t="s">
        <v>508</v>
      </c>
      <c r="C810" s="9">
        <v>809</v>
      </c>
      <c r="D810" s="3">
        <v>1490000</v>
      </c>
      <c r="E810" s="1">
        <f>datos_limpios[[#This Row],[Price INR   ]]*0.011</f>
        <v>16390</v>
      </c>
      <c r="F810" s="13">
        <v>2019</v>
      </c>
      <c r="G810" s="2">
        <v>57600</v>
      </c>
      <c r="H810" s="8" t="s">
        <v>12</v>
      </c>
      <c r="I810" s="8" t="s">
        <v>40</v>
      </c>
      <c r="J810" s="8" t="s">
        <v>20</v>
      </c>
      <c r="K810" t="s">
        <v>263</v>
      </c>
      <c r="L810" t="s">
        <v>264</v>
      </c>
      <c r="M810" s="2">
        <f>VALUE(MID(L810,1,FIND("@",L810)-6))</f>
        <v>138</v>
      </c>
      <c r="N810">
        <v>5</v>
      </c>
      <c r="O810" t="str">
        <f>IF(datos_limpios[[#This Row],[Seating Capacity ]]&gt;4,"SI","NO")</f>
        <v>SI</v>
      </c>
      <c r="P810">
        <v>50</v>
      </c>
    </row>
    <row r="811" spans="1:16" x14ac:dyDescent="0.3">
      <c r="A811" s="8" t="s">
        <v>290</v>
      </c>
      <c r="B811" s="8" t="s">
        <v>375</v>
      </c>
      <c r="C811" s="9">
        <v>810</v>
      </c>
      <c r="D811" s="3">
        <v>1499000</v>
      </c>
      <c r="E811" s="1">
        <f>datos_limpios[[#This Row],[Price INR   ]]*0.011</f>
        <v>16489</v>
      </c>
      <c r="F811" s="13">
        <v>2021</v>
      </c>
      <c r="G811" s="2">
        <v>22000</v>
      </c>
      <c r="H811" s="8" t="s">
        <v>19</v>
      </c>
      <c r="I811" s="8" t="s">
        <v>40</v>
      </c>
      <c r="J811" s="8" t="s">
        <v>30</v>
      </c>
      <c r="K811" t="s">
        <v>184</v>
      </c>
      <c r="L811" t="s">
        <v>292</v>
      </c>
      <c r="M811" s="2">
        <f>VALUE(MID(L811,1,FIND("@",L811)-6))</f>
        <v>113</v>
      </c>
      <c r="N811">
        <v>5</v>
      </c>
      <c r="O811" t="str">
        <f>IF(datos_limpios[[#This Row],[Seating Capacity ]]&gt;4,"SI","NO")</f>
        <v>SI</v>
      </c>
      <c r="P811">
        <v>45</v>
      </c>
    </row>
    <row r="812" spans="1:16" x14ac:dyDescent="0.3">
      <c r="A812" s="8" t="s">
        <v>290</v>
      </c>
      <c r="B812" s="8" t="s">
        <v>665</v>
      </c>
      <c r="C812" s="9">
        <v>811</v>
      </c>
      <c r="D812" s="3">
        <v>1525000</v>
      </c>
      <c r="E812" s="1">
        <f>datos_limpios[[#This Row],[Price INR   ]]*0.011</f>
        <v>16775</v>
      </c>
      <c r="F812" s="13">
        <v>2021</v>
      </c>
      <c r="G812" s="2">
        <v>14000</v>
      </c>
      <c r="H812" s="8" t="s">
        <v>12</v>
      </c>
      <c r="I812" s="8" t="s">
        <v>13</v>
      </c>
      <c r="J812" s="8" t="s">
        <v>101</v>
      </c>
      <c r="K812" t="s">
        <v>165</v>
      </c>
      <c r="L812" t="s">
        <v>666</v>
      </c>
      <c r="M812" s="2">
        <f>VALUE(MID(L812,1,FIND("@",L812)-6))</f>
        <v>114</v>
      </c>
      <c r="N812">
        <v>5</v>
      </c>
      <c r="O812" t="str">
        <f>IF(datos_limpios[[#This Row],[Seating Capacity ]]&gt;4,"SI","NO")</f>
        <v>SI</v>
      </c>
      <c r="P812">
        <v>50</v>
      </c>
    </row>
    <row r="813" spans="1:16" x14ac:dyDescent="0.3">
      <c r="A813" s="8" t="s">
        <v>290</v>
      </c>
      <c r="B813" s="8" t="s">
        <v>763</v>
      </c>
      <c r="C813" s="9">
        <v>812</v>
      </c>
      <c r="D813" s="3">
        <v>1550000</v>
      </c>
      <c r="E813" s="1">
        <f>datos_limpios[[#This Row],[Price INR   ]]*0.011</f>
        <v>17050</v>
      </c>
      <c r="F813" s="13">
        <v>2019</v>
      </c>
      <c r="G813" s="2">
        <v>17000</v>
      </c>
      <c r="H813" s="8" t="s">
        <v>12</v>
      </c>
      <c r="I813" s="8" t="s">
        <v>13</v>
      </c>
      <c r="J813" s="8" t="s">
        <v>20</v>
      </c>
      <c r="K813" t="s">
        <v>263</v>
      </c>
      <c r="L813" t="s">
        <v>264</v>
      </c>
      <c r="M813" s="2">
        <f>VALUE(MID(L813,1,FIND("@",L813)-6))</f>
        <v>138</v>
      </c>
      <c r="N813">
        <v>5</v>
      </c>
      <c r="O813" t="str">
        <f>IF(datos_limpios[[#This Row],[Seating Capacity ]]&gt;4,"SI","NO")</f>
        <v>SI</v>
      </c>
      <c r="P813">
        <v>50</v>
      </c>
    </row>
    <row r="814" spans="1:16" x14ac:dyDescent="0.3">
      <c r="A814" s="8" t="s">
        <v>290</v>
      </c>
      <c r="B814" s="8" t="s">
        <v>291</v>
      </c>
      <c r="C814" s="9">
        <v>813</v>
      </c>
      <c r="D814" s="3">
        <v>1575000</v>
      </c>
      <c r="E814" s="1">
        <f>datos_limpios[[#This Row],[Price INR   ]]*0.011</f>
        <v>17325</v>
      </c>
      <c r="F814" s="13">
        <v>2019</v>
      </c>
      <c r="G814" s="2">
        <v>55000</v>
      </c>
      <c r="H814" s="8" t="s">
        <v>19</v>
      </c>
      <c r="I814" s="8" t="s">
        <v>13</v>
      </c>
      <c r="J814" s="8" t="s">
        <v>77</v>
      </c>
      <c r="K814" t="s">
        <v>184</v>
      </c>
      <c r="L814" t="s">
        <v>292</v>
      </c>
      <c r="M814" s="2">
        <f>VALUE(MID(L814,1,FIND("@",L814)-6))</f>
        <v>113</v>
      </c>
      <c r="N814">
        <v>5</v>
      </c>
      <c r="O814" t="str">
        <f>IF(datos_limpios[[#This Row],[Seating Capacity ]]&gt;4,"SI","NO")</f>
        <v>SI</v>
      </c>
      <c r="P814">
        <v>50</v>
      </c>
    </row>
    <row r="815" spans="1:16" x14ac:dyDescent="0.3">
      <c r="A815" s="8" t="s">
        <v>290</v>
      </c>
      <c r="B815" s="8" t="s">
        <v>1205</v>
      </c>
      <c r="C815" s="9">
        <v>814</v>
      </c>
      <c r="D815" s="3">
        <v>1575000</v>
      </c>
      <c r="E815" s="1">
        <f>datos_limpios[[#This Row],[Price INR   ]]*0.011</f>
        <v>17325</v>
      </c>
      <c r="F815" s="13">
        <v>2020</v>
      </c>
      <c r="G815" s="2">
        <v>63000</v>
      </c>
      <c r="H815" s="8" t="s">
        <v>19</v>
      </c>
      <c r="I815" s="8" t="s">
        <v>40</v>
      </c>
      <c r="J815" s="8" t="s">
        <v>20</v>
      </c>
      <c r="K815" t="s">
        <v>184</v>
      </c>
      <c r="L815" t="s">
        <v>292</v>
      </c>
      <c r="M815" s="2">
        <f>VALUE(MID(L815,1,FIND("@",L815)-6))</f>
        <v>113</v>
      </c>
      <c r="N815">
        <v>5</v>
      </c>
      <c r="O815" t="str">
        <f>IF(datos_limpios[[#This Row],[Seating Capacity ]]&gt;4,"SI","NO")</f>
        <v>SI</v>
      </c>
      <c r="P815">
        <v>50</v>
      </c>
    </row>
    <row r="816" spans="1:16" x14ac:dyDescent="0.3">
      <c r="A816" s="8" t="s">
        <v>290</v>
      </c>
      <c r="B816" s="8" t="s">
        <v>508</v>
      </c>
      <c r="C816" s="9">
        <v>815</v>
      </c>
      <c r="D816" s="3">
        <v>1625000</v>
      </c>
      <c r="E816" s="1">
        <f>datos_limpios[[#This Row],[Price INR   ]]*0.011</f>
        <v>17875</v>
      </c>
      <c r="F816" s="13">
        <v>2021</v>
      </c>
      <c r="G816" s="2">
        <v>16000</v>
      </c>
      <c r="H816" s="8" t="s">
        <v>12</v>
      </c>
      <c r="I816" s="8" t="s">
        <v>40</v>
      </c>
      <c r="J816" s="8" t="s">
        <v>30</v>
      </c>
      <c r="K816" t="s">
        <v>263</v>
      </c>
      <c r="L816" t="s">
        <v>264</v>
      </c>
      <c r="M816" s="2">
        <f>VALUE(MID(L816,1,FIND("@",L816)-6))</f>
        <v>138</v>
      </c>
      <c r="N816">
        <v>5</v>
      </c>
      <c r="O816" t="str">
        <f>IF(datos_limpios[[#This Row],[Seating Capacity ]]&gt;4,"SI","NO")</f>
        <v>SI</v>
      </c>
      <c r="P816">
        <v>50</v>
      </c>
    </row>
    <row r="817" spans="1:16" x14ac:dyDescent="0.3">
      <c r="A817" s="8" t="s">
        <v>290</v>
      </c>
      <c r="B817" s="8" t="s">
        <v>966</v>
      </c>
      <c r="C817" s="9">
        <v>816</v>
      </c>
      <c r="D817" s="3">
        <v>1650000</v>
      </c>
      <c r="E817" s="1">
        <f>datos_limpios[[#This Row],[Price INR   ]]*0.011</f>
        <v>18150</v>
      </c>
      <c r="F817" s="13">
        <v>2021</v>
      </c>
      <c r="G817" s="2">
        <v>12000</v>
      </c>
      <c r="H817" s="8" t="s">
        <v>19</v>
      </c>
      <c r="I817" s="8" t="s">
        <v>13</v>
      </c>
      <c r="J817" s="8" t="s">
        <v>20</v>
      </c>
      <c r="K817" t="s">
        <v>184</v>
      </c>
      <c r="L817" t="s">
        <v>292</v>
      </c>
      <c r="M817" s="2">
        <f>VALUE(MID(L817,1,FIND("@",L817)-6))</f>
        <v>113</v>
      </c>
      <c r="N817">
        <v>5</v>
      </c>
      <c r="O817" t="str">
        <f>IF(datos_limpios[[#This Row],[Seating Capacity ]]&gt;4,"SI","NO")</f>
        <v>SI</v>
      </c>
      <c r="P817">
        <v>50</v>
      </c>
    </row>
    <row r="818" spans="1:16" x14ac:dyDescent="0.3">
      <c r="A818" s="8" t="s">
        <v>290</v>
      </c>
      <c r="B818" s="8" t="s">
        <v>580</v>
      </c>
      <c r="C818" s="9">
        <v>817</v>
      </c>
      <c r="D818" s="3">
        <v>1835000</v>
      </c>
      <c r="E818" s="1">
        <f>datos_limpios[[#This Row],[Price INR   ]]*0.011</f>
        <v>20185</v>
      </c>
      <c r="F818" s="13">
        <v>2020</v>
      </c>
      <c r="G818" s="2">
        <v>33828</v>
      </c>
      <c r="H818" s="8" t="s">
        <v>19</v>
      </c>
      <c r="I818" s="8" t="s">
        <v>40</v>
      </c>
      <c r="J818" s="8" t="s">
        <v>20</v>
      </c>
      <c r="K818" t="s">
        <v>184</v>
      </c>
      <c r="L818" t="s">
        <v>581</v>
      </c>
      <c r="M818" s="2">
        <f>VALUE(MID(L818,1,FIND("@",L818)-6))</f>
        <v>114</v>
      </c>
      <c r="N818">
        <v>5</v>
      </c>
      <c r="O818" t="str">
        <f>IF(datos_limpios[[#This Row],[Seating Capacity ]]&gt;4,"SI","NO")</f>
        <v>SI</v>
      </c>
      <c r="P818">
        <v>50</v>
      </c>
    </row>
    <row r="819" spans="1:16" x14ac:dyDescent="0.3">
      <c r="A819" s="8" t="s">
        <v>290</v>
      </c>
      <c r="B819" s="8" t="s">
        <v>1046</v>
      </c>
      <c r="C819" s="9">
        <v>818</v>
      </c>
      <c r="D819" s="3">
        <v>1850000</v>
      </c>
      <c r="E819" s="1">
        <f>datos_limpios[[#This Row],[Price INR   ]]*0.011</f>
        <v>20350</v>
      </c>
      <c r="F819" s="13">
        <v>2020</v>
      </c>
      <c r="G819" s="2">
        <v>7000</v>
      </c>
      <c r="H819" s="8" t="s">
        <v>12</v>
      </c>
      <c r="I819" s="8" t="s">
        <v>40</v>
      </c>
      <c r="J819" s="8" t="s">
        <v>101</v>
      </c>
      <c r="K819" t="s">
        <v>263</v>
      </c>
      <c r="L819" t="s">
        <v>264</v>
      </c>
      <c r="M819" s="2">
        <f>VALUE(MID(L819,1,FIND("@",L819)-6))</f>
        <v>138</v>
      </c>
      <c r="N819">
        <v>5</v>
      </c>
      <c r="O819" t="str">
        <f>IF(datos_limpios[[#This Row],[Seating Capacity ]]&gt;4,"SI","NO")</f>
        <v>SI</v>
      </c>
      <c r="P819">
        <v>50</v>
      </c>
    </row>
    <row r="820" spans="1:16" x14ac:dyDescent="0.3">
      <c r="A820" s="8" t="s">
        <v>290</v>
      </c>
      <c r="B820" s="8" t="s">
        <v>580</v>
      </c>
      <c r="C820" s="9">
        <v>819</v>
      </c>
      <c r="D820" s="3">
        <v>1875000</v>
      </c>
      <c r="E820" s="1">
        <f>datos_limpios[[#This Row],[Price INR   ]]*0.011</f>
        <v>20625</v>
      </c>
      <c r="F820" s="13">
        <v>2021</v>
      </c>
      <c r="G820" s="2">
        <v>21000</v>
      </c>
      <c r="H820" s="8" t="s">
        <v>19</v>
      </c>
      <c r="I820" s="8" t="s">
        <v>40</v>
      </c>
      <c r="J820" s="8" t="s">
        <v>14</v>
      </c>
      <c r="K820" t="s">
        <v>184</v>
      </c>
      <c r="L820" t="s">
        <v>581</v>
      </c>
      <c r="M820" s="2">
        <f>VALUE(MID(L820,1,FIND("@",L820)-6))</f>
        <v>114</v>
      </c>
      <c r="N820">
        <v>5</v>
      </c>
      <c r="O820" t="str">
        <f>IF(datos_limpios[[#This Row],[Seating Capacity ]]&gt;4,"SI","NO")</f>
        <v>SI</v>
      </c>
      <c r="P820">
        <v>50</v>
      </c>
    </row>
    <row r="821" spans="1:16" x14ac:dyDescent="0.3">
      <c r="A821" s="8" t="s">
        <v>290</v>
      </c>
      <c r="B821" s="8" t="s">
        <v>508</v>
      </c>
      <c r="C821" s="9">
        <v>820</v>
      </c>
      <c r="D821" s="3">
        <v>1975000</v>
      </c>
      <c r="E821" s="1">
        <f>datos_limpios[[#This Row],[Price INR   ]]*0.011</f>
        <v>21725</v>
      </c>
      <c r="F821" s="13">
        <v>2021</v>
      </c>
      <c r="G821" s="2">
        <v>7000</v>
      </c>
      <c r="H821" s="8" t="s">
        <v>12</v>
      </c>
      <c r="I821" s="8" t="s">
        <v>40</v>
      </c>
      <c r="J821" s="8" t="s">
        <v>14</v>
      </c>
      <c r="K821" t="s">
        <v>263</v>
      </c>
      <c r="L821" t="s">
        <v>264</v>
      </c>
      <c r="M821" s="2">
        <f>VALUE(MID(L821,1,FIND("@",L821)-6))</f>
        <v>138</v>
      </c>
      <c r="N821">
        <v>5</v>
      </c>
      <c r="O821" t="str">
        <f>IF(datos_limpios[[#This Row],[Seating Capacity ]]&gt;4,"SI","NO")</f>
        <v>SI</v>
      </c>
      <c r="P821">
        <v>50</v>
      </c>
    </row>
    <row r="822" spans="1:16" x14ac:dyDescent="0.3">
      <c r="A822" s="8" t="s">
        <v>290</v>
      </c>
      <c r="B822" s="8" t="s">
        <v>1182</v>
      </c>
      <c r="C822" s="9">
        <v>821</v>
      </c>
      <c r="D822" s="3">
        <v>2950000</v>
      </c>
      <c r="E822" s="1">
        <f>datos_limpios[[#This Row],[Price INR   ]]*0.011</f>
        <v>32449.999999999996</v>
      </c>
      <c r="F822" s="13">
        <v>2020</v>
      </c>
      <c r="G822" s="2">
        <v>72000</v>
      </c>
      <c r="H822" s="8" t="s">
        <v>19</v>
      </c>
      <c r="I822" s="8" t="s">
        <v>40</v>
      </c>
      <c r="J822" s="8" t="s">
        <v>20</v>
      </c>
      <c r="K822" t="s">
        <v>1002</v>
      </c>
      <c r="L822" t="s">
        <v>1183</v>
      </c>
      <c r="M822" s="2">
        <f>VALUE(MID(L822,1,FIND("@",L822)-6))</f>
        <v>197</v>
      </c>
      <c r="N822">
        <v>7</v>
      </c>
      <c r="O822" t="str">
        <f>IF(datos_limpios[[#This Row],[Seating Capacity ]]&gt;4,"SI","NO")</f>
        <v>SI</v>
      </c>
      <c r="P822">
        <v>60</v>
      </c>
    </row>
    <row r="823" spans="1:16" x14ac:dyDescent="0.3">
      <c r="A823" s="8" t="s">
        <v>299</v>
      </c>
      <c r="B823" s="8" t="s">
        <v>644</v>
      </c>
      <c r="C823" s="9">
        <v>822</v>
      </c>
      <c r="D823" s="3">
        <v>2150000</v>
      </c>
      <c r="E823" s="1">
        <f>datos_limpios[[#This Row],[Price INR   ]]*0.011</f>
        <v>23650</v>
      </c>
      <c r="F823" s="13">
        <v>2012</v>
      </c>
      <c r="G823" s="2">
        <v>95000</v>
      </c>
      <c r="H823" s="8" t="s">
        <v>19</v>
      </c>
      <c r="I823" s="8" t="s">
        <v>40</v>
      </c>
      <c r="J823" s="8" t="s">
        <v>20</v>
      </c>
      <c r="K823" t="s">
        <v>158</v>
      </c>
      <c r="L823" t="s">
        <v>645</v>
      </c>
      <c r="M823" s="2">
        <f>VALUE(MID(L823,1,FIND("@",L823)-6))</f>
        <v>190</v>
      </c>
      <c r="N823">
        <v>5</v>
      </c>
      <c r="O823" t="str">
        <f>IF(datos_limpios[[#This Row],[Seating Capacity ]]&gt;4,"SI","NO")</f>
        <v>SI</v>
      </c>
      <c r="P823">
        <v>57</v>
      </c>
    </row>
    <row r="824" spans="1:16" x14ac:dyDescent="0.3">
      <c r="A824" s="8" t="s">
        <v>299</v>
      </c>
      <c r="B824" s="8" t="s">
        <v>894</v>
      </c>
      <c r="C824" s="9">
        <v>823</v>
      </c>
      <c r="D824" s="3">
        <v>2300000</v>
      </c>
      <c r="E824" s="1">
        <f>datos_limpios[[#This Row],[Price INR   ]]*0.011</f>
        <v>25300</v>
      </c>
      <c r="F824" s="13">
        <v>2013</v>
      </c>
      <c r="G824" s="2">
        <v>110000</v>
      </c>
      <c r="H824" s="8" t="s">
        <v>19</v>
      </c>
      <c r="I824" s="8" t="s">
        <v>40</v>
      </c>
      <c r="J824" s="8" t="s">
        <v>30</v>
      </c>
      <c r="K824" t="s">
        <v>158</v>
      </c>
      <c r="L824" t="s">
        <v>645</v>
      </c>
      <c r="M824" s="2">
        <f>VALUE(MID(L824,1,FIND("@",L824)-6))</f>
        <v>190</v>
      </c>
      <c r="N824">
        <v>5</v>
      </c>
      <c r="O824" t="str">
        <f>IF(datos_limpios[[#This Row],[Seating Capacity ]]&gt;4,"SI","NO")</f>
        <v>SI</v>
      </c>
      <c r="P824">
        <v>57</v>
      </c>
    </row>
    <row r="825" spans="1:16" x14ac:dyDescent="0.3">
      <c r="A825" s="8" t="s">
        <v>299</v>
      </c>
      <c r="B825" s="8" t="s">
        <v>488</v>
      </c>
      <c r="C825" s="9">
        <v>824</v>
      </c>
      <c r="D825" s="3">
        <v>2499000</v>
      </c>
      <c r="E825" s="1">
        <f>datos_limpios[[#This Row],[Price INR   ]]*0.011</f>
        <v>27489</v>
      </c>
      <c r="F825" s="13">
        <v>2015</v>
      </c>
      <c r="G825" s="2">
        <v>50623</v>
      </c>
      <c r="H825" s="8" t="s">
        <v>19</v>
      </c>
      <c r="I825" s="8" t="s">
        <v>40</v>
      </c>
      <c r="J825" s="8" t="s">
        <v>131</v>
      </c>
      <c r="K825" t="s">
        <v>158</v>
      </c>
      <c r="L825" t="s">
        <v>489</v>
      </c>
      <c r="M825" s="2">
        <f>VALUE(MID(L825,1,FIND("@",L825)-6))</f>
        <v>188</v>
      </c>
      <c r="N825">
        <v>5</v>
      </c>
      <c r="O825" t="str">
        <f>IF(datos_limpios[[#This Row],[Seating Capacity ]]&gt;4,"SI","NO")</f>
        <v>SI</v>
      </c>
      <c r="P825">
        <v>57</v>
      </c>
    </row>
    <row r="826" spans="1:16" x14ac:dyDescent="0.3">
      <c r="A826" s="8" t="s">
        <v>299</v>
      </c>
      <c r="B826" s="8" t="s">
        <v>1016</v>
      </c>
      <c r="C826" s="9">
        <v>825</v>
      </c>
      <c r="D826" s="3">
        <v>2785000</v>
      </c>
      <c r="E826" s="1">
        <f>datos_limpios[[#This Row],[Price INR   ]]*0.011</f>
        <v>30635</v>
      </c>
      <c r="F826" s="13">
        <v>2016</v>
      </c>
      <c r="G826" s="2">
        <v>120000</v>
      </c>
      <c r="H826" s="8" t="s">
        <v>19</v>
      </c>
      <c r="I826" s="8" t="s">
        <v>40</v>
      </c>
      <c r="J826" s="8" t="s">
        <v>57</v>
      </c>
      <c r="K826" t="s">
        <v>359</v>
      </c>
      <c r="L826" t="s">
        <v>839</v>
      </c>
      <c r="M826" s="2">
        <f>VALUE(MID(L826,1,FIND("@",L826)-6))</f>
        <v>245</v>
      </c>
      <c r="N826">
        <v>7</v>
      </c>
      <c r="O826" t="str">
        <f>IF(datos_limpios[[#This Row],[Seating Capacity ]]&gt;4,"SI","NO")</f>
        <v>SI</v>
      </c>
      <c r="P826">
        <v>82</v>
      </c>
    </row>
    <row r="827" spans="1:16" x14ac:dyDescent="0.3">
      <c r="A827" s="8" t="s">
        <v>299</v>
      </c>
      <c r="B827" s="8" t="s">
        <v>881</v>
      </c>
      <c r="C827" s="9">
        <v>826</v>
      </c>
      <c r="D827" s="3">
        <v>3200000</v>
      </c>
      <c r="E827" s="1">
        <f>datos_limpios[[#This Row],[Price INR   ]]*0.011</f>
        <v>35200</v>
      </c>
      <c r="F827" s="13">
        <v>2016</v>
      </c>
      <c r="G827" s="2">
        <v>55000</v>
      </c>
      <c r="H827" s="8" t="s">
        <v>19</v>
      </c>
      <c r="I827" s="8" t="s">
        <v>40</v>
      </c>
      <c r="J827" s="8" t="s">
        <v>57</v>
      </c>
      <c r="K827" t="s">
        <v>301</v>
      </c>
      <c r="L827" t="s">
        <v>302</v>
      </c>
      <c r="M827" s="2">
        <f>VALUE(MID(L827,1,FIND("@",L827)-6))</f>
        <v>177</v>
      </c>
      <c r="N827">
        <v>7</v>
      </c>
      <c r="O827" t="str">
        <f>IF(datos_limpios[[#This Row],[Seating Capacity ]]&gt;4,"SI","NO")</f>
        <v>SI</v>
      </c>
      <c r="P827">
        <v>65</v>
      </c>
    </row>
    <row r="828" spans="1:16" x14ac:dyDescent="0.3">
      <c r="A828" s="8" t="s">
        <v>299</v>
      </c>
      <c r="B828" s="8" t="s">
        <v>789</v>
      </c>
      <c r="C828" s="9">
        <v>827</v>
      </c>
      <c r="D828" s="3">
        <v>3450000</v>
      </c>
      <c r="E828" s="1">
        <f>datos_limpios[[#This Row],[Price INR   ]]*0.011</f>
        <v>37950</v>
      </c>
      <c r="F828" s="13">
        <v>2016</v>
      </c>
      <c r="G828" s="2">
        <v>29000</v>
      </c>
      <c r="H828" s="8" t="s">
        <v>19</v>
      </c>
      <c r="I828" s="8" t="s">
        <v>40</v>
      </c>
      <c r="J828" s="8" t="s">
        <v>57</v>
      </c>
      <c r="K828" t="s">
        <v>158</v>
      </c>
      <c r="L828" t="s">
        <v>489</v>
      </c>
      <c r="M828" s="2">
        <f>VALUE(MID(L828,1,FIND("@",L828)-6))</f>
        <v>188</v>
      </c>
      <c r="N828">
        <v>5</v>
      </c>
      <c r="O828" t="str">
        <f>IF(datos_limpios[[#This Row],[Seating Capacity ]]&gt;4,"SI","NO")</f>
        <v>SI</v>
      </c>
      <c r="P828">
        <v>57</v>
      </c>
    </row>
    <row r="829" spans="1:16" x14ac:dyDescent="0.3">
      <c r="A829" s="8" t="s">
        <v>299</v>
      </c>
      <c r="B829" s="8" t="s">
        <v>881</v>
      </c>
      <c r="C829" s="9">
        <v>828</v>
      </c>
      <c r="D829" s="3">
        <v>3500000</v>
      </c>
      <c r="E829" s="1">
        <f>datos_limpios[[#This Row],[Price INR   ]]*0.011</f>
        <v>38500</v>
      </c>
      <c r="F829" s="13">
        <v>2016</v>
      </c>
      <c r="G829" s="2">
        <v>78000</v>
      </c>
      <c r="H829" s="8" t="s">
        <v>19</v>
      </c>
      <c r="I829" s="8" t="s">
        <v>40</v>
      </c>
      <c r="J829" s="8" t="s">
        <v>30</v>
      </c>
      <c r="K829" t="s">
        <v>301</v>
      </c>
      <c r="L829" t="s">
        <v>302</v>
      </c>
      <c r="M829" s="2">
        <f>VALUE(MID(L829,1,FIND("@",L829)-6))</f>
        <v>177</v>
      </c>
      <c r="N829">
        <v>7</v>
      </c>
      <c r="O829" t="str">
        <f>IF(datos_limpios[[#This Row],[Seating Capacity ]]&gt;4,"SI","NO")</f>
        <v>SI</v>
      </c>
      <c r="P829">
        <v>65</v>
      </c>
    </row>
    <row r="830" spans="1:16" x14ac:dyDescent="0.3">
      <c r="A830" s="8" t="s">
        <v>299</v>
      </c>
      <c r="B830" s="8" t="s">
        <v>488</v>
      </c>
      <c r="C830" s="9">
        <v>829</v>
      </c>
      <c r="D830" s="3">
        <v>3600000</v>
      </c>
      <c r="E830" s="1">
        <f>datos_limpios[[#This Row],[Price INR   ]]*0.011</f>
        <v>39600</v>
      </c>
      <c r="F830" s="13">
        <v>2018</v>
      </c>
      <c r="G830" s="2">
        <v>45000</v>
      </c>
      <c r="H830" s="8" t="s">
        <v>19</v>
      </c>
      <c r="I830" s="8" t="s">
        <v>40</v>
      </c>
      <c r="J830" s="8" t="s">
        <v>57</v>
      </c>
      <c r="K830" t="s">
        <v>301</v>
      </c>
      <c r="L830" t="s">
        <v>302</v>
      </c>
      <c r="M830" s="2">
        <f>VALUE(MID(L830,1,FIND("@",L830)-6))</f>
        <v>177</v>
      </c>
      <c r="N830">
        <v>5</v>
      </c>
      <c r="O830" t="str">
        <f>IF(datos_limpios[[#This Row],[Seating Capacity ]]&gt;4,"SI","NO")</f>
        <v>SI</v>
      </c>
      <c r="P830">
        <v>57</v>
      </c>
    </row>
    <row r="831" spans="1:16" x14ac:dyDescent="0.3">
      <c r="A831" s="8" t="s">
        <v>299</v>
      </c>
      <c r="B831" s="8" t="s">
        <v>1197</v>
      </c>
      <c r="C831" s="9">
        <v>830</v>
      </c>
      <c r="D831" s="3">
        <v>3800000</v>
      </c>
      <c r="E831" s="1">
        <f>datos_limpios[[#This Row],[Price INR   ]]*0.011</f>
        <v>41800</v>
      </c>
      <c r="F831" s="13">
        <v>2017</v>
      </c>
      <c r="G831" s="2">
        <v>50000</v>
      </c>
      <c r="H831" s="8" t="s">
        <v>19</v>
      </c>
      <c r="I831" s="8" t="s">
        <v>40</v>
      </c>
      <c r="J831" s="8" t="s">
        <v>20</v>
      </c>
      <c r="K831" t="s">
        <v>301</v>
      </c>
      <c r="L831" t="s">
        <v>302</v>
      </c>
      <c r="M831" s="2">
        <f>VALUE(MID(L831,1,FIND("@",L831)-6))</f>
        <v>177</v>
      </c>
      <c r="N831">
        <v>5</v>
      </c>
      <c r="O831" t="str">
        <f>IF(datos_limpios[[#This Row],[Seating Capacity ]]&gt;4,"SI","NO")</f>
        <v>SI</v>
      </c>
      <c r="P831">
        <v>57</v>
      </c>
    </row>
    <row r="832" spans="1:16" x14ac:dyDescent="0.3">
      <c r="A832" s="8" t="s">
        <v>299</v>
      </c>
      <c r="B832" s="8" t="s">
        <v>881</v>
      </c>
      <c r="C832" s="9">
        <v>831</v>
      </c>
      <c r="D832" s="3">
        <v>3900000</v>
      </c>
      <c r="E832" s="1">
        <f>datos_limpios[[#This Row],[Price INR   ]]*0.011</f>
        <v>42900</v>
      </c>
      <c r="F832" s="13">
        <v>2016</v>
      </c>
      <c r="G832" s="2">
        <v>20000</v>
      </c>
      <c r="H832" s="8" t="s">
        <v>19</v>
      </c>
      <c r="I832" s="8" t="s">
        <v>40</v>
      </c>
      <c r="J832" s="8" t="s">
        <v>14</v>
      </c>
      <c r="K832" t="s">
        <v>301</v>
      </c>
      <c r="L832" t="s">
        <v>302</v>
      </c>
      <c r="M832" s="2">
        <f>VALUE(MID(L832,1,FIND("@",L832)-6))</f>
        <v>177</v>
      </c>
      <c r="N832">
        <v>7</v>
      </c>
      <c r="O832" t="str">
        <f>IF(datos_limpios[[#This Row],[Seating Capacity ]]&gt;4,"SI","NO")</f>
        <v>SI</v>
      </c>
      <c r="P832">
        <v>65</v>
      </c>
    </row>
    <row r="833" spans="1:16" x14ac:dyDescent="0.3">
      <c r="A833" s="8" t="s">
        <v>299</v>
      </c>
      <c r="B833" s="8" t="s">
        <v>488</v>
      </c>
      <c r="C833" s="9">
        <v>832</v>
      </c>
      <c r="D833" s="3">
        <v>4000000</v>
      </c>
      <c r="E833" s="1">
        <f>datos_limpios[[#This Row],[Price INR   ]]*0.011</f>
        <v>44000</v>
      </c>
      <c r="F833" s="13">
        <v>2017</v>
      </c>
      <c r="G833" s="2">
        <v>25500</v>
      </c>
      <c r="H833" s="8" t="s">
        <v>19</v>
      </c>
      <c r="I833" s="8" t="s">
        <v>40</v>
      </c>
      <c r="J833" s="8" t="s">
        <v>20</v>
      </c>
      <c r="K833" t="s">
        <v>301</v>
      </c>
      <c r="L833" t="s">
        <v>302</v>
      </c>
      <c r="M833" s="2">
        <f>VALUE(MID(L833,1,FIND("@",L833)-6))</f>
        <v>177</v>
      </c>
      <c r="N833">
        <v>5</v>
      </c>
      <c r="O833" t="str">
        <f>IF(datos_limpios[[#This Row],[Seating Capacity ]]&gt;4,"SI","NO")</f>
        <v>SI</v>
      </c>
      <c r="P833">
        <v>57</v>
      </c>
    </row>
    <row r="834" spans="1:16" x14ac:dyDescent="0.3">
      <c r="A834" s="8" t="s">
        <v>299</v>
      </c>
      <c r="B834" s="8" t="s">
        <v>443</v>
      </c>
      <c r="C834" s="9">
        <v>833</v>
      </c>
      <c r="D834" s="3">
        <v>4200000</v>
      </c>
      <c r="E834" s="1">
        <f>datos_limpios[[#This Row],[Price INR   ]]*0.011</f>
        <v>46200</v>
      </c>
      <c r="F834" s="13">
        <v>2018</v>
      </c>
      <c r="G834" s="2">
        <v>36000</v>
      </c>
      <c r="H834" s="8" t="s">
        <v>19</v>
      </c>
      <c r="I834" s="8" t="s">
        <v>40</v>
      </c>
      <c r="J834" s="8" t="s">
        <v>20</v>
      </c>
      <c r="K834" t="s">
        <v>158</v>
      </c>
      <c r="L834" t="s">
        <v>444</v>
      </c>
      <c r="M834" s="2">
        <f>VALUE(MID(L834,1,FIND("@",L834)-6))</f>
        <v>148</v>
      </c>
      <c r="N834">
        <v>7</v>
      </c>
      <c r="O834" t="str">
        <f>IF(datos_limpios[[#This Row],[Seating Capacity ]]&gt;4,"SI","NO")</f>
        <v>SI</v>
      </c>
      <c r="P834">
        <v>65</v>
      </c>
    </row>
    <row r="835" spans="1:16" x14ac:dyDescent="0.3">
      <c r="A835" s="8" t="s">
        <v>299</v>
      </c>
      <c r="B835" s="8" t="s">
        <v>443</v>
      </c>
      <c r="C835" s="9">
        <v>834</v>
      </c>
      <c r="D835" s="3">
        <v>4459000</v>
      </c>
      <c r="E835" s="1">
        <f>datos_limpios[[#This Row],[Price INR   ]]*0.011</f>
        <v>49049</v>
      </c>
      <c r="F835" s="13">
        <v>2018</v>
      </c>
      <c r="G835" s="2">
        <v>57300</v>
      </c>
      <c r="H835" s="8" t="s">
        <v>19</v>
      </c>
      <c r="I835" s="8" t="s">
        <v>40</v>
      </c>
      <c r="J835" s="8" t="s">
        <v>20</v>
      </c>
      <c r="K835" t="s">
        <v>158</v>
      </c>
      <c r="L835" t="s">
        <v>444</v>
      </c>
      <c r="M835" s="2">
        <f>VALUE(MID(L835,1,FIND("@",L835)-6))</f>
        <v>148</v>
      </c>
      <c r="N835">
        <v>7</v>
      </c>
      <c r="O835" t="str">
        <f>IF(datos_limpios[[#This Row],[Seating Capacity ]]&gt;4,"SI","NO")</f>
        <v>SI</v>
      </c>
      <c r="P835">
        <v>65</v>
      </c>
    </row>
    <row r="836" spans="1:16" x14ac:dyDescent="0.3">
      <c r="A836" s="8" t="s">
        <v>299</v>
      </c>
      <c r="B836" s="8" t="s">
        <v>1153</v>
      </c>
      <c r="C836" s="9">
        <v>835</v>
      </c>
      <c r="D836" s="3">
        <v>4575000</v>
      </c>
      <c r="E836" s="1">
        <f>datos_limpios[[#This Row],[Price INR   ]]*0.011</f>
        <v>50325</v>
      </c>
      <c r="F836" s="13">
        <v>2019</v>
      </c>
      <c r="G836" s="2">
        <v>50000</v>
      </c>
      <c r="H836" s="8" t="s">
        <v>19</v>
      </c>
      <c r="I836" s="8" t="s">
        <v>40</v>
      </c>
      <c r="J836" s="8" t="s">
        <v>57</v>
      </c>
      <c r="K836" t="s">
        <v>158</v>
      </c>
      <c r="L836" t="s">
        <v>489</v>
      </c>
      <c r="M836" s="2">
        <f>VALUE(MID(L836,1,FIND("@",L836)-6))</f>
        <v>188</v>
      </c>
      <c r="N836">
        <v>7</v>
      </c>
      <c r="O836" t="str">
        <f>IF(datos_limpios[[#This Row],[Seating Capacity ]]&gt;4,"SI","NO")</f>
        <v>SI</v>
      </c>
      <c r="P836">
        <v>65</v>
      </c>
    </row>
    <row r="837" spans="1:16" x14ac:dyDescent="0.3">
      <c r="A837" s="8" t="s">
        <v>299</v>
      </c>
      <c r="B837" s="8" t="s">
        <v>1138</v>
      </c>
      <c r="C837" s="9">
        <v>836</v>
      </c>
      <c r="D837" s="3">
        <v>4950000</v>
      </c>
      <c r="E837" s="1">
        <f>datos_limpios[[#This Row],[Price INR   ]]*0.011</f>
        <v>54450</v>
      </c>
      <c r="F837" s="13">
        <v>2018</v>
      </c>
      <c r="G837" s="2">
        <v>38000</v>
      </c>
      <c r="H837" s="8" t="s">
        <v>19</v>
      </c>
      <c r="I837" s="8" t="s">
        <v>40</v>
      </c>
      <c r="J837" s="8" t="s">
        <v>20</v>
      </c>
      <c r="K837" t="s">
        <v>301</v>
      </c>
      <c r="L837" t="s">
        <v>302</v>
      </c>
      <c r="M837" s="2">
        <f>VALUE(MID(L837,1,FIND("@",L837)-6))</f>
        <v>177</v>
      </c>
      <c r="N837">
        <v>7</v>
      </c>
      <c r="O837" t="str">
        <f>IF(datos_limpios[[#This Row],[Seating Capacity ]]&gt;4,"SI","NO")</f>
        <v>SI</v>
      </c>
      <c r="P837">
        <v>65</v>
      </c>
    </row>
    <row r="838" spans="1:16" x14ac:dyDescent="0.3">
      <c r="A838" s="8" t="s">
        <v>299</v>
      </c>
      <c r="B838" s="8" t="s">
        <v>1413</v>
      </c>
      <c r="C838" s="9">
        <v>837</v>
      </c>
      <c r="D838" s="3">
        <v>5100000</v>
      </c>
      <c r="E838" s="1">
        <f>datos_limpios[[#This Row],[Price INR   ]]*0.011</f>
        <v>56100</v>
      </c>
      <c r="F838" s="13">
        <v>2019</v>
      </c>
      <c r="G838" s="2">
        <v>24444</v>
      </c>
      <c r="H838" s="8" t="s">
        <v>12</v>
      </c>
      <c r="I838" s="8" t="s">
        <v>40</v>
      </c>
      <c r="J838" s="8" t="s">
        <v>57</v>
      </c>
      <c r="K838" t="s">
        <v>301</v>
      </c>
      <c r="L838" t="s">
        <v>1414</v>
      </c>
      <c r="M838" s="2">
        <f>VALUE(MID(L838,1,FIND("@",L838)-6))</f>
        <v>236</v>
      </c>
      <c r="N838">
        <v>7</v>
      </c>
      <c r="O838" t="str">
        <f>IF(datos_limpios[[#This Row],[Seating Capacity ]]&gt;4,"SI","NO")</f>
        <v>SI</v>
      </c>
      <c r="P838">
        <v>65</v>
      </c>
    </row>
    <row r="839" spans="1:16" x14ac:dyDescent="0.3">
      <c r="A839" s="8" t="s">
        <v>299</v>
      </c>
      <c r="B839" s="8" t="s">
        <v>799</v>
      </c>
      <c r="C839" s="9">
        <v>838</v>
      </c>
      <c r="D839" s="3">
        <v>5375000</v>
      </c>
      <c r="E839" s="1">
        <f>datos_limpios[[#This Row],[Price INR   ]]*0.011</f>
        <v>59125</v>
      </c>
      <c r="F839" s="13">
        <v>2014</v>
      </c>
      <c r="G839" s="2">
        <v>80000</v>
      </c>
      <c r="H839" s="8" t="s">
        <v>19</v>
      </c>
      <c r="I839" s="8" t="s">
        <v>40</v>
      </c>
      <c r="J839" s="8" t="s">
        <v>20</v>
      </c>
      <c r="K839" t="s">
        <v>359</v>
      </c>
      <c r="L839" t="s">
        <v>800</v>
      </c>
      <c r="M839" s="2">
        <f>VALUE(MID(L839,1,FIND("@",L839)-6))</f>
        <v>289</v>
      </c>
      <c r="N839">
        <v>5</v>
      </c>
      <c r="O839" t="str">
        <f>IF(datos_limpios[[#This Row],[Seating Capacity ]]&gt;4,"SI","NO")</f>
        <v>SI</v>
      </c>
      <c r="P839">
        <v>77</v>
      </c>
    </row>
    <row r="840" spans="1:16" x14ac:dyDescent="0.3">
      <c r="A840" s="8" t="s">
        <v>299</v>
      </c>
      <c r="B840" s="8" t="s">
        <v>968</v>
      </c>
      <c r="C840" s="9">
        <v>839</v>
      </c>
      <c r="D840" s="3">
        <v>5900000</v>
      </c>
      <c r="E840" s="1">
        <f>datos_limpios[[#This Row],[Price INR   ]]*0.011</f>
        <v>64899.999999999993</v>
      </c>
      <c r="F840" s="13">
        <v>2014</v>
      </c>
      <c r="G840" s="2">
        <v>70000</v>
      </c>
      <c r="H840" s="8" t="s">
        <v>19</v>
      </c>
      <c r="I840" s="8" t="s">
        <v>40</v>
      </c>
      <c r="J840" s="8" t="s">
        <v>14</v>
      </c>
      <c r="K840" t="s">
        <v>359</v>
      </c>
      <c r="L840" t="s">
        <v>800</v>
      </c>
      <c r="M840" s="2">
        <f>VALUE(MID(L840,1,FIND("@",L840)-6))</f>
        <v>289</v>
      </c>
      <c r="N840">
        <v>5</v>
      </c>
      <c r="O840" t="str">
        <f>IF(datos_limpios[[#This Row],[Seating Capacity ]]&gt;4,"SI","NO")</f>
        <v>SI</v>
      </c>
      <c r="P840">
        <v>77</v>
      </c>
    </row>
    <row r="841" spans="1:16" x14ac:dyDescent="0.3">
      <c r="A841" s="8" t="s">
        <v>299</v>
      </c>
      <c r="B841" s="8" t="s">
        <v>552</v>
      </c>
      <c r="C841" s="9">
        <v>840</v>
      </c>
      <c r="D841" s="3">
        <v>5950000</v>
      </c>
      <c r="E841" s="1">
        <f>datos_limpios[[#This Row],[Price INR   ]]*0.011</f>
        <v>65449.999999999993</v>
      </c>
      <c r="F841" s="13">
        <v>2021</v>
      </c>
      <c r="G841" s="2">
        <v>35000</v>
      </c>
      <c r="H841" s="8" t="s">
        <v>19</v>
      </c>
      <c r="I841" s="8" t="s">
        <v>40</v>
      </c>
      <c r="J841" s="8" t="s">
        <v>249</v>
      </c>
      <c r="K841" t="s">
        <v>301</v>
      </c>
      <c r="L841" t="s">
        <v>302</v>
      </c>
      <c r="M841" s="2">
        <f>VALUE(MID(L841,1,FIND("@",L841)-6))</f>
        <v>177</v>
      </c>
      <c r="N841">
        <v>5</v>
      </c>
      <c r="O841" t="str">
        <f>IF(datos_limpios[[#This Row],[Seating Capacity ]]&gt;4,"SI","NO")</f>
        <v>SI</v>
      </c>
      <c r="P841">
        <v>66.5</v>
      </c>
    </row>
    <row r="842" spans="1:16" x14ac:dyDescent="0.3">
      <c r="A842" s="8" t="s">
        <v>299</v>
      </c>
      <c r="B842" s="8" t="s">
        <v>995</v>
      </c>
      <c r="C842" s="9">
        <v>841</v>
      </c>
      <c r="D842" s="3">
        <v>5995000</v>
      </c>
      <c r="E842" s="1">
        <f>datos_limpios[[#This Row],[Price INR   ]]*0.011</f>
        <v>65945</v>
      </c>
      <c r="F842" s="13">
        <v>2020</v>
      </c>
      <c r="G842" s="2">
        <v>54200</v>
      </c>
      <c r="H842" s="8" t="s">
        <v>19</v>
      </c>
      <c r="I842" s="8" t="s">
        <v>40</v>
      </c>
      <c r="J842" s="8" t="s">
        <v>20</v>
      </c>
      <c r="K842" t="s">
        <v>301</v>
      </c>
      <c r="L842" t="s">
        <v>302</v>
      </c>
      <c r="M842" s="2">
        <f>VALUE(MID(L842,1,FIND("@",L842)-6))</f>
        <v>177</v>
      </c>
      <c r="N842">
        <v>7</v>
      </c>
      <c r="O842" t="str">
        <f>IF(datos_limpios[[#This Row],[Seating Capacity ]]&gt;4,"SI","NO")</f>
        <v>SI</v>
      </c>
      <c r="P842">
        <v>70</v>
      </c>
    </row>
    <row r="843" spans="1:16" x14ac:dyDescent="0.3">
      <c r="A843" s="8" t="s">
        <v>299</v>
      </c>
      <c r="B843" s="8" t="s">
        <v>878</v>
      </c>
      <c r="C843" s="9">
        <v>842</v>
      </c>
      <c r="D843" s="3">
        <v>6000000</v>
      </c>
      <c r="E843" s="1">
        <f>datos_limpios[[#This Row],[Price INR   ]]*0.011</f>
        <v>66000</v>
      </c>
      <c r="F843" s="13">
        <v>2014</v>
      </c>
      <c r="G843" s="2">
        <v>82000</v>
      </c>
      <c r="H843" s="8" t="s">
        <v>19</v>
      </c>
      <c r="I843" s="8" t="s">
        <v>40</v>
      </c>
      <c r="J843" s="8" t="s">
        <v>20</v>
      </c>
      <c r="K843" t="s">
        <v>359</v>
      </c>
      <c r="L843" t="s">
        <v>800</v>
      </c>
      <c r="M843" s="2">
        <f>VALUE(MID(L843,1,FIND("@",L843)-6))</f>
        <v>289</v>
      </c>
      <c r="N843">
        <v>5</v>
      </c>
      <c r="O843" t="str">
        <f>IF(datos_limpios[[#This Row],[Seating Capacity ]]&gt;4,"SI","NO")</f>
        <v>SI</v>
      </c>
      <c r="P843">
        <v>77</v>
      </c>
    </row>
    <row r="844" spans="1:16" x14ac:dyDescent="0.3">
      <c r="A844" s="8" t="s">
        <v>299</v>
      </c>
      <c r="B844" s="8" t="s">
        <v>300</v>
      </c>
      <c r="C844" s="9">
        <v>843</v>
      </c>
      <c r="D844" s="3">
        <v>6500000</v>
      </c>
      <c r="E844" s="1">
        <f>datos_limpios[[#This Row],[Price INR   ]]*0.011</f>
        <v>71500</v>
      </c>
      <c r="F844" s="13">
        <v>2020</v>
      </c>
      <c r="G844" s="2">
        <v>6000</v>
      </c>
      <c r="H844" s="8" t="s">
        <v>19</v>
      </c>
      <c r="I844" s="8" t="s">
        <v>40</v>
      </c>
      <c r="J844" s="8" t="s">
        <v>20</v>
      </c>
      <c r="K844" t="s">
        <v>301</v>
      </c>
      <c r="L844" t="s">
        <v>302</v>
      </c>
      <c r="M844" s="2">
        <f>VALUE(MID(L844,1,FIND("@",L844)-6))</f>
        <v>177</v>
      </c>
      <c r="N844">
        <v>7</v>
      </c>
      <c r="O844" t="str">
        <f>IF(datos_limpios[[#This Row],[Seating Capacity ]]&gt;4,"SI","NO")</f>
        <v>SI</v>
      </c>
      <c r="P844">
        <v>70</v>
      </c>
    </row>
    <row r="845" spans="1:16" x14ac:dyDescent="0.3">
      <c r="A845" s="8" t="s">
        <v>299</v>
      </c>
      <c r="B845" s="8" t="s">
        <v>1171</v>
      </c>
      <c r="C845" s="9">
        <v>844</v>
      </c>
      <c r="D845" s="3">
        <v>6500000</v>
      </c>
      <c r="E845" s="1">
        <f>datos_limpios[[#This Row],[Price INR   ]]*0.011</f>
        <v>71500</v>
      </c>
      <c r="F845" s="13">
        <v>2021</v>
      </c>
      <c r="G845" s="2">
        <v>12000</v>
      </c>
      <c r="H845" s="8" t="s">
        <v>19</v>
      </c>
      <c r="I845" s="8" t="s">
        <v>40</v>
      </c>
      <c r="J845" s="8" t="s">
        <v>20</v>
      </c>
      <c r="K845" t="s">
        <v>301</v>
      </c>
      <c r="L845" t="s">
        <v>302</v>
      </c>
      <c r="M845" s="2">
        <f>VALUE(MID(L845,1,FIND("@",L845)-6))</f>
        <v>177</v>
      </c>
      <c r="N845">
        <v>5</v>
      </c>
      <c r="O845" t="str">
        <f>IF(datos_limpios[[#This Row],[Seating Capacity ]]&gt;4,"SI","NO")</f>
        <v>SI</v>
      </c>
      <c r="P845">
        <v>57</v>
      </c>
    </row>
    <row r="846" spans="1:16" x14ac:dyDescent="0.3">
      <c r="A846" s="8" t="s">
        <v>299</v>
      </c>
      <c r="B846" s="8" t="s">
        <v>1153</v>
      </c>
      <c r="C846" s="9">
        <v>845</v>
      </c>
      <c r="D846" s="3">
        <v>6900000</v>
      </c>
      <c r="E846" s="1">
        <f>datos_limpios[[#This Row],[Price INR   ]]*0.011</f>
        <v>75900</v>
      </c>
      <c r="F846" s="13">
        <v>2020</v>
      </c>
      <c r="G846" s="2">
        <v>32368</v>
      </c>
      <c r="H846" s="8" t="s">
        <v>19</v>
      </c>
      <c r="I846" s="8" t="s">
        <v>40</v>
      </c>
      <c r="J846" s="8" t="s">
        <v>20</v>
      </c>
      <c r="K846" t="s">
        <v>158</v>
      </c>
      <c r="L846" t="s">
        <v>489</v>
      </c>
      <c r="M846" s="2">
        <f>VALUE(MID(L846,1,FIND("@",L846)-6))</f>
        <v>188</v>
      </c>
      <c r="N846">
        <v>7</v>
      </c>
      <c r="O846" t="str">
        <f>IF(datos_limpios[[#This Row],[Seating Capacity ]]&gt;4,"SI","NO")</f>
        <v>SI</v>
      </c>
      <c r="P846">
        <v>65</v>
      </c>
    </row>
    <row r="847" spans="1:16" x14ac:dyDescent="0.3">
      <c r="A847" s="8" t="s">
        <v>299</v>
      </c>
      <c r="B847" s="8" t="s">
        <v>901</v>
      </c>
      <c r="C847" s="9">
        <v>846</v>
      </c>
      <c r="D847" s="3">
        <v>7000000</v>
      </c>
      <c r="E847" s="1">
        <f>datos_limpios[[#This Row],[Price INR   ]]*0.011</f>
        <v>77000</v>
      </c>
      <c r="F847" s="13">
        <v>2021</v>
      </c>
      <c r="G847" s="2">
        <v>14500</v>
      </c>
      <c r="H847" s="8" t="s">
        <v>12</v>
      </c>
      <c r="I847" s="8" t="s">
        <v>40</v>
      </c>
      <c r="J847" s="8" t="s">
        <v>20</v>
      </c>
      <c r="K847" t="s">
        <v>201</v>
      </c>
      <c r="L847" t="s">
        <v>902</v>
      </c>
      <c r="M847" s="2">
        <f>VALUE(MID(L847,1,FIND("@",L847)-6))</f>
        <v>245</v>
      </c>
      <c r="N847">
        <v>7</v>
      </c>
      <c r="O847" t="str">
        <f>IF(datos_limpios[[#This Row],[Seating Capacity ]]&gt;4,"SI","NO")</f>
        <v>SI</v>
      </c>
      <c r="P847">
        <v>70</v>
      </c>
    </row>
    <row r="848" spans="1:16" x14ac:dyDescent="0.3">
      <c r="A848" s="8" t="s">
        <v>299</v>
      </c>
      <c r="B848" s="8" t="s">
        <v>878</v>
      </c>
      <c r="C848" s="9">
        <v>847</v>
      </c>
      <c r="D848" s="3">
        <v>7200000</v>
      </c>
      <c r="E848" s="1">
        <f>datos_limpios[[#This Row],[Price INR   ]]*0.011</f>
        <v>79200</v>
      </c>
      <c r="F848" s="13">
        <v>2016</v>
      </c>
      <c r="G848" s="2">
        <v>45000</v>
      </c>
      <c r="H848" s="8" t="s">
        <v>19</v>
      </c>
      <c r="I848" s="8" t="s">
        <v>40</v>
      </c>
      <c r="J848" s="8" t="s">
        <v>20</v>
      </c>
      <c r="K848" t="s">
        <v>359</v>
      </c>
      <c r="L848" t="s">
        <v>800</v>
      </c>
      <c r="M848" s="2">
        <f>VALUE(MID(L848,1,FIND("@",L848)-6))</f>
        <v>289</v>
      </c>
      <c r="N848">
        <v>5</v>
      </c>
      <c r="O848" t="str">
        <f>IF(datos_limpios[[#This Row],[Seating Capacity ]]&gt;4,"SI","NO")</f>
        <v>SI</v>
      </c>
      <c r="P848">
        <v>77</v>
      </c>
    </row>
    <row r="849" spans="1:16" x14ac:dyDescent="0.3">
      <c r="A849" s="8" t="s">
        <v>299</v>
      </c>
      <c r="B849" s="8" t="s">
        <v>428</v>
      </c>
      <c r="C849" s="9">
        <v>848</v>
      </c>
      <c r="D849" s="3">
        <v>12500000</v>
      </c>
      <c r="E849" s="1">
        <f>datos_limpios[[#This Row],[Price INR   ]]*0.011</f>
        <v>137500</v>
      </c>
      <c r="F849" s="13">
        <v>2022</v>
      </c>
      <c r="G849" s="2">
        <v>22010</v>
      </c>
      <c r="H849" s="8" t="s">
        <v>12</v>
      </c>
      <c r="I849" s="8" t="s">
        <v>40</v>
      </c>
      <c r="J849" s="8" t="s">
        <v>20</v>
      </c>
      <c r="K849" t="s">
        <v>201</v>
      </c>
      <c r="L849" t="s">
        <v>429</v>
      </c>
      <c r="M849" s="2">
        <f>VALUE(MID(L849,1,FIND("@",L849)-6))</f>
        <v>296</v>
      </c>
      <c r="N849">
        <v>5</v>
      </c>
      <c r="O849" t="str">
        <f>IF(datos_limpios[[#This Row],[Seating Capacity ]]&gt;4,"SI","NO")</f>
        <v>SI</v>
      </c>
      <c r="P849">
        <v>104</v>
      </c>
    </row>
    <row r="850" spans="1:16" x14ac:dyDescent="0.3">
      <c r="A850" s="8" t="s">
        <v>299</v>
      </c>
      <c r="B850" s="8" t="s">
        <v>727</v>
      </c>
      <c r="C850" s="9">
        <v>849</v>
      </c>
      <c r="D850" s="3">
        <v>19300000</v>
      </c>
      <c r="E850" s="1">
        <f>datos_limpios[[#This Row],[Price INR   ]]*0.011</f>
        <v>212300</v>
      </c>
      <c r="F850" s="13">
        <v>2019</v>
      </c>
      <c r="G850" s="2">
        <v>63000</v>
      </c>
      <c r="H850" s="8" t="s">
        <v>19</v>
      </c>
      <c r="I850" s="8" t="s">
        <v>40</v>
      </c>
      <c r="J850" s="8" t="s">
        <v>101</v>
      </c>
      <c r="K850" t="s">
        <v>359</v>
      </c>
      <c r="L850" t="s">
        <v>728</v>
      </c>
      <c r="M850" s="2">
        <f>VALUE(MID(L850,1,FIND("@",L850)-6))</f>
        <v>244</v>
      </c>
      <c r="N850">
        <v>5</v>
      </c>
      <c r="O850" t="str">
        <f>IF(datos_limpios[[#This Row],[Seating Capacity ]]&gt;4,"SI","NO")</f>
        <v>SI</v>
      </c>
      <c r="P850">
        <v>105</v>
      </c>
    </row>
    <row r="851" spans="1:16" x14ac:dyDescent="0.3">
      <c r="A851" s="8" t="s">
        <v>299</v>
      </c>
      <c r="B851" s="8" t="s">
        <v>727</v>
      </c>
      <c r="C851" s="9">
        <v>850</v>
      </c>
      <c r="D851" s="3">
        <v>22000000</v>
      </c>
      <c r="E851" s="1">
        <f>datos_limpios[[#This Row],[Price INR   ]]*0.011</f>
        <v>242000</v>
      </c>
      <c r="F851" s="13">
        <v>2019</v>
      </c>
      <c r="G851" s="2">
        <v>35000</v>
      </c>
      <c r="H851" s="8" t="s">
        <v>19</v>
      </c>
      <c r="I851" s="8" t="s">
        <v>40</v>
      </c>
      <c r="J851" s="8" t="s">
        <v>57</v>
      </c>
      <c r="K851" t="s">
        <v>359</v>
      </c>
      <c r="L851" t="s">
        <v>728</v>
      </c>
      <c r="M851" s="2">
        <f>VALUE(MID(L851,1,FIND("@",L851)-6))</f>
        <v>244</v>
      </c>
      <c r="N851">
        <v>5</v>
      </c>
      <c r="O851" t="str">
        <f>IF(datos_limpios[[#This Row],[Seating Capacity ]]&gt;4,"SI","NO")</f>
        <v>SI</v>
      </c>
      <c r="P851">
        <v>105</v>
      </c>
    </row>
    <row r="852" spans="1:16" x14ac:dyDescent="0.3">
      <c r="A852" s="8" t="s">
        <v>299</v>
      </c>
      <c r="B852" s="8" t="s">
        <v>1150</v>
      </c>
      <c r="C852" s="9">
        <v>851</v>
      </c>
      <c r="D852" s="3">
        <v>27500000</v>
      </c>
      <c r="E852" s="1">
        <f>datos_limpios[[#This Row],[Price INR   ]]*0.011</f>
        <v>302500</v>
      </c>
      <c r="F852" s="13">
        <v>2020</v>
      </c>
      <c r="G852" s="2">
        <v>11000</v>
      </c>
      <c r="H852" s="8" t="s">
        <v>19</v>
      </c>
      <c r="I852" s="8" t="s">
        <v>40</v>
      </c>
      <c r="J852" s="8" t="s">
        <v>20</v>
      </c>
      <c r="K852" t="s">
        <v>359</v>
      </c>
      <c r="L852" t="s">
        <v>728</v>
      </c>
      <c r="M852" s="2">
        <f>VALUE(MID(L852,1,FIND("@",L852)-6))</f>
        <v>244</v>
      </c>
      <c r="N852">
        <v>4</v>
      </c>
      <c r="O852" t="str">
        <f>IF(datos_limpios[[#This Row],[Seating Capacity ]]&gt;4,"SI","NO")</f>
        <v>NO</v>
      </c>
      <c r="P852">
        <v>105</v>
      </c>
    </row>
    <row r="853" spans="1:16" x14ac:dyDescent="0.3">
      <c r="A853" s="8" t="s">
        <v>1006</v>
      </c>
      <c r="B853" s="8" t="s">
        <v>1147</v>
      </c>
      <c r="C853" s="9">
        <v>852</v>
      </c>
      <c r="D853" s="3">
        <v>3900000</v>
      </c>
      <c r="E853" s="1">
        <f>datos_limpios[[#This Row],[Price INR   ]]*0.011</f>
        <v>42900</v>
      </c>
      <c r="F853" s="13">
        <v>2017</v>
      </c>
      <c r="G853" s="2">
        <v>31059</v>
      </c>
      <c r="H853" s="8" t="s">
        <v>12</v>
      </c>
      <c r="I853" s="8" t="s">
        <v>40</v>
      </c>
      <c r="J853" s="8" t="s">
        <v>115</v>
      </c>
      <c r="K853" t="s">
        <v>150</v>
      </c>
      <c r="L853" t="s">
        <v>215</v>
      </c>
      <c r="M853" s="2">
        <f>VALUE(MID(L853,1,FIND("@",L853)-6))</f>
        <v>202</v>
      </c>
      <c r="N853">
        <v>5</v>
      </c>
      <c r="O853" t="str">
        <f>IF(datos_limpios[[#This Row],[Seating Capacity ]]&gt;4,"SI","NO")</f>
        <v>SI</v>
      </c>
      <c r="P853">
        <v>65</v>
      </c>
    </row>
    <row r="854" spans="1:16" x14ac:dyDescent="0.3">
      <c r="A854" s="8" t="s">
        <v>1006</v>
      </c>
      <c r="B854" s="8" t="s">
        <v>1007</v>
      </c>
      <c r="C854" s="9">
        <v>853</v>
      </c>
      <c r="D854" s="3">
        <v>4375000</v>
      </c>
      <c r="E854" s="1">
        <f>datos_limpios[[#This Row],[Price INR   ]]*0.011</f>
        <v>48125</v>
      </c>
      <c r="F854" s="13">
        <v>2018</v>
      </c>
      <c r="G854" s="2">
        <v>54500</v>
      </c>
      <c r="H854" s="8" t="s">
        <v>12</v>
      </c>
      <c r="I854" s="8" t="s">
        <v>40</v>
      </c>
      <c r="J854" s="8" t="s">
        <v>101</v>
      </c>
      <c r="K854" t="s">
        <v>150</v>
      </c>
      <c r="L854" t="s">
        <v>1008</v>
      </c>
      <c r="M854" s="2">
        <f>VALUE(MID(L854,1,FIND("@",L854)-6))</f>
        <v>194</v>
      </c>
      <c r="N854">
        <v>5</v>
      </c>
      <c r="O854" t="str">
        <f>IF(datos_limpios[[#This Row],[Seating Capacity ]]&gt;4,"SI","NO")</f>
        <v>SI</v>
      </c>
      <c r="P854">
        <v>56</v>
      </c>
    </row>
    <row r="855" spans="1:16" x14ac:dyDescent="0.3">
      <c r="A855" s="8" t="s">
        <v>1006</v>
      </c>
      <c r="B855" s="8" t="s">
        <v>1147</v>
      </c>
      <c r="C855" s="9">
        <v>854</v>
      </c>
      <c r="D855" s="3">
        <v>4375000</v>
      </c>
      <c r="E855" s="1">
        <f>datos_limpios[[#This Row],[Price INR   ]]*0.011</f>
        <v>48125</v>
      </c>
      <c r="F855" s="13">
        <v>2017</v>
      </c>
      <c r="G855" s="2">
        <v>31059</v>
      </c>
      <c r="H855" s="8" t="s">
        <v>12</v>
      </c>
      <c r="I855" s="8" t="s">
        <v>40</v>
      </c>
      <c r="J855" s="8" t="s">
        <v>82</v>
      </c>
      <c r="K855" t="s">
        <v>150</v>
      </c>
      <c r="L855" t="s">
        <v>215</v>
      </c>
      <c r="M855" s="2">
        <f>VALUE(MID(L855,1,FIND("@",L855)-6))</f>
        <v>202</v>
      </c>
      <c r="N855">
        <v>5</v>
      </c>
      <c r="O855" t="str">
        <f>IF(datos_limpios[[#This Row],[Seating Capacity ]]&gt;4,"SI","NO")</f>
        <v>SI</v>
      </c>
      <c r="P855">
        <v>65</v>
      </c>
    </row>
    <row r="856" spans="1:16" x14ac:dyDescent="0.3">
      <c r="A856" s="8" t="s">
        <v>1006</v>
      </c>
      <c r="B856" s="8" t="s">
        <v>1053</v>
      </c>
      <c r="C856" s="9">
        <v>855</v>
      </c>
      <c r="D856" s="3">
        <v>4800000</v>
      </c>
      <c r="E856" s="1">
        <f>datos_limpios[[#This Row],[Price INR   ]]*0.011</f>
        <v>52800</v>
      </c>
      <c r="F856" s="13">
        <v>2020</v>
      </c>
      <c r="G856" s="2">
        <v>27000</v>
      </c>
      <c r="H856" s="8" t="s">
        <v>1054</v>
      </c>
      <c r="I856" s="8" t="s">
        <v>40</v>
      </c>
      <c r="J856" s="8" t="s">
        <v>57</v>
      </c>
      <c r="K856" t="s">
        <v>1055</v>
      </c>
      <c r="L856" t="s">
        <v>1056</v>
      </c>
      <c r="M856" s="2">
        <f>VALUE(MID(L856,1,FIND("@",L856)-6))</f>
        <v>176</v>
      </c>
      <c r="N856">
        <v>5</v>
      </c>
      <c r="O856" t="str">
        <f>IF(datos_limpios[[#This Row],[Seating Capacity ]]&gt;4,"SI","NO")</f>
        <v>SI</v>
      </c>
      <c r="P856">
        <v>50</v>
      </c>
    </row>
    <row r="857" spans="1:16" x14ac:dyDescent="0.3">
      <c r="A857" s="8" t="s">
        <v>1006</v>
      </c>
      <c r="B857" s="8" t="s">
        <v>1053</v>
      </c>
      <c r="C857" s="9">
        <v>856</v>
      </c>
      <c r="D857" s="3">
        <v>5200000</v>
      </c>
      <c r="E857" s="1">
        <f>datos_limpios[[#This Row],[Price INR   ]]*0.011</f>
        <v>57200</v>
      </c>
      <c r="F857" s="13">
        <v>2020</v>
      </c>
      <c r="G857" s="2">
        <v>14000</v>
      </c>
      <c r="H857" s="8" t="s">
        <v>1054</v>
      </c>
      <c r="I857" s="8" t="s">
        <v>40</v>
      </c>
      <c r="J857" s="8" t="s">
        <v>57</v>
      </c>
      <c r="K857" t="s">
        <v>1055</v>
      </c>
      <c r="L857" t="s">
        <v>1056</v>
      </c>
      <c r="M857" s="2">
        <f>VALUE(MID(L857,1,FIND("@",L857)-6))</f>
        <v>176</v>
      </c>
      <c r="N857">
        <v>5</v>
      </c>
      <c r="O857" t="str">
        <f>IF(datos_limpios[[#This Row],[Seating Capacity ]]&gt;4,"SI","NO")</f>
        <v>SI</v>
      </c>
      <c r="P857">
        <v>50</v>
      </c>
    </row>
    <row r="858" spans="1:16" x14ac:dyDescent="0.3">
      <c r="A858" s="8" t="s">
        <v>132</v>
      </c>
      <c r="B858" s="8" t="s">
        <v>490</v>
      </c>
      <c r="C858" s="9">
        <v>857</v>
      </c>
      <c r="D858" s="3">
        <v>210000</v>
      </c>
      <c r="E858" s="1">
        <f>datos_limpios[[#This Row],[Price INR   ]]*0.011</f>
        <v>2310</v>
      </c>
      <c r="F858" s="13">
        <v>2012</v>
      </c>
      <c r="G858" s="2">
        <v>85000</v>
      </c>
      <c r="H858" s="8" t="s">
        <v>19</v>
      </c>
      <c r="I858" s="8" t="s">
        <v>13</v>
      </c>
      <c r="J858" s="8" t="s">
        <v>20</v>
      </c>
      <c r="K858" t="s">
        <v>491</v>
      </c>
      <c r="L858" t="s">
        <v>1533</v>
      </c>
      <c r="M858" s="2">
        <f>VALUE(MID(L858,1,FIND("@",L858)-6))</f>
        <v>95</v>
      </c>
      <c r="N858">
        <v>7</v>
      </c>
      <c r="O858" t="str">
        <f>IF(datos_limpios[[#This Row],[Seating Capacity ]]&gt;4,"SI","NO")</f>
        <v>SI</v>
      </c>
      <c r="P858">
        <v>55</v>
      </c>
    </row>
    <row r="859" spans="1:16" x14ac:dyDescent="0.3">
      <c r="A859" s="8" t="s">
        <v>132</v>
      </c>
      <c r="B859" s="8" t="s">
        <v>1356</v>
      </c>
      <c r="C859" s="9">
        <v>858</v>
      </c>
      <c r="D859" s="3">
        <v>240000</v>
      </c>
      <c r="E859" s="1">
        <f>datos_limpios[[#This Row],[Price INR   ]]*0.011</f>
        <v>2640</v>
      </c>
      <c r="F859" s="13">
        <v>2013</v>
      </c>
      <c r="G859" s="2">
        <v>51500</v>
      </c>
      <c r="H859" s="8" t="s">
        <v>19</v>
      </c>
      <c r="I859" s="8" t="s">
        <v>13</v>
      </c>
      <c r="J859" s="8" t="s">
        <v>25</v>
      </c>
      <c r="K859" t="s">
        <v>184</v>
      </c>
      <c r="L859" t="s">
        <v>633</v>
      </c>
      <c r="M859" s="2">
        <f>VALUE(MID(L859,1,FIND("@",L859)-6))</f>
        <v>100</v>
      </c>
      <c r="N859">
        <v>7</v>
      </c>
      <c r="O859" t="str">
        <f>IF(datos_limpios[[#This Row],[Seating Capacity ]]&gt;4,"SI","NO")</f>
        <v>SI</v>
      </c>
      <c r="P859">
        <v>55</v>
      </c>
    </row>
    <row r="860" spans="1:16" x14ac:dyDescent="0.3">
      <c r="A860" s="8" t="s">
        <v>132</v>
      </c>
      <c r="B860" s="8" t="s">
        <v>1340</v>
      </c>
      <c r="C860" s="9">
        <v>859</v>
      </c>
      <c r="D860" s="3">
        <v>249000</v>
      </c>
      <c r="E860" s="1">
        <f>datos_limpios[[#This Row],[Price INR   ]]*0.011</f>
        <v>2739</v>
      </c>
      <c r="F860" s="13">
        <v>2013</v>
      </c>
      <c r="G860" s="2">
        <v>60000</v>
      </c>
      <c r="H860" s="8" t="s">
        <v>19</v>
      </c>
      <c r="I860" s="8" t="s">
        <v>13</v>
      </c>
      <c r="J860" s="8" t="s">
        <v>30</v>
      </c>
      <c r="K860" t="s">
        <v>184</v>
      </c>
      <c r="L860" t="s">
        <v>633</v>
      </c>
      <c r="M860" s="2">
        <f>VALUE(MID(L860,1,FIND("@",L860)-6))</f>
        <v>100</v>
      </c>
      <c r="N860">
        <v>7</v>
      </c>
      <c r="O860" t="str">
        <f>IF(datos_limpios[[#This Row],[Seating Capacity ]]&gt;4,"SI","NO")</f>
        <v>SI</v>
      </c>
      <c r="P860">
        <v>55</v>
      </c>
    </row>
    <row r="861" spans="1:16" x14ac:dyDescent="0.3">
      <c r="A861" s="8" t="s">
        <v>132</v>
      </c>
      <c r="B861" s="8" t="s">
        <v>1031</v>
      </c>
      <c r="C861" s="9">
        <v>860</v>
      </c>
      <c r="D861" s="3">
        <v>325000</v>
      </c>
      <c r="E861" s="1">
        <f>datos_limpios[[#This Row],[Price INR   ]]*0.011</f>
        <v>3575</v>
      </c>
      <c r="F861" s="13">
        <v>2012</v>
      </c>
      <c r="G861" s="2">
        <v>70000</v>
      </c>
      <c r="H861" s="8" t="s">
        <v>19</v>
      </c>
      <c r="I861" s="8" t="s">
        <v>13</v>
      </c>
      <c r="J861" s="8" t="s">
        <v>20</v>
      </c>
      <c r="K861" t="s">
        <v>491</v>
      </c>
      <c r="L861" t="s">
        <v>1533</v>
      </c>
      <c r="M861" s="2">
        <f>VALUE(MID(L861,1,FIND("@",L861)-6))</f>
        <v>95</v>
      </c>
      <c r="N861">
        <v>8</v>
      </c>
      <c r="O861" t="str">
        <f>IF(datos_limpios[[#This Row],[Seating Capacity ]]&gt;4,"SI","NO")</f>
        <v>SI</v>
      </c>
      <c r="P861">
        <v>55</v>
      </c>
    </row>
    <row r="862" spans="1:16" x14ac:dyDescent="0.3">
      <c r="A862" s="8" t="s">
        <v>132</v>
      </c>
      <c r="B862" s="8" t="s">
        <v>913</v>
      </c>
      <c r="C862" s="9">
        <v>861</v>
      </c>
      <c r="D862" s="3">
        <v>365000</v>
      </c>
      <c r="E862" s="1">
        <f>datos_limpios[[#This Row],[Price INR   ]]*0.011</f>
        <v>4014.9999999999995</v>
      </c>
      <c r="F862" s="13">
        <v>2009</v>
      </c>
      <c r="G862" s="2">
        <v>90000</v>
      </c>
      <c r="H862" s="8" t="s">
        <v>19</v>
      </c>
      <c r="I862" s="8" t="s">
        <v>13</v>
      </c>
      <c r="J862" s="8" t="s">
        <v>288</v>
      </c>
      <c r="K862" t="s">
        <v>158</v>
      </c>
      <c r="L862" t="s">
        <v>159</v>
      </c>
      <c r="M862" s="2">
        <f>VALUE(MID(L862,1,FIND("@",L862)-6))</f>
        <v>120</v>
      </c>
      <c r="N862">
        <v>8</v>
      </c>
      <c r="O862" t="str">
        <f>IF(datos_limpios[[#This Row],[Seating Capacity ]]&gt;4,"SI","NO")</f>
        <v>SI</v>
      </c>
      <c r="P862">
        <v>60</v>
      </c>
    </row>
    <row r="863" spans="1:16" x14ac:dyDescent="0.3">
      <c r="A863" s="8" t="s">
        <v>132</v>
      </c>
      <c r="B863" s="8" t="s">
        <v>157</v>
      </c>
      <c r="C863" s="9">
        <v>862</v>
      </c>
      <c r="D863" s="3">
        <v>400000</v>
      </c>
      <c r="E863" s="1">
        <f>datos_limpios[[#This Row],[Price INR   ]]*0.011</f>
        <v>4400</v>
      </c>
      <c r="F863" s="13">
        <v>2014</v>
      </c>
      <c r="G863" s="2">
        <v>78000</v>
      </c>
      <c r="H863" s="8" t="s">
        <v>19</v>
      </c>
      <c r="I863" s="8" t="s">
        <v>13</v>
      </c>
      <c r="J863" s="8" t="s">
        <v>20</v>
      </c>
      <c r="K863" t="s">
        <v>158</v>
      </c>
      <c r="L863" t="s">
        <v>159</v>
      </c>
      <c r="M863" s="2">
        <f>VALUE(MID(L863,1,FIND("@",L863)-6))</f>
        <v>120</v>
      </c>
      <c r="N863">
        <v>8</v>
      </c>
      <c r="O863" t="str">
        <f>IF(datos_limpios[[#This Row],[Seating Capacity ]]&gt;4,"SI","NO")</f>
        <v>SI</v>
      </c>
      <c r="P863">
        <v>60</v>
      </c>
    </row>
    <row r="864" spans="1:16" x14ac:dyDescent="0.3">
      <c r="A864" s="8" t="s">
        <v>132</v>
      </c>
      <c r="B864" s="8" t="s">
        <v>157</v>
      </c>
      <c r="C864" s="9">
        <v>863</v>
      </c>
      <c r="D864" s="3">
        <v>434999</v>
      </c>
      <c r="E864" s="1">
        <f>datos_limpios[[#This Row],[Price INR   ]]*0.011</f>
        <v>4784.9889999999996</v>
      </c>
      <c r="F864" s="13">
        <v>2013</v>
      </c>
      <c r="G864" s="2">
        <v>117000</v>
      </c>
      <c r="H864" s="8" t="s">
        <v>19</v>
      </c>
      <c r="I864" s="8" t="s">
        <v>13</v>
      </c>
      <c r="J864" s="8" t="s">
        <v>20</v>
      </c>
      <c r="K864" t="s">
        <v>158</v>
      </c>
      <c r="L864" t="s">
        <v>159</v>
      </c>
      <c r="M864" s="2">
        <f>VALUE(MID(L864,1,FIND("@",L864)-6))</f>
        <v>120</v>
      </c>
      <c r="N864">
        <v>8</v>
      </c>
      <c r="O864" t="str">
        <f>IF(datos_limpios[[#This Row],[Seating Capacity ]]&gt;4,"SI","NO")</f>
        <v>SI</v>
      </c>
      <c r="P864">
        <v>60</v>
      </c>
    </row>
    <row r="865" spans="1:16" x14ac:dyDescent="0.3">
      <c r="A865" s="8" t="s">
        <v>132</v>
      </c>
      <c r="B865" s="8" t="s">
        <v>798</v>
      </c>
      <c r="C865" s="9">
        <v>864</v>
      </c>
      <c r="D865" s="3">
        <v>450000</v>
      </c>
      <c r="E865" s="1">
        <f>datos_limpios[[#This Row],[Price INR   ]]*0.011</f>
        <v>4950</v>
      </c>
      <c r="F865" s="13">
        <v>2011</v>
      </c>
      <c r="G865" s="2">
        <v>95000</v>
      </c>
      <c r="H865" s="8" t="s">
        <v>19</v>
      </c>
      <c r="I865" s="8" t="s">
        <v>13</v>
      </c>
      <c r="J865" s="8" t="s">
        <v>20</v>
      </c>
      <c r="K865" t="s">
        <v>158</v>
      </c>
      <c r="L865" t="s">
        <v>159</v>
      </c>
      <c r="M865" s="2">
        <f>VALUE(MID(L865,1,FIND("@",L865)-6))</f>
        <v>120</v>
      </c>
      <c r="N865">
        <v>8</v>
      </c>
      <c r="O865" t="str">
        <f>IF(datos_limpios[[#This Row],[Seating Capacity ]]&gt;4,"SI","NO")</f>
        <v>SI</v>
      </c>
      <c r="P865">
        <v>60</v>
      </c>
    </row>
    <row r="866" spans="1:16" x14ac:dyDescent="0.3">
      <c r="A866" s="8" t="s">
        <v>132</v>
      </c>
      <c r="B866" s="8" t="s">
        <v>421</v>
      </c>
      <c r="C866" s="9">
        <v>865</v>
      </c>
      <c r="D866" s="3">
        <v>484999</v>
      </c>
      <c r="E866" s="1">
        <f>datos_limpios[[#This Row],[Price INR   ]]*0.011</f>
        <v>5334.9889999999996</v>
      </c>
      <c r="F866" s="13">
        <v>2012</v>
      </c>
      <c r="G866" s="2">
        <v>102000</v>
      </c>
      <c r="H866" s="8" t="s">
        <v>19</v>
      </c>
      <c r="I866" s="8" t="s">
        <v>13</v>
      </c>
      <c r="J866" s="8" t="s">
        <v>14</v>
      </c>
      <c r="K866" t="s">
        <v>158</v>
      </c>
      <c r="L866" t="s">
        <v>395</v>
      </c>
      <c r="M866" s="2">
        <f>VALUE(MID(L866,1,FIND("@",L866)-6))</f>
        <v>140</v>
      </c>
      <c r="N866">
        <v>7</v>
      </c>
      <c r="O866" t="str">
        <f>IF(datos_limpios[[#This Row],[Seating Capacity ]]&gt;4,"SI","NO")</f>
        <v>SI</v>
      </c>
      <c r="P866">
        <v>70</v>
      </c>
    </row>
    <row r="867" spans="1:16" x14ac:dyDescent="0.3">
      <c r="A867" s="8" t="s">
        <v>132</v>
      </c>
      <c r="B867" s="8" t="s">
        <v>1407</v>
      </c>
      <c r="C867" s="9">
        <v>866</v>
      </c>
      <c r="D867" s="3">
        <v>495000</v>
      </c>
      <c r="E867" s="1">
        <f>datos_limpios[[#This Row],[Price INR   ]]*0.011</f>
        <v>5445</v>
      </c>
      <c r="F867" s="13">
        <v>2016</v>
      </c>
      <c r="G867" s="2">
        <v>53376</v>
      </c>
      <c r="H867" s="8" t="s">
        <v>19</v>
      </c>
      <c r="I867" s="8" t="s">
        <v>13</v>
      </c>
      <c r="J867" s="8" t="s">
        <v>62</v>
      </c>
      <c r="K867" t="s">
        <v>15</v>
      </c>
      <c r="L867" t="s">
        <v>1408</v>
      </c>
      <c r="M867" s="2">
        <f>VALUE(MID(L867,1,FIND("@",L867)-6))</f>
        <v>77</v>
      </c>
      <c r="N867">
        <v>6</v>
      </c>
      <c r="O867" t="str">
        <f>IF(datos_limpios[[#This Row],[Seating Capacity ]]&gt;4,"SI","NO")</f>
        <v>SI</v>
      </c>
      <c r="P867">
        <v>35</v>
      </c>
    </row>
    <row r="868" spans="1:16" x14ac:dyDescent="0.3">
      <c r="A868" s="8" t="s">
        <v>132</v>
      </c>
      <c r="B868" s="8" t="s">
        <v>874</v>
      </c>
      <c r="C868" s="9">
        <v>867</v>
      </c>
      <c r="D868" s="3">
        <v>500000</v>
      </c>
      <c r="E868" s="1">
        <f>datos_limpios[[#This Row],[Price INR   ]]*0.011</f>
        <v>5500</v>
      </c>
      <c r="F868" s="13">
        <v>2013</v>
      </c>
      <c r="G868" s="2">
        <v>135000</v>
      </c>
      <c r="H868" s="8" t="s">
        <v>19</v>
      </c>
      <c r="I868" s="8" t="s">
        <v>13</v>
      </c>
      <c r="J868" s="8" t="s">
        <v>101</v>
      </c>
      <c r="K868" t="s">
        <v>158</v>
      </c>
      <c r="L868" t="s">
        <v>395</v>
      </c>
      <c r="M868" s="2">
        <f>VALUE(MID(L868,1,FIND("@",L868)-6))</f>
        <v>140</v>
      </c>
      <c r="N868">
        <v>7</v>
      </c>
      <c r="O868" t="str">
        <f>IF(datos_limpios[[#This Row],[Seating Capacity ]]&gt;4,"SI","NO")</f>
        <v>SI</v>
      </c>
      <c r="P868">
        <v>70</v>
      </c>
    </row>
    <row r="869" spans="1:16" x14ac:dyDescent="0.3">
      <c r="A869" s="8" t="s">
        <v>132</v>
      </c>
      <c r="B869" s="8" t="s">
        <v>1021</v>
      </c>
      <c r="C869" s="9">
        <v>868</v>
      </c>
      <c r="D869" s="3">
        <v>525000</v>
      </c>
      <c r="E869" s="1">
        <f>datos_limpios[[#This Row],[Price INR   ]]*0.011</f>
        <v>5775</v>
      </c>
      <c r="F869" s="13">
        <v>2015</v>
      </c>
      <c r="G869" s="2">
        <v>85000</v>
      </c>
      <c r="H869" s="8" t="s">
        <v>19</v>
      </c>
      <c r="I869" s="8" t="s">
        <v>13</v>
      </c>
      <c r="J869" s="8" t="s">
        <v>288</v>
      </c>
      <c r="K869" t="s">
        <v>134</v>
      </c>
      <c r="L869" t="s">
        <v>1542</v>
      </c>
      <c r="M869" s="2">
        <f>VALUE(MID(L869,1,FIND("@",L869)-6))</f>
        <v>105</v>
      </c>
      <c r="N869">
        <v>7</v>
      </c>
      <c r="O869" t="str">
        <f>IF(datos_limpios[[#This Row],[Seating Capacity ]]&gt;4,"SI","NO")</f>
        <v>SI</v>
      </c>
      <c r="P869">
        <v>60</v>
      </c>
    </row>
    <row r="870" spans="1:16" x14ac:dyDescent="0.3">
      <c r="A870" s="8" t="s">
        <v>132</v>
      </c>
      <c r="B870" s="8" t="s">
        <v>1260</v>
      </c>
      <c r="C870" s="9">
        <v>869</v>
      </c>
      <c r="D870" s="3">
        <v>525000</v>
      </c>
      <c r="E870" s="1">
        <f>datos_limpios[[#This Row],[Price INR   ]]*0.011</f>
        <v>5775</v>
      </c>
      <c r="F870" s="13">
        <v>2015</v>
      </c>
      <c r="G870" s="2">
        <v>39234</v>
      </c>
      <c r="H870" s="8" t="s">
        <v>19</v>
      </c>
      <c r="I870" s="8" t="s">
        <v>13</v>
      </c>
      <c r="J870" s="8" t="s">
        <v>20</v>
      </c>
      <c r="K870" t="s">
        <v>619</v>
      </c>
      <c r="L870" t="s">
        <v>1261</v>
      </c>
      <c r="M870" s="2">
        <f>VALUE(MID(L870,1,FIND("@",L870)-6))</f>
        <v>63</v>
      </c>
      <c r="N870">
        <v>7</v>
      </c>
      <c r="O870" t="str">
        <f>IF(datos_limpios[[#This Row],[Seating Capacity ]]&gt;4,"SI","NO")</f>
        <v>SI</v>
      </c>
      <c r="P870">
        <v>60</v>
      </c>
    </row>
    <row r="871" spans="1:16" x14ac:dyDescent="0.3">
      <c r="A871" s="8" t="s">
        <v>132</v>
      </c>
      <c r="B871" s="8" t="s">
        <v>421</v>
      </c>
      <c r="C871" s="9">
        <v>870</v>
      </c>
      <c r="D871" s="3">
        <v>549000</v>
      </c>
      <c r="E871" s="1">
        <f>datos_limpios[[#This Row],[Price INR   ]]*0.011</f>
        <v>6039</v>
      </c>
      <c r="F871" s="13">
        <v>2012</v>
      </c>
      <c r="G871" s="2">
        <v>143000</v>
      </c>
      <c r="H871" s="8" t="s">
        <v>19</v>
      </c>
      <c r="I871" s="8" t="s">
        <v>13</v>
      </c>
      <c r="J871" s="8" t="s">
        <v>77</v>
      </c>
      <c r="K871" t="s">
        <v>158</v>
      </c>
      <c r="L871" t="s">
        <v>395</v>
      </c>
      <c r="M871" s="2">
        <f>VALUE(MID(L871,1,FIND("@",L871)-6))</f>
        <v>140</v>
      </c>
      <c r="N871">
        <v>7</v>
      </c>
      <c r="O871" t="str">
        <f>IF(datos_limpios[[#This Row],[Seating Capacity ]]&gt;4,"SI","NO")</f>
        <v>SI</v>
      </c>
      <c r="P871">
        <v>70</v>
      </c>
    </row>
    <row r="872" spans="1:16" x14ac:dyDescent="0.3">
      <c r="A872" s="8" t="s">
        <v>132</v>
      </c>
      <c r="B872" s="8" t="s">
        <v>274</v>
      </c>
      <c r="C872" s="9">
        <v>871</v>
      </c>
      <c r="D872" s="3">
        <v>550000</v>
      </c>
      <c r="E872" s="1">
        <f>datos_limpios[[#This Row],[Price INR   ]]*0.011</f>
        <v>6050</v>
      </c>
      <c r="F872" s="13">
        <v>2007</v>
      </c>
      <c r="G872" s="2">
        <v>92170</v>
      </c>
      <c r="H872" s="8" t="s">
        <v>19</v>
      </c>
      <c r="I872" s="8" t="s">
        <v>13</v>
      </c>
      <c r="J872" s="8" t="s">
        <v>20</v>
      </c>
      <c r="K872" t="s">
        <v>275</v>
      </c>
      <c r="L872" t="s">
        <v>1543</v>
      </c>
      <c r="M872" s="2">
        <f>VALUE(MID(L872,1,FIND("@",L872)-6))</f>
        <v>116</v>
      </c>
      <c r="N872">
        <v>7</v>
      </c>
      <c r="O872" t="str">
        <f>IF(datos_limpios[[#This Row],[Seating Capacity ]]&gt;4,"SI","NO")</f>
        <v>SI</v>
      </c>
      <c r="P872">
        <v>60</v>
      </c>
    </row>
    <row r="873" spans="1:16" x14ac:dyDescent="0.3">
      <c r="A873" s="8" t="s">
        <v>132</v>
      </c>
      <c r="B873" s="8" t="s">
        <v>714</v>
      </c>
      <c r="C873" s="9">
        <v>872</v>
      </c>
      <c r="D873" s="3">
        <v>565000</v>
      </c>
      <c r="E873" s="1">
        <f>datos_limpios[[#This Row],[Price INR   ]]*0.011</f>
        <v>6215</v>
      </c>
      <c r="F873" s="13">
        <v>2017</v>
      </c>
      <c r="G873" s="2">
        <v>65000</v>
      </c>
      <c r="H873" s="8" t="s">
        <v>19</v>
      </c>
      <c r="I873" s="8" t="s">
        <v>13</v>
      </c>
      <c r="J873" s="8" t="s">
        <v>30</v>
      </c>
      <c r="K873" t="s">
        <v>184</v>
      </c>
      <c r="L873" t="s">
        <v>50</v>
      </c>
      <c r="M873" s="2">
        <f>VALUE(MID(L873,1,FIND("@",L873)-6))</f>
        <v>84</v>
      </c>
      <c r="N873">
        <v>7</v>
      </c>
      <c r="O873" t="str">
        <f>IF(datos_limpios[[#This Row],[Seating Capacity ]]&gt;4,"SI","NO")</f>
        <v>SI</v>
      </c>
      <c r="P873">
        <v>60</v>
      </c>
    </row>
    <row r="874" spans="1:16" x14ac:dyDescent="0.3">
      <c r="A874" s="8" t="s">
        <v>132</v>
      </c>
      <c r="B874" s="8" t="s">
        <v>705</v>
      </c>
      <c r="C874" s="9">
        <v>873</v>
      </c>
      <c r="D874" s="3">
        <v>580000</v>
      </c>
      <c r="E874" s="1">
        <f>datos_limpios[[#This Row],[Price INR   ]]*0.011</f>
        <v>6380</v>
      </c>
      <c r="F874" s="13">
        <v>2011</v>
      </c>
      <c r="G874" s="2">
        <v>117000</v>
      </c>
      <c r="H874" s="8" t="s">
        <v>19</v>
      </c>
      <c r="I874" s="8" t="s">
        <v>13</v>
      </c>
      <c r="J874" s="8" t="s">
        <v>20</v>
      </c>
      <c r="K874" t="s">
        <v>158</v>
      </c>
      <c r="L874" t="s">
        <v>1545</v>
      </c>
      <c r="M874" s="2">
        <f>VALUE(MID(L874,1,FIND("@",L874)-6))</f>
        <v>122</v>
      </c>
      <c r="N874">
        <v>7</v>
      </c>
      <c r="O874" t="str">
        <f>IF(datos_limpios[[#This Row],[Seating Capacity ]]&gt;4,"SI","NO")</f>
        <v>SI</v>
      </c>
      <c r="P874">
        <v>60</v>
      </c>
    </row>
    <row r="875" spans="1:16" x14ac:dyDescent="0.3">
      <c r="A875" s="8" t="s">
        <v>132</v>
      </c>
      <c r="B875" s="8" t="s">
        <v>335</v>
      </c>
      <c r="C875" s="9">
        <v>874</v>
      </c>
      <c r="D875" s="3">
        <v>600000</v>
      </c>
      <c r="E875" s="1">
        <f>datos_limpios[[#This Row],[Price INR   ]]*0.011</f>
        <v>6600</v>
      </c>
      <c r="F875" s="13">
        <v>2014</v>
      </c>
      <c r="G875" s="2">
        <v>83000</v>
      </c>
      <c r="H875" s="8" t="s">
        <v>19</v>
      </c>
      <c r="I875" s="8" t="s">
        <v>13</v>
      </c>
      <c r="J875" s="8" t="s">
        <v>20</v>
      </c>
      <c r="K875" t="s">
        <v>158</v>
      </c>
      <c r="L875" t="s">
        <v>159</v>
      </c>
      <c r="M875" s="2">
        <f>VALUE(MID(L875,1,FIND("@",L875)-6))</f>
        <v>120</v>
      </c>
      <c r="N875">
        <v>8</v>
      </c>
      <c r="O875" t="str">
        <f>IF(datos_limpios[[#This Row],[Seating Capacity ]]&gt;4,"SI","NO")</f>
        <v>SI</v>
      </c>
      <c r="P875">
        <v>60</v>
      </c>
    </row>
    <row r="876" spans="1:16" x14ac:dyDescent="0.3">
      <c r="A876" s="8" t="s">
        <v>132</v>
      </c>
      <c r="B876" s="8" t="s">
        <v>714</v>
      </c>
      <c r="C876" s="9">
        <v>875</v>
      </c>
      <c r="D876" s="3">
        <v>600000</v>
      </c>
      <c r="E876" s="1">
        <f>datos_limpios[[#This Row],[Price INR   ]]*0.011</f>
        <v>6600</v>
      </c>
      <c r="F876" s="13">
        <v>2016</v>
      </c>
      <c r="G876" s="2">
        <v>92000</v>
      </c>
      <c r="H876" s="8" t="s">
        <v>19</v>
      </c>
      <c r="I876" s="8" t="s">
        <v>13</v>
      </c>
      <c r="J876" s="8" t="s">
        <v>20</v>
      </c>
      <c r="K876" t="s">
        <v>184</v>
      </c>
      <c r="L876" t="s">
        <v>50</v>
      </c>
      <c r="M876" s="2">
        <f>VALUE(MID(L876,1,FIND("@",L876)-6))</f>
        <v>84</v>
      </c>
      <c r="N876">
        <v>7</v>
      </c>
      <c r="O876" t="str">
        <f>IF(datos_limpios[[#This Row],[Seating Capacity ]]&gt;4,"SI","NO")</f>
        <v>SI</v>
      </c>
      <c r="P876">
        <v>60</v>
      </c>
    </row>
    <row r="877" spans="1:16" x14ac:dyDescent="0.3">
      <c r="A877" s="8" t="s">
        <v>132</v>
      </c>
      <c r="B877" s="8" t="s">
        <v>632</v>
      </c>
      <c r="C877" s="9">
        <v>876</v>
      </c>
      <c r="D877" s="3">
        <v>615000</v>
      </c>
      <c r="E877" s="1">
        <f>datos_limpios[[#This Row],[Price INR   ]]*0.011</f>
        <v>6765</v>
      </c>
      <c r="F877" s="13">
        <v>2017</v>
      </c>
      <c r="G877" s="2">
        <v>69000</v>
      </c>
      <c r="H877" s="8" t="s">
        <v>19</v>
      </c>
      <c r="I877" s="8" t="s">
        <v>40</v>
      </c>
      <c r="J877" s="8" t="s">
        <v>101</v>
      </c>
      <c r="K877" t="s">
        <v>184</v>
      </c>
      <c r="L877" t="s">
        <v>633</v>
      </c>
      <c r="M877" s="2">
        <f>VALUE(MID(L877,1,FIND("@",L877)-6))</f>
        <v>100</v>
      </c>
      <c r="N877">
        <v>7</v>
      </c>
      <c r="O877" t="str">
        <f>IF(datos_limpios[[#This Row],[Seating Capacity ]]&gt;4,"SI","NO")</f>
        <v>SI</v>
      </c>
      <c r="P877">
        <v>60</v>
      </c>
    </row>
    <row r="878" spans="1:16" x14ac:dyDescent="0.3">
      <c r="A878" s="8" t="s">
        <v>132</v>
      </c>
      <c r="B878" s="8" t="s">
        <v>133</v>
      </c>
      <c r="C878" s="9">
        <v>877</v>
      </c>
      <c r="D878" s="3">
        <v>625000</v>
      </c>
      <c r="E878" s="1">
        <f>datos_limpios[[#This Row],[Price INR   ]]*0.011</f>
        <v>6875</v>
      </c>
      <c r="F878" s="13">
        <v>2015</v>
      </c>
      <c r="G878" s="2">
        <v>65000</v>
      </c>
      <c r="H878" s="8" t="s">
        <v>19</v>
      </c>
      <c r="I878" s="8" t="s">
        <v>13</v>
      </c>
      <c r="J878" s="8" t="s">
        <v>20</v>
      </c>
      <c r="K878" t="s">
        <v>134</v>
      </c>
      <c r="L878" t="s">
        <v>135</v>
      </c>
      <c r="M878" s="2">
        <f>VALUE(MID(L878,1,FIND("@",L878)-6))</f>
        <v>105</v>
      </c>
      <c r="N878">
        <v>6</v>
      </c>
      <c r="O878" t="str">
        <f>IF(datos_limpios[[#This Row],[Seating Capacity ]]&gt;4,"SI","NO")</f>
        <v>SI</v>
      </c>
      <c r="P878">
        <v>60</v>
      </c>
    </row>
    <row r="879" spans="1:16" x14ac:dyDescent="0.3">
      <c r="A879" s="8" t="s">
        <v>132</v>
      </c>
      <c r="B879" s="8" t="s">
        <v>798</v>
      </c>
      <c r="C879" s="9">
        <v>878</v>
      </c>
      <c r="D879" s="3">
        <v>625000</v>
      </c>
      <c r="E879" s="1">
        <f>datos_limpios[[#This Row],[Price INR   ]]*0.011</f>
        <v>6875</v>
      </c>
      <c r="F879" s="13">
        <v>2013</v>
      </c>
      <c r="G879" s="2">
        <v>170000</v>
      </c>
      <c r="H879" s="8" t="s">
        <v>19</v>
      </c>
      <c r="I879" s="8" t="s">
        <v>13</v>
      </c>
      <c r="J879" s="8" t="s">
        <v>20</v>
      </c>
      <c r="K879" t="s">
        <v>158</v>
      </c>
      <c r="L879" t="s">
        <v>159</v>
      </c>
      <c r="M879" s="2">
        <f>VALUE(MID(L879,1,FIND("@",L879)-6))</f>
        <v>120</v>
      </c>
      <c r="N879">
        <v>8</v>
      </c>
      <c r="O879" t="str">
        <f>IF(datos_limpios[[#This Row],[Seating Capacity ]]&gt;4,"SI","NO")</f>
        <v>SI</v>
      </c>
      <c r="P879">
        <v>60</v>
      </c>
    </row>
    <row r="880" spans="1:16" x14ac:dyDescent="0.3">
      <c r="A880" s="8" t="s">
        <v>132</v>
      </c>
      <c r="B880" s="8" t="s">
        <v>848</v>
      </c>
      <c r="C880" s="9">
        <v>879</v>
      </c>
      <c r="D880" s="3">
        <v>630000</v>
      </c>
      <c r="E880" s="1">
        <f>datos_limpios[[#This Row],[Price INR   ]]*0.011</f>
        <v>6930</v>
      </c>
      <c r="F880" s="13">
        <v>2015</v>
      </c>
      <c r="G880" s="2">
        <v>115339</v>
      </c>
      <c r="H880" s="8" t="s">
        <v>19</v>
      </c>
      <c r="I880" s="8" t="s">
        <v>13</v>
      </c>
      <c r="J880" s="8" t="s">
        <v>20</v>
      </c>
      <c r="K880" t="s">
        <v>184</v>
      </c>
      <c r="L880" t="s">
        <v>633</v>
      </c>
      <c r="M880" s="2">
        <f>VALUE(MID(L880,1,FIND("@",L880)-6))</f>
        <v>100</v>
      </c>
      <c r="N880">
        <v>7</v>
      </c>
      <c r="O880" t="str">
        <f>IF(datos_limpios[[#This Row],[Seating Capacity ]]&gt;4,"SI","NO")</f>
        <v>SI</v>
      </c>
      <c r="P880">
        <v>60</v>
      </c>
    </row>
    <row r="881" spans="1:16" x14ac:dyDescent="0.3">
      <c r="A881" s="8" t="s">
        <v>132</v>
      </c>
      <c r="B881" s="8" t="s">
        <v>938</v>
      </c>
      <c r="C881" s="9">
        <v>880</v>
      </c>
      <c r="D881" s="3">
        <v>650000</v>
      </c>
      <c r="E881" s="1">
        <f>datos_limpios[[#This Row],[Price INR   ]]*0.011</f>
        <v>7150</v>
      </c>
      <c r="F881" s="13">
        <v>2015</v>
      </c>
      <c r="G881" s="2">
        <v>104000</v>
      </c>
      <c r="H881" s="8" t="s">
        <v>19</v>
      </c>
      <c r="I881" s="8" t="s">
        <v>13</v>
      </c>
      <c r="J881" s="8" t="s">
        <v>20</v>
      </c>
      <c r="K881" t="s">
        <v>619</v>
      </c>
      <c r="L881" t="s">
        <v>620</v>
      </c>
      <c r="M881" s="2">
        <f>VALUE(MID(L881,1,FIND("@",L881)-6))</f>
        <v>75</v>
      </c>
      <c r="N881">
        <v>8</v>
      </c>
      <c r="O881" t="str">
        <f>IF(datos_limpios[[#This Row],[Seating Capacity ]]&gt;4,"SI","NO")</f>
        <v>SI</v>
      </c>
      <c r="P881">
        <v>60</v>
      </c>
    </row>
    <row r="882" spans="1:16" x14ac:dyDescent="0.3">
      <c r="A882" s="8" t="s">
        <v>132</v>
      </c>
      <c r="B882" s="8" t="s">
        <v>1370</v>
      </c>
      <c r="C882" s="9">
        <v>881</v>
      </c>
      <c r="D882" s="3">
        <v>650000</v>
      </c>
      <c r="E882" s="1">
        <f>datos_limpios[[#This Row],[Price INR   ]]*0.011</f>
        <v>7150</v>
      </c>
      <c r="F882" s="13">
        <v>2015</v>
      </c>
      <c r="G882" s="2">
        <v>49776</v>
      </c>
      <c r="H882" s="8" t="s">
        <v>19</v>
      </c>
      <c r="I882" s="8" t="s">
        <v>40</v>
      </c>
      <c r="J882" s="8" t="s">
        <v>20</v>
      </c>
      <c r="K882" t="s">
        <v>184</v>
      </c>
      <c r="L882" t="s">
        <v>50</v>
      </c>
      <c r="M882" s="2">
        <f>VALUE(MID(L882,1,FIND("@",L882)-6))</f>
        <v>84</v>
      </c>
      <c r="N882">
        <v>7</v>
      </c>
      <c r="O882" t="str">
        <f>IF(datos_limpios[[#This Row],[Seating Capacity ]]&gt;4,"SI","NO")</f>
        <v>SI</v>
      </c>
      <c r="P882">
        <v>60</v>
      </c>
    </row>
    <row r="883" spans="1:16" x14ac:dyDescent="0.3">
      <c r="A883" s="8" t="s">
        <v>132</v>
      </c>
      <c r="B883" s="8" t="s">
        <v>1080</v>
      </c>
      <c r="C883" s="9">
        <v>882</v>
      </c>
      <c r="D883" s="3">
        <v>671000</v>
      </c>
      <c r="E883" s="1">
        <f>datos_limpios[[#This Row],[Price INR   ]]*0.011</f>
        <v>7381</v>
      </c>
      <c r="F883" s="13">
        <v>2013</v>
      </c>
      <c r="G883" s="2">
        <v>47000</v>
      </c>
      <c r="H883" s="8" t="s">
        <v>19</v>
      </c>
      <c r="I883" s="8" t="s">
        <v>13</v>
      </c>
      <c r="J883" s="8" t="s">
        <v>20</v>
      </c>
      <c r="K883" t="s">
        <v>158</v>
      </c>
      <c r="L883" t="s">
        <v>159</v>
      </c>
      <c r="M883" s="2">
        <f>VALUE(MID(L883,1,FIND("@",L883)-6))</f>
        <v>120</v>
      </c>
      <c r="N883">
        <v>8</v>
      </c>
      <c r="O883" t="str">
        <f>IF(datos_limpios[[#This Row],[Seating Capacity ]]&gt;4,"SI","NO")</f>
        <v>SI</v>
      </c>
      <c r="P883">
        <v>60</v>
      </c>
    </row>
    <row r="884" spans="1:16" x14ac:dyDescent="0.3">
      <c r="A884" s="8" t="s">
        <v>132</v>
      </c>
      <c r="B884" s="8" t="s">
        <v>157</v>
      </c>
      <c r="C884" s="9">
        <v>883</v>
      </c>
      <c r="D884" s="3">
        <v>675000</v>
      </c>
      <c r="E884" s="1">
        <f>datos_limpios[[#This Row],[Price INR   ]]*0.011</f>
        <v>7425</v>
      </c>
      <c r="F884" s="13">
        <v>2014</v>
      </c>
      <c r="G884" s="2">
        <v>78000</v>
      </c>
      <c r="H884" s="8" t="s">
        <v>19</v>
      </c>
      <c r="I884" s="8" t="s">
        <v>13</v>
      </c>
      <c r="J884" s="8" t="s">
        <v>20</v>
      </c>
      <c r="K884" t="s">
        <v>158</v>
      </c>
      <c r="L884" t="s">
        <v>159</v>
      </c>
      <c r="M884" s="2">
        <f>VALUE(MID(L884,1,FIND("@",L884)-6))</f>
        <v>120</v>
      </c>
      <c r="N884">
        <v>8</v>
      </c>
      <c r="O884" t="str">
        <f>IF(datos_limpios[[#This Row],[Seating Capacity ]]&gt;4,"SI","NO")</f>
        <v>SI</v>
      </c>
      <c r="P884">
        <v>60</v>
      </c>
    </row>
    <row r="885" spans="1:16" x14ac:dyDescent="0.3">
      <c r="A885" s="8" t="s">
        <v>132</v>
      </c>
      <c r="B885" s="8" t="s">
        <v>601</v>
      </c>
      <c r="C885" s="9">
        <v>884</v>
      </c>
      <c r="D885" s="3">
        <v>690000</v>
      </c>
      <c r="E885" s="1">
        <f>datos_limpios[[#This Row],[Price INR   ]]*0.011</f>
        <v>7590</v>
      </c>
      <c r="F885" s="13">
        <v>2015</v>
      </c>
      <c r="G885" s="2">
        <v>157662</v>
      </c>
      <c r="H885" s="8" t="s">
        <v>19</v>
      </c>
      <c r="I885" s="8" t="s">
        <v>13</v>
      </c>
      <c r="J885" s="8" t="s">
        <v>77</v>
      </c>
      <c r="K885" t="s">
        <v>201</v>
      </c>
      <c r="L885" t="s">
        <v>64</v>
      </c>
      <c r="M885" s="2">
        <f>VALUE(MID(L885,1,FIND("@",L885)-6))</f>
        <v>138</v>
      </c>
      <c r="N885">
        <v>7</v>
      </c>
      <c r="O885" t="str">
        <f>IF(datos_limpios[[#This Row],[Seating Capacity ]]&gt;4,"SI","NO")</f>
        <v>SI</v>
      </c>
      <c r="P885">
        <v>70</v>
      </c>
    </row>
    <row r="886" spans="1:16" x14ac:dyDescent="0.3">
      <c r="A886" s="8" t="s">
        <v>132</v>
      </c>
      <c r="B886" s="8" t="s">
        <v>1429</v>
      </c>
      <c r="C886" s="9">
        <v>885</v>
      </c>
      <c r="D886" s="3">
        <v>735000</v>
      </c>
      <c r="E886" s="1">
        <f>datos_limpios[[#This Row],[Price INR   ]]*0.011</f>
        <v>8084.9999999999991</v>
      </c>
      <c r="F886" s="13">
        <v>2015</v>
      </c>
      <c r="G886" s="2">
        <v>121000</v>
      </c>
      <c r="H886" s="8" t="s">
        <v>19</v>
      </c>
      <c r="I886" s="8" t="s">
        <v>13</v>
      </c>
      <c r="J886" s="8" t="s">
        <v>20</v>
      </c>
      <c r="K886" t="s">
        <v>158</v>
      </c>
      <c r="L886" t="s">
        <v>64</v>
      </c>
      <c r="M886" s="2">
        <f>VALUE(MID(L886,1,FIND("@",L886)-6))</f>
        <v>138</v>
      </c>
      <c r="N886">
        <v>7</v>
      </c>
      <c r="O886" t="str">
        <f>IF(datos_limpios[[#This Row],[Seating Capacity ]]&gt;4,"SI","NO")</f>
        <v>SI</v>
      </c>
      <c r="P886">
        <v>70</v>
      </c>
    </row>
    <row r="887" spans="1:16" x14ac:dyDescent="0.3">
      <c r="A887" s="8" t="s">
        <v>132</v>
      </c>
      <c r="B887" s="8" t="s">
        <v>421</v>
      </c>
      <c r="C887" s="9">
        <v>886</v>
      </c>
      <c r="D887" s="3">
        <v>740000</v>
      </c>
      <c r="E887" s="1">
        <f>datos_limpios[[#This Row],[Price INR   ]]*0.011</f>
        <v>8139.9999999999991</v>
      </c>
      <c r="F887" s="13">
        <v>2013</v>
      </c>
      <c r="G887" s="2">
        <v>83555</v>
      </c>
      <c r="H887" s="8" t="s">
        <v>19</v>
      </c>
      <c r="I887" s="8" t="s">
        <v>13</v>
      </c>
      <c r="J887" s="8" t="s">
        <v>101</v>
      </c>
      <c r="K887" t="s">
        <v>158</v>
      </c>
      <c r="L887" t="s">
        <v>395</v>
      </c>
      <c r="M887" s="2">
        <f>VALUE(MID(L887,1,FIND("@",L887)-6))</f>
        <v>140</v>
      </c>
      <c r="N887">
        <v>7</v>
      </c>
      <c r="O887" t="str">
        <f>IF(datos_limpios[[#This Row],[Seating Capacity ]]&gt;4,"SI","NO")</f>
        <v>SI</v>
      </c>
      <c r="P887">
        <v>70</v>
      </c>
    </row>
    <row r="888" spans="1:16" x14ac:dyDescent="0.3">
      <c r="A888" s="8" t="s">
        <v>132</v>
      </c>
      <c r="B888" s="8" t="s">
        <v>560</v>
      </c>
      <c r="C888" s="9">
        <v>887</v>
      </c>
      <c r="D888" s="3">
        <v>775000</v>
      </c>
      <c r="E888" s="1">
        <f>datos_limpios[[#This Row],[Price INR   ]]*0.011</f>
        <v>8525</v>
      </c>
      <c r="F888" s="13">
        <v>2014</v>
      </c>
      <c r="G888" s="2">
        <v>125000</v>
      </c>
      <c r="H888" s="8" t="s">
        <v>19</v>
      </c>
      <c r="I888" s="8" t="s">
        <v>13</v>
      </c>
      <c r="J888" s="8" t="s">
        <v>20</v>
      </c>
      <c r="K888" t="s">
        <v>158</v>
      </c>
      <c r="L888" t="s">
        <v>159</v>
      </c>
      <c r="M888" s="2">
        <f>VALUE(MID(L888,1,FIND("@",L888)-6))</f>
        <v>120</v>
      </c>
      <c r="N888">
        <v>8</v>
      </c>
      <c r="O888" t="str">
        <f>IF(datos_limpios[[#This Row],[Seating Capacity ]]&gt;4,"SI","NO")</f>
        <v>SI</v>
      </c>
      <c r="P888">
        <v>60</v>
      </c>
    </row>
    <row r="889" spans="1:16" x14ac:dyDescent="0.3">
      <c r="A889" s="8" t="s">
        <v>132</v>
      </c>
      <c r="B889" s="8" t="s">
        <v>1148</v>
      </c>
      <c r="C889" s="9">
        <v>888</v>
      </c>
      <c r="D889" s="3">
        <v>785000</v>
      </c>
      <c r="E889" s="1">
        <f>datos_limpios[[#This Row],[Price INR   ]]*0.011</f>
        <v>8635</v>
      </c>
      <c r="F889" s="13">
        <v>2017</v>
      </c>
      <c r="G889" s="2">
        <v>44000</v>
      </c>
      <c r="H889" s="8" t="s">
        <v>19</v>
      </c>
      <c r="I889" s="8" t="s">
        <v>13</v>
      </c>
      <c r="J889" s="8" t="s">
        <v>20</v>
      </c>
      <c r="K889" t="s">
        <v>184</v>
      </c>
      <c r="L889" t="s">
        <v>633</v>
      </c>
      <c r="M889" s="2">
        <f>VALUE(MID(L889,1,FIND("@",L889)-6))</f>
        <v>100</v>
      </c>
      <c r="N889">
        <v>7</v>
      </c>
      <c r="O889" t="str">
        <f>IF(datos_limpios[[#This Row],[Seating Capacity ]]&gt;4,"SI","NO")</f>
        <v>SI</v>
      </c>
      <c r="P889">
        <v>60</v>
      </c>
    </row>
    <row r="890" spans="1:16" x14ac:dyDescent="0.3">
      <c r="A890" s="8" t="s">
        <v>132</v>
      </c>
      <c r="B890" s="8" t="s">
        <v>938</v>
      </c>
      <c r="C890" s="9">
        <v>889</v>
      </c>
      <c r="D890" s="3">
        <v>795000</v>
      </c>
      <c r="E890" s="1">
        <f>datos_limpios[[#This Row],[Price INR   ]]*0.011</f>
        <v>8745</v>
      </c>
      <c r="F890" s="13">
        <v>2015</v>
      </c>
      <c r="G890" s="2">
        <v>86000</v>
      </c>
      <c r="H890" s="8" t="s">
        <v>19</v>
      </c>
      <c r="I890" s="8" t="s">
        <v>13</v>
      </c>
      <c r="J890" s="8" t="s">
        <v>20</v>
      </c>
      <c r="K890" t="s">
        <v>619</v>
      </c>
      <c r="L890" t="s">
        <v>620</v>
      </c>
      <c r="M890" s="2">
        <f>VALUE(MID(L890,1,FIND("@",L890)-6))</f>
        <v>75</v>
      </c>
      <c r="N890">
        <v>8</v>
      </c>
      <c r="O890" t="str">
        <f>IF(datos_limpios[[#This Row],[Seating Capacity ]]&gt;4,"SI","NO")</f>
        <v>SI</v>
      </c>
      <c r="P890">
        <v>60</v>
      </c>
    </row>
    <row r="891" spans="1:16" x14ac:dyDescent="0.3">
      <c r="A891" s="8" t="s">
        <v>132</v>
      </c>
      <c r="B891" s="8" t="s">
        <v>717</v>
      </c>
      <c r="C891" s="9">
        <v>890</v>
      </c>
      <c r="D891" s="3">
        <v>800000</v>
      </c>
      <c r="E891" s="1">
        <f>datos_limpios[[#This Row],[Price INR   ]]*0.011</f>
        <v>8800</v>
      </c>
      <c r="F891" s="13">
        <v>2015</v>
      </c>
      <c r="G891" s="2">
        <v>25000</v>
      </c>
      <c r="H891" s="8" t="s">
        <v>19</v>
      </c>
      <c r="I891" s="8" t="s">
        <v>13</v>
      </c>
      <c r="J891" s="8" t="s">
        <v>14</v>
      </c>
      <c r="K891" t="s">
        <v>158</v>
      </c>
      <c r="L891" t="s">
        <v>64</v>
      </c>
      <c r="M891" s="2">
        <f>VALUE(MID(L891,1,FIND("@",L891)-6))</f>
        <v>138</v>
      </c>
      <c r="N891">
        <v>7</v>
      </c>
      <c r="O891" t="str">
        <f>IF(datos_limpios[[#This Row],[Seating Capacity ]]&gt;4,"SI","NO")</f>
        <v>SI</v>
      </c>
      <c r="P891">
        <v>70</v>
      </c>
    </row>
    <row r="892" spans="1:16" x14ac:dyDescent="0.3">
      <c r="A892" s="8" t="s">
        <v>132</v>
      </c>
      <c r="B892" s="8" t="s">
        <v>1355</v>
      </c>
      <c r="C892" s="9">
        <v>891</v>
      </c>
      <c r="D892" s="3">
        <v>800000</v>
      </c>
      <c r="E892" s="1">
        <f>datos_limpios[[#This Row],[Price INR   ]]*0.011</f>
        <v>8800</v>
      </c>
      <c r="F892" s="13">
        <v>2017</v>
      </c>
      <c r="G892" s="2">
        <v>112000</v>
      </c>
      <c r="H892" s="8" t="s">
        <v>19</v>
      </c>
      <c r="I892" s="8" t="s">
        <v>13</v>
      </c>
      <c r="J892" s="8" t="s">
        <v>77</v>
      </c>
      <c r="K892" t="s">
        <v>201</v>
      </c>
      <c r="L892" t="s">
        <v>64</v>
      </c>
      <c r="M892" s="2">
        <f>VALUE(MID(L892,1,FIND("@",L892)-6))</f>
        <v>138</v>
      </c>
      <c r="N892">
        <v>7</v>
      </c>
      <c r="O892" t="str">
        <f>IF(datos_limpios[[#This Row],[Seating Capacity ]]&gt;4,"SI","NO")</f>
        <v>SI</v>
      </c>
      <c r="P892">
        <v>70</v>
      </c>
    </row>
    <row r="893" spans="1:16" x14ac:dyDescent="0.3">
      <c r="A893" s="8" t="s">
        <v>132</v>
      </c>
      <c r="B893" s="8" t="s">
        <v>1227</v>
      </c>
      <c r="C893" s="9">
        <v>892</v>
      </c>
      <c r="D893" s="3">
        <v>810000</v>
      </c>
      <c r="E893" s="1">
        <f>datos_limpios[[#This Row],[Price INR   ]]*0.011</f>
        <v>8910</v>
      </c>
      <c r="F893" s="13">
        <v>2012</v>
      </c>
      <c r="G893" s="2">
        <v>47531</v>
      </c>
      <c r="H893" s="8" t="s">
        <v>19</v>
      </c>
      <c r="I893" s="8" t="s">
        <v>13</v>
      </c>
      <c r="J893" s="8" t="s">
        <v>20</v>
      </c>
      <c r="K893" t="s">
        <v>158</v>
      </c>
      <c r="L893" t="s">
        <v>395</v>
      </c>
      <c r="M893" s="2">
        <f>VALUE(MID(L893,1,FIND("@",L893)-6))</f>
        <v>140</v>
      </c>
      <c r="N893">
        <v>7</v>
      </c>
      <c r="O893" t="str">
        <f>IF(datos_limpios[[#This Row],[Seating Capacity ]]&gt;4,"SI","NO")</f>
        <v>SI</v>
      </c>
      <c r="P893">
        <v>70</v>
      </c>
    </row>
    <row r="894" spans="1:16" x14ac:dyDescent="0.3">
      <c r="A894" s="8" t="s">
        <v>132</v>
      </c>
      <c r="B894" s="8" t="s">
        <v>717</v>
      </c>
      <c r="C894" s="9">
        <v>893</v>
      </c>
      <c r="D894" s="3">
        <v>850000</v>
      </c>
      <c r="E894" s="1">
        <f>datos_limpios[[#This Row],[Price INR   ]]*0.011</f>
        <v>9350</v>
      </c>
      <c r="F894" s="13">
        <v>2016</v>
      </c>
      <c r="G894" s="2">
        <v>114000</v>
      </c>
      <c r="H894" s="8" t="s">
        <v>19</v>
      </c>
      <c r="I894" s="8" t="s">
        <v>13</v>
      </c>
      <c r="J894" s="8" t="s">
        <v>20</v>
      </c>
      <c r="K894" t="s">
        <v>158</v>
      </c>
      <c r="L894" t="s">
        <v>64</v>
      </c>
      <c r="M894" s="2">
        <f>VALUE(MID(L894,1,FIND("@",L894)-6))</f>
        <v>138</v>
      </c>
      <c r="N894">
        <v>7</v>
      </c>
      <c r="O894" t="str">
        <f>IF(datos_limpios[[#This Row],[Seating Capacity ]]&gt;4,"SI","NO")</f>
        <v>SI</v>
      </c>
      <c r="P894">
        <v>70</v>
      </c>
    </row>
    <row r="895" spans="1:16" x14ac:dyDescent="0.3">
      <c r="A895" s="8" t="s">
        <v>132</v>
      </c>
      <c r="B895" s="8" t="s">
        <v>848</v>
      </c>
      <c r="C895" s="9">
        <v>894</v>
      </c>
      <c r="D895" s="3">
        <v>850000</v>
      </c>
      <c r="E895" s="1">
        <f>datos_limpios[[#This Row],[Price INR   ]]*0.011</f>
        <v>9350</v>
      </c>
      <c r="F895" s="13">
        <v>2019</v>
      </c>
      <c r="G895" s="2">
        <v>85641</v>
      </c>
      <c r="H895" s="8" t="s">
        <v>19</v>
      </c>
      <c r="I895" s="8" t="s">
        <v>13</v>
      </c>
      <c r="J895" s="8" t="s">
        <v>20</v>
      </c>
      <c r="K895" t="s">
        <v>184</v>
      </c>
      <c r="L895" t="s">
        <v>633</v>
      </c>
      <c r="M895" s="2">
        <f>VALUE(MID(L895,1,FIND("@",L895)-6))</f>
        <v>100</v>
      </c>
      <c r="N895">
        <v>7</v>
      </c>
      <c r="O895" t="str">
        <f>IF(datos_limpios[[#This Row],[Seating Capacity ]]&gt;4,"SI","NO")</f>
        <v>SI</v>
      </c>
      <c r="P895">
        <v>60</v>
      </c>
    </row>
    <row r="896" spans="1:16" x14ac:dyDescent="0.3">
      <c r="A896" s="8" t="s">
        <v>132</v>
      </c>
      <c r="B896" s="8" t="s">
        <v>1441</v>
      </c>
      <c r="C896" s="9">
        <v>895</v>
      </c>
      <c r="D896" s="3">
        <v>850000</v>
      </c>
      <c r="E896" s="1">
        <f>datos_limpios[[#This Row],[Price INR   ]]*0.011</f>
        <v>9350</v>
      </c>
      <c r="F896" s="13">
        <v>2016</v>
      </c>
      <c r="G896" s="2">
        <v>90300</v>
      </c>
      <c r="H896" s="8" t="s">
        <v>19</v>
      </c>
      <c r="I896" s="8" t="s">
        <v>13</v>
      </c>
      <c r="J896" s="8" t="s">
        <v>20</v>
      </c>
      <c r="K896" t="s">
        <v>158</v>
      </c>
      <c r="L896" t="s">
        <v>64</v>
      </c>
      <c r="M896" s="2">
        <f>VALUE(MID(L896,1,FIND("@",L896)-6))</f>
        <v>138</v>
      </c>
      <c r="N896">
        <v>7</v>
      </c>
      <c r="O896" t="str">
        <f>IF(datos_limpios[[#This Row],[Seating Capacity ]]&gt;4,"SI","NO")</f>
        <v>SI</v>
      </c>
      <c r="P896">
        <v>70</v>
      </c>
    </row>
    <row r="897" spans="1:16" x14ac:dyDescent="0.3">
      <c r="A897" s="8" t="s">
        <v>132</v>
      </c>
      <c r="B897" s="8" t="s">
        <v>874</v>
      </c>
      <c r="C897" s="9">
        <v>896</v>
      </c>
      <c r="D897" s="3">
        <v>865000</v>
      </c>
      <c r="E897" s="1">
        <f>datos_limpios[[#This Row],[Price INR   ]]*0.011</f>
        <v>9515</v>
      </c>
      <c r="F897" s="13">
        <v>2017</v>
      </c>
      <c r="G897" s="2">
        <v>93000</v>
      </c>
      <c r="H897" s="8" t="s">
        <v>19</v>
      </c>
      <c r="I897" s="8" t="s">
        <v>13</v>
      </c>
      <c r="J897" s="8" t="s">
        <v>20</v>
      </c>
      <c r="K897" t="s">
        <v>158</v>
      </c>
      <c r="L897" t="s">
        <v>395</v>
      </c>
      <c r="M897" s="2">
        <f>VALUE(MID(L897,1,FIND("@",L897)-6))</f>
        <v>140</v>
      </c>
      <c r="N897">
        <v>7</v>
      </c>
      <c r="O897" t="str">
        <f>IF(datos_limpios[[#This Row],[Seating Capacity ]]&gt;4,"SI","NO")</f>
        <v>SI</v>
      </c>
      <c r="P897">
        <v>70</v>
      </c>
    </row>
    <row r="898" spans="1:16" x14ac:dyDescent="0.3">
      <c r="A898" s="8" t="s">
        <v>132</v>
      </c>
      <c r="B898" s="8" t="s">
        <v>133</v>
      </c>
      <c r="C898" s="9">
        <v>897</v>
      </c>
      <c r="D898" s="3">
        <v>875000</v>
      </c>
      <c r="E898" s="1">
        <f>datos_limpios[[#This Row],[Price INR   ]]*0.011</f>
        <v>9625</v>
      </c>
      <c r="F898" s="13">
        <v>2018</v>
      </c>
      <c r="G898" s="2">
        <v>24000</v>
      </c>
      <c r="H898" s="8" t="s">
        <v>19</v>
      </c>
      <c r="I898" s="8" t="s">
        <v>13</v>
      </c>
      <c r="J898" s="8" t="s">
        <v>20</v>
      </c>
      <c r="K898" t="s">
        <v>134</v>
      </c>
      <c r="L898" t="s">
        <v>135</v>
      </c>
      <c r="M898" s="2">
        <f>VALUE(MID(L898,1,FIND("@",L898)-6))</f>
        <v>105</v>
      </c>
      <c r="N898">
        <v>6</v>
      </c>
      <c r="O898" t="str">
        <f>IF(datos_limpios[[#This Row],[Seating Capacity ]]&gt;4,"SI","NO")</f>
        <v>SI</v>
      </c>
      <c r="P898">
        <v>60</v>
      </c>
    </row>
    <row r="899" spans="1:16" x14ac:dyDescent="0.3">
      <c r="A899" s="8" t="s">
        <v>132</v>
      </c>
      <c r="B899" s="8" t="s">
        <v>560</v>
      </c>
      <c r="C899" s="9">
        <v>898</v>
      </c>
      <c r="D899" s="3">
        <v>875000</v>
      </c>
      <c r="E899" s="1">
        <f>datos_limpios[[#This Row],[Price INR   ]]*0.011</f>
        <v>9625</v>
      </c>
      <c r="F899" s="13">
        <v>2014</v>
      </c>
      <c r="G899" s="2">
        <v>100000</v>
      </c>
      <c r="H899" s="8" t="s">
        <v>19</v>
      </c>
      <c r="I899" s="8" t="s">
        <v>13</v>
      </c>
      <c r="J899" s="8" t="s">
        <v>30</v>
      </c>
      <c r="K899" t="s">
        <v>158</v>
      </c>
      <c r="L899" t="s">
        <v>159</v>
      </c>
      <c r="M899" s="2">
        <f>VALUE(MID(L899,1,FIND("@",L899)-6))</f>
        <v>120</v>
      </c>
      <c r="N899">
        <v>8</v>
      </c>
      <c r="O899" t="str">
        <f>IF(datos_limpios[[#This Row],[Seating Capacity ]]&gt;4,"SI","NO")</f>
        <v>SI</v>
      </c>
      <c r="P899">
        <v>60</v>
      </c>
    </row>
    <row r="900" spans="1:16" x14ac:dyDescent="0.3">
      <c r="A900" s="8" t="s">
        <v>132</v>
      </c>
      <c r="B900" s="8" t="s">
        <v>560</v>
      </c>
      <c r="C900" s="9">
        <v>899</v>
      </c>
      <c r="D900" s="3">
        <v>875000</v>
      </c>
      <c r="E900" s="1">
        <f>datos_limpios[[#This Row],[Price INR   ]]*0.011</f>
        <v>9625</v>
      </c>
      <c r="F900" s="13">
        <v>2015</v>
      </c>
      <c r="G900" s="2">
        <v>67000</v>
      </c>
      <c r="H900" s="8" t="s">
        <v>19</v>
      </c>
      <c r="I900" s="8" t="s">
        <v>13</v>
      </c>
      <c r="J900" s="8" t="s">
        <v>20</v>
      </c>
      <c r="K900" t="s">
        <v>158</v>
      </c>
      <c r="L900" t="s">
        <v>159</v>
      </c>
      <c r="M900" s="2">
        <f>VALUE(MID(L900,1,FIND("@",L900)-6))</f>
        <v>120</v>
      </c>
      <c r="N900">
        <v>8</v>
      </c>
      <c r="O900" t="str">
        <f>IF(datos_limpios[[#This Row],[Seating Capacity ]]&gt;4,"SI","NO")</f>
        <v>SI</v>
      </c>
      <c r="P900">
        <v>60</v>
      </c>
    </row>
    <row r="901" spans="1:16" x14ac:dyDescent="0.3">
      <c r="A901" s="8" t="s">
        <v>132</v>
      </c>
      <c r="B901" s="8" t="s">
        <v>560</v>
      </c>
      <c r="C901" s="9">
        <v>900</v>
      </c>
      <c r="D901" s="3">
        <v>875000</v>
      </c>
      <c r="E901" s="1">
        <f>datos_limpios[[#This Row],[Price INR   ]]*0.011</f>
        <v>9625</v>
      </c>
      <c r="F901" s="13">
        <v>2015</v>
      </c>
      <c r="G901" s="2">
        <v>87000</v>
      </c>
      <c r="H901" s="8" t="s">
        <v>19</v>
      </c>
      <c r="I901" s="8" t="s">
        <v>13</v>
      </c>
      <c r="J901" s="8" t="s">
        <v>20</v>
      </c>
      <c r="K901" t="s">
        <v>158</v>
      </c>
      <c r="L901" t="s">
        <v>159</v>
      </c>
      <c r="M901" s="2">
        <f>VALUE(MID(L901,1,FIND("@",L901)-6))</f>
        <v>120</v>
      </c>
      <c r="N901">
        <v>8</v>
      </c>
      <c r="O901" t="str">
        <f>IF(datos_limpios[[#This Row],[Seating Capacity ]]&gt;4,"SI","NO")</f>
        <v>SI</v>
      </c>
      <c r="P901">
        <v>60</v>
      </c>
    </row>
    <row r="902" spans="1:16" x14ac:dyDescent="0.3">
      <c r="A902" s="8" t="s">
        <v>132</v>
      </c>
      <c r="B902" s="8" t="s">
        <v>560</v>
      </c>
      <c r="C902" s="9">
        <v>901</v>
      </c>
      <c r="D902" s="3">
        <v>925000</v>
      </c>
      <c r="E902" s="1">
        <f>datos_limpios[[#This Row],[Price INR   ]]*0.011</f>
        <v>10175</v>
      </c>
      <c r="F902" s="13">
        <v>2016</v>
      </c>
      <c r="G902" s="2">
        <v>150000</v>
      </c>
      <c r="H902" s="8" t="s">
        <v>19</v>
      </c>
      <c r="I902" s="8" t="s">
        <v>13</v>
      </c>
      <c r="J902" s="8" t="s">
        <v>20</v>
      </c>
      <c r="K902" t="s">
        <v>158</v>
      </c>
      <c r="L902" t="s">
        <v>159</v>
      </c>
      <c r="M902" s="2">
        <f>VALUE(MID(L902,1,FIND("@",L902)-6))</f>
        <v>120</v>
      </c>
      <c r="N902">
        <v>8</v>
      </c>
      <c r="O902" t="str">
        <f>IF(datos_limpios[[#This Row],[Seating Capacity ]]&gt;4,"SI","NO")</f>
        <v>SI</v>
      </c>
      <c r="P902">
        <v>60</v>
      </c>
    </row>
    <row r="903" spans="1:16" x14ac:dyDescent="0.3">
      <c r="A903" s="8" t="s">
        <v>132</v>
      </c>
      <c r="B903" s="8" t="s">
        <v>791</v>
      </c>
      <c r="C903" s="9">
        <v>902</v>
      </c>
      <c r="D903" s="3">
        <v>925000</v>
      </c>
      <c r="E903" s="1">
        <f>datos_limpios[[#This Row],[Price INR   ]]*0.011</f>
        <v>10175</v>
      </c>
      <c r="F903" s="13">
        <v>2019</v>
      </c>
      <c r="G903" s="2">
        <v>60888</v>
      </c>
      <c r="H903" s="8" t="s">
        <v>19</v>
      </c>
      <c r="I903" s="8" t="s">
        <v>13</v>
      </c>
      <c r="J903" s="8" t="s">
        <v>77</v>
      </c>
      <c r="K903" t="s">
        <v>165</v>
      </c>
      <c r="L903" t="s">
        <v>238</v>
      </c>
      <c r="M903" s="2">
        <f>VALUE(MID(L903,1,FIND("@",L903)-6))</f>
        <v>115</v>
      </c>
      <c r="N903">
        <v>5</v>
      </c>
      <c r="O903" t="str">
        <f>IF(datos_limpios[[#This Row],[Seating Capacity ]]&gt;4,"SI","NO")</f>
        <v>SI</v>
      </c>
      <c r="P903">
        <v>42</v>
      </c>
    </row>
    <row r="904" spans="1:16" x14ac:dyDescent="0.3">
      <c r="A904" s="8" t="s">
        <v>132</v>
      </c>
      <c r="B904" s="8" t="s">
        <v>1148</v>
      </c>
      <c r="C904" s="9">
        <v>903</v>
      </c>
      <c r="D904" s="3">
        <v>944999</v>
      </c>
      <c r="E904" s="1">
        <f>datos_limpios[[#This Row],[Price INR   ]]*0.011</f>
        <v>10394.989</v>
      </c>
      <c r="F904" s="13">
        <v>2019</v>
      </c>
      <c r="G904" s="2">
        <v>88000</v>
      </c>
      <c r="H904" s="8" t="s">
        <v>19</v>
      </c>
      <c r="I904" s="8" t="s">
        <v>13</v>
      </c>
      <c r="J904" s="8" t="s">
        <v>20</v>
      </c>
      <c r="K904" t="s">
        <v>184</v>
      </c>
      <c r="L904" t="s">
        <v>633</v>
      </c>
      <c r="M904" s="2">
        <f>VALUE(MID(L904,1,FIND("@",L904)-6))</f>
        <v>100</v>
      </c>
      <c r="N904">
        <v>7</v>
      </c>
      <c r="O904" t="str">
        <f>IF(datos_limpios[[#This Row],[Seating Capacity ]]&gt;4,"SI","NO")</f>
        <v>SI</v>
      </c>
      <c r="P904">
        <v>60</v>
      </c>
    </row>
    <row r="905" spans="1:16" x14ac:dyDescent="0.3">
      <c r="A905" s="8" t="s">
        <v>132</v>
      </c>
      <c r="B905" s="8" t="s">
        <v>436</v>
      </c>
      <c r="C905" s="9">
        <v>904</v>
      </c>
      <c r="D905" s="3">
        <v>950000</v>
      </c>
      <c r="E905" s="1">
        <f>datos_limpios[[#This Row],[Price INR   ]]*0.011</f>
        <v>10450</v>
      </c>
      <c r="F905" s="13">
        <v>2016</v>
      </c>
      <c r="G905" s="2">
        <v>86000</v>
      </c>
      <c r="H905" s="8" t="s">
        <v>19</v>
      </c>
      <c r="I905" s="8" t="s">
        <v>13</v>
      </c>
      <c r="J905" s="8" t="s">
        <v>20</v>
      </c>
      <c r="K905" t="s">
        <v>158</v>
      </c>
      <c r="L905" t="s">
        <v>64</v>
      </c>
      <c r="M905" s="2">
        <f>VALUE(MID(L905,1,FIND("@",L905)-6))</f>
        <v>138</v>
      </c>
      <c r="N905">
        <v>7</v>
      </c>
      <c r="O905" t="str">
        <f>IF(datos_limpios[[#This Row],[Seating Capacity ]]&gt;4,"SI","NO")</f>
        <v>SI</v>
      </c>
      <c r="P905">
        <v>70</v>
      </c>
    </row>
    <row r="906" spans="1:16" x14ac:dyDescent="0.3">
      <c r="A906" s="8" t="s">
        <v>132</v>
      </c>
      <c r="B906" s="8" t="s">
        <v>791</v>
      </c>
      <c r="C906" s="9">
        <v>905</v>
      </c>
      <c r="D906" s="3">
        <v>950000</v>
      </c>
      <c r="E906" s="1">
        <f>datos_limpios[[#This Row],[Price INR   ]]*0.011</f>
        <v>10450</v>
      </c>
      <c r="F906" s="13">
        <v>2020</v>
      </c>
      <c r="G906" s="2">
        <v>57400</v>
      </c>
      <c r="H906" s="8" t="s">
        <v>19</v>
      </c>
      <c r="I906" s="8" t="s">
        <v>13</v>
      </c>
      <c r="J906" s="8" t="s">
        <v>20</v>
      </c>
      <c r="K906" t="s">
        <v>165</v>
      </c>
      <c r="L906" t="s">
        <v>238</v>
      </c>
      <c r="M906" s="2">
        <f>VALUE(MID(L906,1,FIND("@",L906)-6))</f>
        <v>115</v>
      </c>
      <c r="N906">
        <v>5</v>
      </c>
      <c r="O906" t="str">
        <f>IF(datos_limpios[[#This Row],[Seating Capacity ]]&gt;4,"SI","NO")</f>
        <v>SI</v>
      </c>
      <c r="P906">
        <v>42</v>
      </c>
    </row>
    <row r="907" spans="1:16" x14ac:dyDescent="0.3">
      <c r="A907" s="8" t="s">
        <v>132</v>
      </c>
      <c r="B907" s="8" t="s">
        <v>1064</v>
      </c>
      <c r="C907" s="9">
        <v>906</v>
      </c>
      <c r="D907" s="3">
        <v>950000</v>
      </c>
      <c r="E907" s="1">
        <f>datos_limpios[[#This Row],[Price INR   ]]*0.011</f>
        <v>10450</v>
      </c>
      <c r="F907" s="13">
        <v>2017</v>
      </c>
      <c r="G907" s="2">
        <v>55000</v>
      </c>
      <c r="H907" s="8" t="s">
        <v>19</v>
      </c>
      <c r="I907" s="8" t="s">
        <v>13</v>
      </c>
      <c r="J907" s="8" t="s">
        <v>20</v>
      </c>
      <c r="K907" t="s">
        <v>201</v>
      </c>
      <c r="L907" t="s">
        <v>159</v>
      </c>
      <c r="M907" s="2">
        <f>VALUE(MID(L907,1,FIND("@",L907)-6))</f>
        <v>120</v>
      </c>
      <c r="N907">
        <v>8</v>
      </c>
      <c r="O907" t="str">
        <f>IF(datos_limpios[[#This Row],[Seating Capacity ]]&gt;4,"SI","NO")</f>
        <v>SI</v>
      </c>
      <c r="P907">
        <v>60</v>
      </c>
    </row>
    <row r="908" spans="1:16" x14ac:dyDescent="0.3">
      <c r="A908" s="8" t="s">
        <v>132</v>
      </c>
      <c r="B908" s="8" t="s">
        <v>938</v>
      </c>
      <c r="C908" s="9">
        <v>907</v>
      </c>
      <c r="D908" s="3">
        <v>950000</v>
      </c>
      <c r="E908" s="1">
        <f>datos_limpios[[#This Row],[Price INR   ]]*0.011</f>
        <v>10450</v>
      </c>
      <c r="F908" s="13">
        <v>2018</v>
      </c>
      <c r="G908" s="2">
        <v>41000</v>
      </c>
      <c r="H908" s="8" t="s">
        <v>19</v>
      </c>
      <c r="I908" s="8" t="s">
        <v>13</v>
      </c>
      <c r="J908" s="8" t="s">
        <v>57</v>
      </c>
      <c r="K908" t="s">
        <v>619</v>
      </c>
      <c r="L908" t="s">
        <v>620</v>
      </c>
      <c r="M908" s="2">
        <f>VALUE(MID(L908,1,FIND("@",L908)-6))</f>
        <v>75</v>
      </c>
      <c r="N908">
        <v>8</v>
      </c>
      <c r="O908" t="str">
        <f>IF(datos_limpios[[#This Row],[Seating Capacity ]]&gt;4,"SI","NO")</f>
        <v>SI</v>
      </c>
      <c r="P908">
        <v>60</v>
      </c>
    </row>
    <row r="909" spans="1:16" x14ac:dyDescent="0.3">
      <c r="A909" s="8" t="s">
        <v>132</v>
      </c>
      <c r="B909" s="8" t="s">
        <v>938</v>
      </c>
      <c r="C909" s="9">
        <v>908</v>
      </c>
      <c r="D909" s="3">
        <v>951000</v>
      </c>
      <c r="E909" s="1">
        <f>datos_limpios[[#This Row],[Price INR   ]]*0.011</f>
        <v>10461</v>
      </c>
      <c r="F909" s="13">
        <v>2016</v>
      </c>
      <c r="G909" s="2">
        <v>42000</v>
      </c>
      <c r="H909" s="8" t="s">
        <v>19</v>
      </c>
      <c r="I909" s="8" t="s">
        <v>13</v>
      </c>
      <c r="J909" s="8" t="s">
        <v>20</v>
      </c>
      <c r="K909" t="s">
        <v>619</v>
      </c>
      <c r="L909" t="s">
        <v>620</v>
      </c>
      <c r="M909" s="2">
        <f>VALUE(MID(L909,1,FIND("@",L909)-6))</f>
        <v>75</v>
      </c>
      <c r="N909">
        <v>8</v>
      </c>
      <c r="O909" t="str">
        <f>IF(datos_limpios[[#This Row],[Seating Capacity ]]&gt;4,"SI","NO")</f>
        <v>SI</v>
      </c>
      <c r="P909">
        <v>60</v>
      </c>
    </row>
    <row r="910" spans="1:16" x14ac:dyDescent="0.3">
      <c r="A910" s="8" t="s">
        <v>132</v>
      </c>
      <c r="B910" s="8" t="s">
        <v>1208</v>
      </c>
      <c r="C910" s="9">
        <v>909</v>
      </c>
      <c r="D910" s="3">
        <v>955000</v>
      </c>
      <c r="E910" s="1">
        <f>datos_limpios[[#This Row],[Price INR   ]]*0.011</f>
        <v>10505</v>
      </c>
      <c r="F910" s="13">
        <v>2016</v>
      </c>
      <c r="G910" s="2">
        <v>110000</v>
      </c>
      <c r="H910" s="8" t="s">
        <v>19</v>
      </c>
      <c r="I910" s="8" t="s">
        <v>40</v>
      </c>
      <c r="J910" s="8" t="s">
        <v>101</v>
      </c>
      <c r="K910" t="s">
        <v>201</v>
      </c>
      <c r="L910" t="s">
        <v>64</v>
      </c>
      <c r="M910" s="2">
        <f>VALUE(MID(L910,1,FIND("@",L910)-6))</f>
        <v>138</v>
      </c>
      <c r="N910">
        <v>7</v>
      </c>
      <c r="O910" t="str">
        <f>IF(datos_limpios[[#This Row],[Seating Capacity ]]&gt;4,"SI","NO")</f>
        <v>SI</v>
      </c>
      <c r="P910">
        <v>70</v>
      </c>
    </row>
    <row r="911" spans="1:16" x14ac:dyDescent="0.3">
      <c r="A911" s="8" t="s">
        <v>132</v>
      </c>
      <c r="B911" s="8" t="s">
        <v>791</v>
      </c>
      <c r="C911" s="9">
        <v>910</v>
      </c>
      <c r="D911" s="3">
        <v>965000</v>
      </c>
      <c r="E911" s="1">
        <f>datos_limpios[[#This Row],[Price INR   ]]*0.011</f>
        <v>10615</v>
      </c>
      <c r="F911" s="13">
        <v>2021</v>
      </c>
      <c r="G911" s="2">
        <v>27000</v>
      </c>
      <c r="H911" s="8" t="s">
        <v>19</v>
      </c>
      <c r="I911" s="8" t="s">
        <v>13</v>
      </c>
      <c r="J911" s="8" t="s">
        <v>101</v>
      </c>
      <c r="K911" t="s">
        <v>165</v>
      </c>
      <c r="L911" t="s">
        <v>238</v>
      </c>
      <c r="M911" s="2">
        <f>VALUE(MID(L911,1,FIND("@",L911)-6))</f>
        <v>115</v>
      </c>
      <c r="N911">
        <v>5</v>
      </c>
      <c r="O911" t="str">
        <f>IF(datos_limpios[[#This Row],[Seating Capacity ]]&gt;4,"SI","NO")</f>
        <v>SI</v>
      </c>
      <c r="P911">
        <v>42</v>
      </c>
    </row>
    <row r="912" spans="1:16" x14ac:dyDescent="0.3">
      <c r="A912" s="8" t="s">
        <v>132</v>
      </c>
      <c r="B912" s="8" t="s">
        <v>1227</v>
      </c>
      <c r="C912" s="9">
        <v>911</v>
      </c>
      <c r="D912" s="3">
        <v>975000</v>
      </c>
      <c r="E912" s="1">
        <f>datos_limpios[[#This Row],[Price INR   ]]*0.011</f>
        <v>10725</v>
      </c>
      <c r="F912" s="13">
        <v>2017</v>
      </c>
      <c r="G912" s="2">
        <v>78000</v>
      </c>
      <c r="H912" s="8" t="s">
        <v>19</v>
      </c>
      <c r="I912" s="8" t="s">
        <v>13</v>
      </c>
      <c r="J912" s="8" t="s">
        <v>77</v>
      </c>
      <c r="K912" t="s">
        <v>158</v>
      </c>
      <c r="L912" t="s">
        <v>395</v>
      </c>
      <c r="M912" s="2">
        <f>VALUE(MID(L912,1,FIND("@",L912)-6))</f>
        <v>140</v>
      </c>
      <c r="N912">
        <v>7</v>
      </c>
      <c r="O912" t="str">
        <f>IF(datos_limpios[[#This Row],[Seating Capacity ]]&gt;4,"SI","NO")</f>
        <v>SI</v>
      </c>
      <c r="P912">
        <v>70</v>
      </c>
    </row>
    <row r="913" spans="1:16" x14ac:dyDescent="0.3">
      <c r="A913" s="8" t="s">
        <v>132</v>
      </c>
      <c r="B913" s="8" t="s">
        <v>1313</v>
      </c>
      <c r="C913" s="9">
        <v>912</v>
      </c>
      <c r="D913" s="3">
        <v>985000</v>
      </c>
      <c r="E913" s="1">
        <f>datos_limpios[[#This Row],[Price INR   ]]*0.011</f>
        <v>10835</v>
      </c>
      <c r="F913" s="13">
        <v>2017</v>
      </c>
      <c r="G913" s="2">
        <v>68000</v>
      </c>
      <c r="H913" s="8" t="s">
        <v>19</v>
      </c>
      <c r="I913" s="8" t="s">
        <v>13</v>
      </c>
      <c r="J913" s="8" t="s">
        <v>20</v>
      </c>
      <c r="K913" t="s">
        <v>158</v>
      </c>
      <c r="L913" t="s">
        <v>159</v>
      </c>
      <c r="M913" s="2">
        <f>VALUE(MID(L913,1,FIND("@",L913)-6))</f>
        <v>120</v>
      </c>
      <c r="N913">
        <v>8</v>
      </c>
      <c r="O913" t="str">
        <f>IF(datos_limpios[[#This Row],[Seating Capacity ]]&gt;4,"SI","NO")</f>
        <v>SI</v>
      </c>
      <c r="P913">
        <v>60</v>
      </c>
    </row>
    <row r="914" spans="1:16" x14ac:dyDescent="0.3">
      <c r="A914" s="8" t="s">
        <v>132</v>
      </c>
      <c r="B914" s="8" t="s">
        <v>767</v>
      </c>
      <c r="C914" s="9">
        <v>913</v>
      </c>
      <c r="D914" s="3">
        <v>994999</v>
      </c>
      <c r="E914" s="1">
        <f>datos_limpios[[#This Row],[Price INR   ]]*0.011</f>
        <v>10944.989</v>
      </c>
      <c r="F914" s="13">
        <v>2016</v>
      </c>
      <c r="G914" s="2">
        <v>105000</v>
      </c>
      <c r="H914" s="8" t="s">
        <v>19</v>
      </c>
      <c r="I914" s="8" t="s">
        <v>40</v>
      </c>
      <c r="J914" s="8" t="s">
        <v>14</v>
      </c>
      <c r="K914" t="s">
        <v>158</v>
      </c>
      <c r="L914" t="s">
        <v>64</v>
      </c>
      <c r="M914" s="2">
        <f>VALUE(MID(L914,1,FIND("@",L914)-6))</f>
        <v>138</v>
      </c>
      <c r="N914">
        <v>7</v>
      </c>
      <c r="O914" t="str">
        <f>IF(datos_limpios[[#This Row],[Seating Capacity ]]&gt;4,"SI","NO")</f>
        <v>SI</v>
      </c>
      <c r="P914">
        <v>70</v>
      </c>
    </row>
    <row r="915" spans="1:16" x14ac:dyDescent="0.3">
      <c r="A915" s="8" t="s">
        <v>132</v>
      </c>
      <c r="B915" s="8" t="s">
        <v>822</v>
      </c>
      <c r="C915" s="9">
        <v>914</v>
      </c>
      <c r="D915" s="3">
        <v>1000000</v>
      </c>
      <c r="E915" s="1">
        <f>datos_limpios[[#This Row],[Price INR   ]]*0.011</f>
        <v>11000</v>
      </c>
      <c r="F915" s="13">
        <v>2016</v>
      </c>
      <c r="G915" s="2">
        <v>33000</v>
      </c>
      <c r="H915" s="8" t="s">
        <v>19</v>
      </c>
      <c r="I915" s="8" t="s">
        <v>13</v>
      </c>
      <c r="J915" s="8" t="s">
        <v>20</v>
      </c>
      <c r="K915" t="s">
        <v>158</v>
      </c>
      <c r="L915" t="s">
        <v>64</v>
      </c>
      <c r="M915" s="2">
        <f>VALUE(MID(L915,1,FIND("@",L915)-6))</f>
        <v>138</v>
      </c>
      <c r="N915">
        <v>7</v>
      </c>
      <c r="O915" t="str">
        <f>IF(datos_limpios[[#This Row],[Seating Capacity ]]&gt;4,"SI","NO")</f>
        <v>SI</v>
      </c>
      <c r="P915">
        <v>70</v>
      </c>
    </row>
    <row r="916" spans="1:16" x14ac:dyDescent="0.3">
      <c r="A916" s="8" t="s">
        <v>132</v>
      </c>
      <c r="B916" s="8" t="s">
        <v>1021</v>
      </c>
      <c r="C916" s="9">
        <v>915</v>
      </c>
      <c r="D916" s="3">
        <v>1035000</v>
      </c>
      <c r="E916" s="1">
        <f>datos_limpios[[#This Row],[Price INR   ]]*0.011</f>
        <v>11385</v>
      </c>
      <c r="F916" s="13">
        <v>2017</v>
      </c>
      <c r="G916" s="2">
        <v>79000</v>
      </c>
      <c r="H916" s="8" t="s">
        <v>19</v>
      </c>
      <c r="I916" s="8" t="s">
        <v>13</v>
      </c>
      <c r="J916" s="8" t="s">
        <v>288</v>
      </c>
      <c r="K916" t="s">
        <v>134</v>
      </c>
      <c r="L916" t="s">
        <v>1542</v>
      </c>
      <c r="M916" s="2">
        <f>VALUE(MID(L916,1,FIND("@",L916)-6))</f>
        <v>105</v>
      </c>
      <c r="N916">
        <v>7</v>
      </c>
      <c r="O916" t="str">
        <f>IF(datos_limpios[[#This Row],[Seating Capacity ]]&gt;4,"SI","NO")</f>
        <v>SI</v>
      </c>
      <c r="P916">
        <v>60</v>
      </c>
    </row>
    <row r="917" spans="1:16" x14ac:dyDescent="0.3">
      <c r="A917" s="8" t="s">
        <v>132</v>
      </c>
      <c r="B917" s="8" t="s">
        <v>287</v>
      </c>
      <c r="C917" s="9">
        <v>916</v>
      </c>
      <c r="D917" s="3">
        <v>1050000</v>
      </c>
      <c r="E917" s="1">
        <f>datos_limpios[[#This Row],[Price INR   ]]*0.011</f>
        <v>11550</v>
      </c>
      <c r="F917" s="13">
        <v>2019</v>
      </c>
      <c r="G917" s="2">
        <v>17000</v>
      </c>
      <c r="H917" s="8" t="s">
        <v>19</v>
      </c>
      <c r="I917" s="8" t="s">
        <v>13</v>
      </c>
      <c r="J917" s="8" t="s">
        <v>288</v>
      </c>
      <c r="K917" t="s">
        <v>165</v>
      </c>
      <c r="L917" t="s">
        <v>289</v>
      </c>
      <c r="M917" s="2">
        <f>VALUE(MID(L917,1,FIND("@",L917)-6))</f>
        <v>121</v>
      </c>
      <c r="N917">
        <v>8</v>
      </c>
      <c r="O917" t="str">
        <f>IF(datos_limpios[[#This Row],[Seating Capacity ]]&gt;4,"SI","NO")</f>
        <v>SI</v>
      </c>
      <c r="P917">
        <v>45</v>
      </c>
    </row>
    <row r="918" spans="1:16" x14ac:dyDescent="0.3">
      <c r="A918" s="8" t="s">
        <v>132</v>
      </c>
      <c r="B918" s="8" t="s">
        <v>436</v>
      </c>
      <c r="C918" s="9">
        <v>917</v>
      </c>
      <c r="D918" s="3">
        <v>1075000</v>
      </c>
      <c r="E918" s="1">
        <f>datos_limpios[[#This Row],[Price INR   ]]*0.011</f>
        <v>11825</v>
      </c>
      <c r="F918" s="13">
        <v>2015</v>
      </c>
      <c r="G918" s="2">
        <v>138000</v>
      </c>
      <c r="H918" s="8" t="s">
        <v>19</v>
      </c>
      <c r="I918" s="8" t="s">
        <v>13</v>
      </c>
      <c r="J918" s="8" t="s">
        <v>77</v>
      </c>
      <c r="K918" t="s">
        <v>158</v>
      </c>
      <c r="L918" t="s">
        <v>64</v>
      </c>
      <c r="M918" s="2">
        <f>VALUE(MID(L918,1,FIND("@",L918)-6))</f>
        <v>138</v>
      </c>
      <c r="N918">
        <v>7</v>
      </c>
      <c r="O918" t="str">
        <f>IF(datos_limpios[[#This Row],[Seating Capacity ]]&gt;4,"SI","NO")</f>
        <v>SI</v>
      </c>
      <c r="P918">
        <v>70</v>
      </c>
    </row>
    <row r="919" spans="1:16" x14ac:dyDescent="0.3">
      <c r="A919" s="8" t="s">
        <v>132</v>
      </c>
      <c r="B919" s="8" t="s">
        <v>791</v>
      </c>
      <c r="C919" s="9">
        <v>918</v>
      </c>
      <c r="D919" s="3">
        <v>1080000</v>
      </c>
      <c r="E919" s="1">
        <f>datos_limpios[[#This Row],[Price INR   ]]*0.011</f>
        <v>11880</v>
      </c>
      <c r="F919" s="13">
        <v>2020</v>
      </c>
      <c r="G919" s="2">
        <v>52000</v>
      </c>
      <c r="H919" s="8" t="s">
        <v>19</v>
      </c>
      <c r="I919" s="8" t="s">
        <v>13</v>
      </c>
      <c r="J919" s="8" t="s">
        <v>20</v>
      </c>
      <c r="K919" t="s">
        <v>165</v>
      </c>
      <c r="L919" t="s">
        <v>238</v>
      </c>
      <c r="M919" s="2">
        <f>VALUE(MID(L919,1,FIND("@",L919)-6))</f>
        <v>115</v>
      </c>
      <c r="N919">
        <v>5</v>
      </c>
      <c r="O919" t="str">
        <f>IF(datos_limpios[[#This Row],[Seating Capacity ]]&gt;4,"SI","NO")</f>
        <v>SI</v>
      </c>
      <c r="P919">
        <v>42</v>
      </c>
    </row>
    <row r="920" spans="1:16" x14ac:dyDescent="0.3">
      <c r="A920" s="8" t="s">
        <v>132</v>
      </c>
      <c r="B920" s="8" t="s">
        <v>950</v>
      </c>
      <c r="C920" s="9">
        <v>919</v>
      </c>
      <c r="D920" s="3">
        <v>1090000</v>
      </c>
      <c r="E920" s="1">
        <f>datos_limpios[[#This Row],[Price INR   ]]*0.011</f>
        <v>11990</v>
      </c>
      <c r="F920" s="13">
        <v>2017</v>
      </c>
      <c r="G920" s="2">
        <v>19000</v>
      </c>
      <c r="H920" s="8" t="s">
        <v>19</v>
      </c>
      <c r="I920" s="8" t="s">
        <v>13</v>
      </c>
      <c r="J920" s="8" t="s">
        <v>20</v>
      </c>
      <c r="K920" t="s">
        <v>201</v>
      </c>
      <c r="L920" t="s">
        <v>159</v>
      </c>
      <c r="M920" s="2">
        <f>VALUE(MID(L920,1,FIND("@",L920)-6))</f>
        <v>120</v>
      </c>
      <c r="N920">
        <v>8</v>
      </c>
      <c r="O920" t="str">
        <f>IF(datos_limpios[[#This Row],[Seating Capacity ]]&gt;4,"SI","NO")</f>
        <v>SI</v>
      </c>
      <c r="P920">
        <v>60</v>
      </c>
    </row>
    <row r="921" spans="1:16" x14ac:dyDescent="0.3">
      <c r="A921" s="8" t="s">
        <v>132</v>
      </c>
      <c r="B921" s="8" t="s">
        <v>436</v>
      </c>
      <c r="C921" s="9">
        <v>920</v>
      </c>
      <c r="D921" s="3">
        <v>1090000</v>
      </c>
      <c r="E921" s="1">
        <f>datos_limpios[[#This Row],[Price INR   ]]*0.011</f>
        <v>11990</v>
      </c>
      <c r="F921" s="13">
        <v>2017</v>
      </c>
      <c r="G921" s="2">
        <v>144933</v>
      </c>
      <c r="H921" s="8" t="s">
        <v>19</v>
      </c>
      <c r="I921" s="8" t="s">
        <v>13</v>
      </c>
      <c r="J921" s="8" t="s">
        <v>20</v>
      </c>
      <c r="K921" t="s">
        <v>158</v>
      </c>
      <c r="L921" t="s">
        <v>64</v>
      </c>
      <c r="M921" s="2">
        <f>VALUE(MID(L921,1,FIND("@",L921)-6))</f>
        <v>138</v>
      </c>
      <c r="N921">
        <v>7</v>
      </c>
      <c r="O921" t="str">
        <f>IF(datos_limpios[[#This Row],[Seating Capacity ]]&gt;4,"SI","NO")</f>
        <v>SI</v>
      </c>
      <c r="P921">
        <v>70</v>
      </c>
    </row>
    <row r="922" spans="1:16" x14ac:dyDescent="0.3">
      <c r="A922" s="8" t="s">
        <v>132</v>
      </c>
      <c r="B922" s="8" t="s">
        <v>676</v>
      </c>
      <c r="C922" s="9">
        <v>921</v>
      </c>
      <c r="D922" s="3">
        <v>1095000</v>
      </c>
      <c r="E922" s="1">
        <f>datos_limpios[[#This Row],[Price INR   ]]*0.011</f>
        <v>12045</v>
      </c>
      <c r="F922" s="13">
        <v>2018</v>
      </c>
      <c r="G922" s="2">
        <v>57000</v>
      </c>
      <c r="H922" s="8" t="s">
        <v>19</v>
      </c>
      <c r="I922" s="8" t="s">
        <v>13</v>
      </c>
      <c r="J922" s="8" t="s">
        <v>101</v>
      </c>
      <c r="K922" t="s">
        <v>158</v>
      </c>
      <c r="L922" t="s">
        <v>329</v>
      </c>
      <c r="M922" s="2">
        <f>VALUE(MID(L922,1,FIND("@",L922)-6))</f>
        <v>153</v>
      </c>
      <c r="N922">
        <v>7</v>
      </c>
      <c r="O922" t="str">
        <f>IF(datos_limpios[[#This Row],[Seating Capacity ]]&gt;4,"SI","NO")</f>
        <v>SI</v>
      </c>
      <c r="P922">
        <v>70</v>
      </c>
    </row>
    <row r="923" spans="1:16" x14ac:dyDescent="0.3">
      <c r="A923" s="8" t="s">
        <v>132</v>
      </c>
      <c r="B923" s="8" t="s">
        <v>1361</v>
      </c>
      <c r="C923" s="9">
        <v>922</v>
      </c>
      <c r="D923" s="3">
        <v>1095000</v>
      </c>
      <c r="E923" s="1">
        <f>datos_limpios[[#This Row],[Price INR   ]]*0.011</f>
        <v>12045</v>
      </c>
      <c r="F923" s="13">
        <v>2018</v>
      </c>
      <c r="G923" s="2">
        <v>50000</v>
      </c>
      <c r="H923" s="8" t="s">
        <v>19</v>
      </c>
      <c r="I923" s="8" t="s">
        <v>13</v>
      </c>
      <c r="J923" s="8" t="s">
        <v>25</v>
      </c>
      <c r="K923" t="s">
        <v>158</v>
      </c>
      <c r="L923" t="s">
        <v>329</v>
      </c>
      <c r="M923" s="2">
        <f>VALUE(MID(L923,1,FIND("@",L923)-6))</f>
        <v>153</v>
      </c>
      <c r="N923">
        <v>7</v>
      </c>
      <c r="O923" t="str">
        <f>IF(datos_limpios[[#This Row],[Seating Capacity ]]&gt;4,"SI","NO")</f>
        <v>SI</v>
      </c>
      <c r="P923">
        <v>70</v>
      </c>
    </row>
    <row r="924" spans="1:16" x14ac:dyDescent="0.3">
      <c r="A924" s="8" t="s">
        <v>132</v>
      </c>
      <c r="B924" s="8" t="s">
        <v>1300</v>
      </c>
      <c r="C924" s="9">
        <v>923</v>
      </c>
      <c r="D924" s="3">
        <v>1115000</v>
      </c>
      <c r="E924" s="1">
        <f>datos_limpios[[#This Row],[Price INR   ]]*0.011</f>
        <v>12265</v>
      </c>
      <c r="F924" s="13">
        <v>2018</v>
      </c>
      <c r="G924" s="2">
        <v>58590</v>
      </c>
      <c r="H924" s="8" t="s">
        <v>19</v>
      </c>
      <c r="I924" s="8" t="s">
        <v>13</v>
      </c>
      <c r="J924" s="8" t="s">
        <v>14</v>
      </c>
      <c r="K924" t="s">
        <v>158</v>
      </c>
      <c r="L924" t="s">
        <v>329</v>
      </c>
      <c r="M924" s="2">
        <f>VALUE(MID(L924,1,FIND("@",L924)-6))</f>
        <v>153</v>
      </c>
      <c r="N924">
        <v>7</v>
      </c>
      <c r="O924" t="str">
        <f>IF(datos_limpios[[#This Row],[Seating Capacity ]]&gt;4,"SI","NO")</f>
        <v>SI</v>
      </c>
      <c r="P924">
        <v>70</v>
      </c>
    </row>
    <row r="925" spans="1:16" x14ac:dyDescent="0.3">
      <c r="A925" s="8" t="s">
        <v>132</v>
      </c>
      <c r="B925" s="8" t="s">
        <v>618</v>
      </c>
      <c r="C925" s="9">
        <v>924</v>
      </c>
      <c r="D925" s="3">
        <v>1121000</v>
      </c>
      <c r="E925" s="1">
        <f>datos_limpios[[#This Row],[Price INR   ]]*0.011</f>
        <v>12331</v>
      </c>
      <c r="F925" s="13">
        <v>2019</v>
      </c>
      <c r="G925" s="2">
        <v>38000</v>
      </c>
      <c r="H925" s="8" t="s">
        <v>19</v>
      </c>
      <c r="I925" s="8" t="s">
        <v>13</v>
      </c>
      <c r="J925" s="8" t="s">
        <v>20</v>
      </c>
      <c r="K925" t="s">
        <v>619</v>
      </c>
      <c r="L925" t="s">
        <v>620</v>
      </c>
      <c r="M925" s="2">
        <f>VALUE(MID(L925,1,FIND("@",L925)-6))</f>
        <v>75</v>
      </c>
      <c r="N925">
        <v>7</v>
      </c>
      <c r="O925" t="str">
        <f>IF(datos_limpios[[#This Row],[Seating Capacity ]]&gt;4,"SI","NO")</f>
        <v>SI</v>
      </c>
      <c r="P925">
        <v>60</v>
      </c>
    </row>
    <row r="926" spans="1:16" x14ac:dyDescent="0.3">
      <c r="A926" s="8" t="s">
        <v>132</v>
      </c>
      <c r="B926" s="8" t="s">
        <v>560</v>
      </c>
      <c r="C926" s="9">
        <v>925</v>
      </c>
      <c r="D926" s="3">
        <v>1150000</v>
      </c>
      <c r="E926" s="1">
        <f>datos_limpios[[#This Row],[Price INR   ]]*0.011</f>
        <v>12650</v>
      </c>
      <c r="F926" s="13">
        <v>2014</v>
      </c>
      <c r="G926" s="2">
        <v>99000</v>
      </c>
      <c r="H926" s="8" t="s">
        <v>19</v>
      </c>
      <c r="I926" s="8" t="s">
        <v>13</v>
      </c>
      <c r="J926" s="8" t="s">
        <v>77</v>
      </c>
      <c r="K926" t="s">
        <v>158</v>
      </c>
      <c r="L926" t="s">
        <v>159</v>
      </c>
      <c r="M926" s="2">
        <f>VALUE(MID(L926,1,FIND("@",L926)-6))</f>
        <v>120</v>
      </c>
      <c r="N926">
        <v>8</v>
      </c>
      <c r="O926" t="str">
        <f>IF(datos_limpios[[#This Row],[Seating Capacity ]]&gt;4,"SI","NO")</f>
        <v>SI</v>
      </c>
      <c r="P926">
        <v>60</v>
      </c>
    </row>
    <row r="927" spans="1:16" x14ac:dyDescent="0.3">
      <c r="A927" s="8" t="s">
        <v>132</v>
      </c>
      <c r="B927" s="8" t="s">
        <v>344</v>
      </c>
      <c r="C927" s="9">
        <v>926</v>
      </c>
      <c r="D927" s="3">
        <v>1165000</v>
      </c>
      <c r="E927" s="1">
        <f>datos_limpios[[#This Row],[Price INR   ]]*0.011</f>
        <v>12815</v>
      </c>
      <c r="F927" s="13">
        <v>2018</v>
      </c>
      <c r="G927" s="2">
        <v>32000</v>
      </c>
      <c r="H927" s="8" t="s">
        <v>19</v>
      </c>
      <c r="I927" s="8" t="s">
        <v>13</v>
      </c>
      <c r="J927" s="8" t="s">
        <v>20</v>
      </c>
      <c r="K927" t="s">
        <v>158</v>
      </c>
      <c r="L927" t="s">
        <v>159</v>
      </c>
      <c r="M927" s="2">
        <f>VALUE(MID(L927,1,FIND("@",L927)-6))</f>
        <v>120</v>
      </c>
      <c r="N927">
        <v>7</v>
      </c>
      <c r="O927" t="str">
        <f>IF(datos_limpios[[#This Row],[Seating Capacity ]]&gt;4,"SI","NO")</f>
        <v>SI</v>
      </c>
      <c r="P927">
        <v>60</v>
      </c>
    </row>
    <row r="928" spans="1:16" x14ac:dyDescent="0.3">
      <c r="A928" s="8" t="s">
        <v>132</v>
      </c>
      <c r="B928" s="8" t="s">
        <v>767</v>
      </c>
      <c r="C928" s="9">
        <v>927</v>
      </c>
      <c r="D928" s="3">
        <v>1190000</v>
      </c>
      <c r="E928" s="1">
        <f>datos_limpios[[#This Row],[Price INR   ]]*0.011</f>
        <v>13090</v>
      </c>
      <c r="F928" s="13">
        <v>2017</v>
      </c>
      <c r="G928" s="2">
        <v>41470</v>
      </c>
      <c r="H928" s="8" t="s">
        <v>19</v>
      </c>
      <c r="I928" s="8" t="s">
        <v>40</v>
      </c>
      <c r="J928" s="8" t="s">
        <v>101</v>
      </c>
      <c r="K928" t="s">
        <v>158</v>
      </c>
      <c r="L928" t="s">
        <v>64</v>
      </c>
      <c r="M928" s="2">
        <f>VALUE(MID(L928,1,FIND("@",L928)-6))</f>
        <v>138</v>
      </c>
      <c r="N928">
        <v>7</v>
      </c>
      <c r="O928" t="str">
        <f>IF(datos_limpios[[#This Row],[Seating Capacity ]]&gt;4,"SI","NO")</f>
        <v>SI</v>
      </c>
      <c r="P928">
        <v>70</v>
      </c>
    </row>
    <row r="929" spans="1:16" x14ac:dyDescent="0.3">
      <c r="A929" s="8" t="s">
        <v>132</v>
      </c>
      <c r="B929" s="8" t="s">
        <v>344</v>
      </c>
      <c r="C929" s="9">
        <v>928</v>
      </c>
      <c r="D929" s="3">
        <v>1190000</v>
      </c>
      <c r="E929" s="1">
        <f>datos_limpios[[#This Row],[Price INR   ]]*0.011</f>
        <v>13090</v>
      </c>
      <c r="F929" s="13">
        <v>2018</v>
      </c>
      <c r="G929" s="2">
        <v>59000</v>
      </c>
      <c r="H929" s="8" t="s">
        <v>19</v>
      </c>
      <c r="I929" s="8" t="s">
        <v>13</v>
      </c>
      <c r="J929" s="8" t="s">
        <v>20</v>
      </c>
      <c r="K929" t="s">
        <v>158</v>
      </c>
      <c r="L929" t="s">
        <v>159</v>
      </c>
      <c r="M929" s="2">
        <f>VALUE(MID(L929,1,FIND("@",L929)-6))</f>
        <v>120</v>
      </c>
      <c r="N929">
        <v>7</v>
      </c>
      <c r="O929" t="str">
        <f>IF(datos_limpios[[#This Row],[Seating Capacity ]]&gt;4,"SI","NO")</f>
        <v>SI</v>
      </c>
      <c r="P929">
        <v>60</v>
      </c>
    </row>
    <row r="930" spans="1:16" x14ac:dyDescent="0.3">
      <c r="A930" s="8" t="s">
        <v>132</v>
      </c>
      <c r="B930" s="8" t="s">
        <v>344</v>
      </c>
      <c r="C930" s="9">
        <v>929</v>
      </c>
      <c r="D930" s="3">
        <v>1220000</v>
      </c>
      <c r="E930" s="1">
        <f>datos_limpios[[#This Row],[Price INR   ]]*0.011</f>
        <v>13420</v>
      </c>
      <c r="F930" s="13">
        <v>2020</v>
      </c>
      <c r="G930" s="2">
        <v>35000</v>
      </c>
      <c r="H930" s="8" t="s">
        <v>19</v>
      </c>
      <c r="I930" s="8" t="s">
        <v>13</v>
      </c>
      <c r="J930" s="8" t="s">
        <v>20</v>
      </c>
      <c r="K930" t="s">
        <v>158</v>
      </c>
      <c r="L930" t="s">
        <v>159</v>
      </c>
      <c r="M930" s="2">
        <f>VALUE(MID(L930,1,FIND("@",L930)-6))</f>
        <v>120</v>
      </c>
      <c r="N930">
        <v>7</v>
      </c>
      <c r="O930" t="str">
        <f>IF(datos_limpios[[#This Row],[Seating Capacity ]]&gt;4,"SI","NO")</f>
        <v>SI</v>
      </c>
      <c r="P930">
        <v>60</v>
      </c>
    </row>
    <row r="931" spans="1:16" x14ac:dyDescent="0.3">
      <c r="A931" s="8" t="s">
        <v>132</v>
      </c>
      <c r="B931" s="8" t="s">
        <v>344</v>
      </c>
      <c r="C931" s="9">
        <v>930</v>
      </c>
      <c r="D931" s="3">
        <v>1221000</v>
      </c>
      <c r="E931" s="1">
        <f>datos_limpios[[#This Row],[Price INR   ]]*0.011</f>
        <v>13431</v>
      </c>
      <c r="F931" s="13">
        <v>2019</v>
      </c>
      <c r="G931" s="2">
        <v>46000</v>
      </c>
      <c r="H931" s="8" t="s">
        <v>19</v>
      </c>
      <c r="I931" s="8" t="s">
        <v>13</v>
      </c>
      <c r="J931" s="8" t="s">
        <v>20</v>
      </c>
      <c r="K931" t="s">
        <v>158</v>
      </c>
      <c r="L931" t="s">
        <v>159</v>
      </c>
      <c r="M931" s="2">
        <f>VALUE(MID(L931,1,FIND("@",L931)-6))</f>
        <v>120</v>
      </c>
      <c r="N931">
        <v>7</v>
      </c>
      <c r="O931" t="str">
        <f>IF(datos_limpios[[#This Row],[Seating Capacity ]]&gt;4,"SI","NO")</f>
        <v>SI</v>
      </c>
      <c r="P931">
        <v>60</v>
      </c>
    </row>
    <row r="932" spans="1:16" x14ac:dyDescent="0.3">
      <c r="A932" s="8" t="s">
        <v>132</v>
      </c>
      <c r="B932" s="8" t="s">
        <v>861</v>
      </c>
      <c r="C932" s="9">
        <v>931</v>
      </c>
      <c r="D932" s="3">
        <v>1251000</v>
      </c>
      <c r="E932" s="1">
        <f>datos_limpios[[#This Row],[Price INR   ]]*0.011</f>
        <v>13761</v>
      </c>
      <c r="F932" s="13">
        <v>2018</v>
      </c>
      <c r="G932" s="2">
        <v>120000</v>
      </c>
      <c r="H932" s="8" t="s">
        <v>19</v>
      </c>
      <c r="I932" s="8" t="s">
        <v>13</v>
      </c>
      <c r="J932" s="8" t="s">
        <v>101</v>
      </c>
      <c r="K932" t="s">
        <v>158</v>
      </c>
      <c r="L932" t="s">
        <v>395</v>
      </c>
      <c r="M932" s="2">
        <f>VALUE(MID(L932,1,FIND("@",L932)-6))</f>
        <v>140</v>
      </c>
      <c r="N932">
        <v>7</v>
      </c>
      <c r="O932" t="str">
        <f>IF(datos_limpios[[#This Row],[Seating Capacity ]]&gt;4,"SI","NO")</f>
        <v>SI</v>
      </c>
      <c r="P932">
        <v>60</v>
      </c>
    </row>
    <row r="933" spans="1:16" x14ac:dyDescent="0.3">
      <c r="A933" s="8" t="s">
        <v>132</v>
      </c>
      <c r="B933" s="8" t="s">
        <v>394</v>
      </c>
      <c r="C933" s="9">
        <v>932</v>
      </c>
      <c r="D933" s="3">
        <v>1270000</v>
      </c>
      <c r="E933" s="1">
        <f>datos_limpios[[#This Row],[Price INR   ]]*0.011</f>
        <v>13970</v>
      </c>
      <c r="F933" s="13">
        <v>2019</v>
      </c>
      <c r="G933" s="2">
        <v>61805</v>
      </c>
      <c r="H933" s="8" t="s">
        <v>19</v>
      </c>
      <c r="I933" s="8" t="s">
        <v>13</v>
      </c>
      <c r="J933" s="8" t="s">
        <v>20</v>
      </c>
      <c r="K933" t="s">
        <v>158</v>
      </c>
      <c r="L933" t="s">
        <v>395</v>
      </c>
      <c r="M933" s="2">
        <f>VALUE(MID(L933,1,FIND("@",L933)-6))</f>
        <v>140</v>
      </c>
      <c r="N933">
        <v>7</v>
      </c>
      <c r="O933" t="str">
        <f>IF(datos_limpios[[#This Row],[Seating Capacity ]]&gt;4,"SI","NO")</f>
        <v>SI</v>
      </c>
      <c r="P933">
        <v>60</v>
      </c>
    </row>
    <row r="934" spans="1:16" x14ac:dyDescent="0.3">
      <c r="A934" s="8" t="s">
        <v>132</v>
      </c>
      <c r="B934" s="8" t="s">
        <v>1109</v>
      </c>
      <c r="C934" s="9">
        <v>933</v>
      </c>
      <c r="D934" s="3">
        <v>1275000</v>
      </c>
      <c r="E934" s="1">
        <f>datos_limpios[[#This Row],[Price INR   ]]*0.011</f>
        <v>14025</v>
      </c>
      <c r="F934" s="13">
        <v>2018</v>
      </c>
      <c r="G934" s="2">
        <v>47000</v>
      </c>
      <c r="H934" s="8" t="s">
        <v>19</v>
      </c>
      <c r="I934" s="8" t="s">
        <v>13</v>
      </c>
      <c r="J934" s="8" t="s">
        <v>20</v>
      </c>
      <c r="K934" t="s">
        <v>158</v>
      </c>
      <c r="L934" t="s">
        <v>329</v>
      </c>
      <c r="M934" s="2">
        <f>VALUE(MID(L934,1,FIND("@",L934)-6))</f>
        <v>153</v>
      </c>
      <c r="N934">
        <v>7</v>
      </c>
      <c r="O934" t="str">
        <f>IF(datos_limpios[[#This Row],[Seating Capacity ]]&gt;4,"SI","NO")</f>
        <v>SI</v>
      </c>
      <c r="P934">
        <v>70</v>
      </c>
    </row>
    <row r="935" spans="1:16" x14ac:dyDescent="0.3">
      <c r="A935" s="8" t="s">
        <v>132</v>
      </c>
      <c r="B935" s="8" t="s">
        <v>237</v>
      </c>
      <c r="C935" s="9">
        <v>934</v>
      </c>
      <c r="D935" s="3">
        <v>1299000</v>
      </c>
      <c r="E935" s="1">
        <f>datos_limpios[[#This Row],[Price INR   ]]*0.011</f>
        <v>14289</v>
      </c>
      <c r="F935" s="13">
        <v>2020</v>
      </c>
      <c r="G935" s="2">
        <v>31348</v>
      </c>
      <c r="H935" s="8" t="s">
        <v>19</v>
      </c>
      <c r="I935" s="8" t="s">
        <v>13</v>
      </c>
      <c r="J935" s="8" t="s">
        <v>20</v>
      </c>
      <c r="K935" t="s">
        <v>165</v>
      </c>
      <c r="L935" t="s">
        <v>238</v>
      </c>
      <c r="M935" s="2">
        <f>VALUE(MID(L935,1,FIND("@",L935)-6))</f>
        <v>115</v>
      </c>
      <c r="N935">
        <v>5</v>
      </c>
      <c r="O935" t="str">
        <f>IF(datos_limpios[[#This Row],[Seating Capacity ]]&gt;4,"SI","NO")</f>
        <v>SI</v>
      </c>
      <c r="P935">
        <v>42</v>
      </c>
    </row>
    <row r="936" spans="1:16" x14ac:dyDescent="0.3">
      <c r="A936" s="8" t="s">
        <v>132</v>
      </c>
      <c r="B936" s="8" t="s">
        <v>861</v>
      </c>
      <c r="C936" s="9">
        <v>935</v>
      </c>
      <c r="D936" s="3">
        <v>1350000</v>
      </c>
      <c r="E936" s="1">
        <f>datos_limpios[[#This Row],[Price INR   ]]*0.011</f>
        <v>14850</v>
      </c>
      <c r="F936" s="13">
        <v>2018</v>
      </c>
      <c r="G936" s="2">
        <v>56500</v>
      </c>
      <c r="H936" s="8" t="s">
        <v>19</v>
      </c>
      <c r="I936" s="8" t="s">
        <v>13</v>
      </c>
      <c r="J936" s="8" t="s">
        <v>101</v>
      </c>
      <c r="K936" t="s">
        <v>158</v>
      </c>
      <c r="L936" t="s">
        <v>395</v>
      </c>
      <c r="M936" s="2">
        <f>VALUE(MID(L936,1,FIND("@",L936)-6))</f>
        <v>140</v>
      </c>
      <c r="N936">
        <v>7</v>
      </c>
      <c r="O936" t="str">
        <f>IF(datos_limpios[[#This Row],[Seating Capacity ]]&gt;4,"SI","NO")</f>
        <v>SI</v>
      </c>
      <c r="P936">
        <v>60</v>
      </c>
    </row>
    <row r="937" spans="1:16" x14ac:dyDescent="0.3">
      <c r="A937" s="8" t="s">
        <v>132</v>
      </c>
      <c r="B937" s="8" t="s">
        <v>493</v>
      </c>
      <c r="C937" s="9">
        <v>936</v>
      </c>
      <c r="D937" s="3">
        <v>1375000</v>
      </c>
      <c r="E937" s="1">
        <f>datos_limpios[[#This Row],[Price INR   ]]*0.011</f>
        <v>15125</v>
      </c>
      <c r="F937" s="13">
        <v>2019</v>
      </c>
      <c r="G937" s="2">
        <v>69000</v>
      </c>
      <c r="H937" s="8" t="s">
        <v>19</v>
      </c>
      <c r="I937" s="8" t="s">
        <v>13</v>
      </c>
      <c r="J937" s="8" t="s">
        <v>101</v>
      </c>
      <c r="K937" t="s">
        <v>158</v>
      </c>
      <c r="L937" t="s">
        <v>395</v>
      </c>
      <c r="M937" s="2">
        <f>VALUE(MID(L937,1,FIND("@",L937)-6))</f>
        <v>140</v>
      </c>
      <c r="N937">
        <v>7</v>
      </c>
      <c r="O937" t="str">
        <f>IF(datos_limpios[[#This Row],[Seating Capacity ]]&gt;4,"SI","NO")</f>
        <v>SI</v>
      </c>
      <c r="P937">
        <v>60</v>
      </c>
    </row>
    <row r="938" spans="1:16" x14ac:dyDescent="0.3">
      <c r="A938" s="8" t="s">
        <v>132</v>
      </c>
      <c r="B938" s="8" t="s">
        <v>436</v>
      </c>
      <c r="C938" s="9">
        <v>937</v>
      </c>
      <c r="D938" s="3">
        <v>1375000</v>
      </c>
      <c r="E938" s="1">
        <f>datos_limpios[[#This Row],[Price INR   ]]*0.011</f>
        <v>15125</v>
      </c>
      <c r="F938" s="13">
        <v>2016</v>
      </c>
      <c r="G938" s="2">
        <v>75811</v>
      </c>
      <c r="H938" s="8" t="s">
        <v>19</v>
      </c>
      <c r="I938" s="8" t="s">
        <v>13</v>
      </c>
      <c r="J938" s="8" t="s">
        <v>101</v>
      </c>
      <c r="K938" t="s">
        <v>158</v>
      </c>
      <c r="L938" t="s">
        <v>64</v>
      </c>
      <c r="M938" s="2">
        <f>VALUE(MID(L938,1,FIND("@",L938)-6))</f>
        <v>138</v>
      </c>
      <c r="N938">
        <v>7</v>
      </c>
      <c r="O938" t="str">
        <f>IF(datos_limpios[[#This Row],[Seating Capacity ]]&gt;4,"SI","NO")</f>
        <v>SI</v>
      </c>
      <c r="P938">
        <v>70</v>
      </c>
    </row>
    <row r="939" spans="1:16" x14ac:dyDescent="0.3">
      <c r="A939" s="8" t="s">
        <v>132</v>
      </c>
      <c r="B939" s="8" t="s">
        <v>394</v>
      </c>
      <c r="C939" s="9">
        <v>938</v>
      </c>
      <c r="D939" s="3">
        <v>1475000</v>
      </c>
      <c r="E939" s="1">
        <f>datos_limpios[[#This Row],[Price INR   ]]*0.011</f>
        <v>16224.999999999998</v>
      </c>
      <c r="F939" s="13">
        <v>2020</v>
      </c>
      <c r="G939" s="2">
        <v>78000</v>
      </c>
      <c r="H939" s="8" t="s">
        <v>19</v>
      </c>
      <c r="I939" s="8" t="s">
        <v>13</v>
      </c>
      <c r="J939" s="8" t="s">
        <v>20</v>
      </c>
      <c r="K939" t="s">
        <v>158</v>
      </c>
      <c r="L939" t="s">
        <v>395</v>
      </c>
      <c r="M939" s="2">
        <f>VALUE(MID(L939,1,FIND("@",L939)-6))</f>
        <v>140</v>
      </c>
      <c r="N939">
        <v>7</v>
      </c>
      <c r="O939" t="str">
        <f>IF(datos_limpios[[#This Row],[Seating Capacity ]]&gt;4,"SI","NO")</f>
        <v>SI</v>
      </c>
      <c r="P939">
        <v>60</v>
      </c>
    </row>
    <row r="940" spans="1:16" x14ac:dyDescent="0.3">
      <c r="A940" s="8" t="s">
        <v>132</v>
      </c>
      <c r="B940" s="8" t="s">
        <v>750</v>
      </c>
      <c r="C940" s="9">
        <v>939</v>
      </c>
      <c r="D940" s="3">
        <v>1475000</v>
      </c>
      <c r="E940" s="1">
        <f>datos_limpios[[#This Row],[Price INR   ]]*0.011</f>
        <v>16224.999999999998</v>
      </c>
      <c r="F940" s="13">
        <v>2021</v>
      </c>
      <c r="G940" s="2">
        <v>12000</v>
      </c>
      <c r="H940" s="8" t="s">
        <v>19</v>
      </c>
      <c r="I940" s="8" t="s">
        <v>13</v>
      </c>
      <c r="J940" s="8" t="s">
        <v>30</v>
      </c>
      <c r="K940" t="s">
        <v>441</v>
      </c>
      <c r="L940" t="s">
        <v>442</v>
      </c>
      <c r="M940" s="2">
        <f>VALUE(MID(L940,1,FIND("@",L940)-6))</f>
        <v>130</v>
      </c>
      <c r="N940">
        <v>4</v>
      </c>
      <c r="O940" t="str">
        <f>IF(datos_limpios[[#This Row],[Seating Capacity ]]&gt;4,"SI","NO")</f>
        <v>NO</v>
      </c>
      <c r="P940">
        <v>57</v>
      </c>
    </row>
    <row r="941" spans="1:16" x14ac:dyDescent="0.3">
      <c r="A941" s="8" t="s">
        <v>132</v>
      </c>
      <c r="B941" s="8" t="s">
        <v>837</v>
      </c>
      <c r="C941" s="9">
        <v>940</v>
      </c>
      <c r="D941" s="3">
        <v>1485000</v>
      </c>
      <c r="E941" s="1">
        <f>datos_limpios[[#This Row],[Price INR   ]]*0.011</f>
        <v>16334.999999999998</v>
      </c>
      <c r="F941" s="13">
        <v>2021</v>
      </c>
      <c r="G941" s="2">
        <v>36700</v>
      </c>
      <c r="H941" s="8" t="s">
        <v>19</v>
      </c>
      <c r="I941" s="8" t="s">
        <v>13</v>
      </c>
      <c r="J941" s="8" t="s">
        <v>20</v>
      </c>
      <c r="K941" t="s">
        <v>165</v>
      </c>
      <c r="L941" t="s">
        <v>289</v>
      </c>
      <c r="M941" s="2">
        <f>VALUE(MID(L941,1,FIND("@",L941)-6))</f>
        <v>121</v>
      </c>
      <c r="N941">
        <v>8</v>
      </c>
      <c r="O941" t="str">
        <f>IF(datos_limpios[[#This Row],[Seating Capacity ]]&gt;4,"SI","NO")</f>
        <v>SI</v>
      </c>
      <c r="P941">
        <v>45</v>
      </c>
    </row>
    <row r="942" spans="1:16" x14ac:dyDescent="0.3">
      <c r="A942" s="8" t="s">
        <v>132</v>
      </c>
      <c r="B942" s="8" t="s">
        <v>493</v>
      </c>
      <c r="C942" s="9">
        <v>941</v>
      </c>
      <c r="D942" s="3">
        <v>1490000</v>
      </c>
      <c r="E942" s="1">
        <f>datos_limpios[[#This Row],[Price INR   ]]*0.011</f>
        <v>16390</v>
      </c>
      <c r="F942" s="13">
        <v>2018</v>
      </c>
      <c r="G942" s="2">
        <v>68000</v>
      </c>
      <c r="H942" s="8" t="s">
        <v>19</v>
      </c>
      <c r="I942" s="8" t="s">
        <v>13</v>
      </c>
      <c r="J942" s="8" t="s">
        <v>20</v>
      </c>
      <c r="K942" t="s">
        <v>158</v>
      </c>
      <c r="L942" t="s">
        <v>395</v>
      </c>
      <c r="M942" s="2">
        <f>VALUE(MID(L942,1,FIND("@",L942)-6))</f>
        <v>140</v>
      </c>
      <c r="N942">
        <v>7</v>
      </c>
      <c r="O942" t="str">
        <f>IF(datos_limpios[[#This Row],[Seating Capacity ]]&gt;4,"SI","NO")</f>
        <v>SI</v>
      </c>
      <c r="P942">
        <v>60</v>
      </c>
    </row>
    <row r="943" spans="1:16" x14ac:dyDescent="0.3">
      <c r="A943" s="8" t="s">
        <v>132</v>
      </c>
      <c r="B943" s="8" t="s">
        <v>436</v>
      </c>
      <c r="C943" s="9">
        <v>942</v>
      </c>
      <c r="D943" s="3">
        <v>1490000</v>
      </c>
      <c r="E943" s="1">
        <f>datos_limpios[[#This Row],[Price INR   ]]*0.011</f>
        <v>16390</v>
      </c>
      <c r="F943" s="13">
        <v>2018</v>
      </c>
      <c r="G943" s="2">
        <v>50000</v>
      </c>
      <c r="H943" s="8" t="s">
        <v>19</v>
      </c>
      <c r="I943" s="8" t="s">
        <v>13</v>
      </c>
      <c r="J943" s="8" t="s">
        <v>25</v>
      </c>
      <c r="K943" t="s">
        <v>158</v>
      </c>
      <c r="L943" t="s">
        <v>64</v>
      </c>
      <c r="M943" s="2">
        <f>VALUE(MID(L943,1,FIND("@",L943)-6))</f>
        <v>138</v>
      </c>
      <c r="N943">
        <v>7</v>
      </c>
      <c r="O943" t="str">
        <f>IF(datos_limpios[[#This Row],[Seating Capacity ]]&gt;4,"SI","NO")</f>
        <v>SI</v>
      </c>
      <c r="P943">
        <v>70</v>
      </c>
    </row>
    <row r="944" spans="1:16" x14ac:dyDescent="0.3">
      <c r="A944" s="8" t="s">
        <v>132</v>
      </c>
      <c r="B944" s="8" t="s">
        <v>240</v>
      </c>
      <c r="C944" s="9">
        <v>943</v>
      </c>
      <c r="D944" s="3">
        <v>1500000</v>
      </c>
      <c r="E944" s="1">
        <f>datos_limpios[[#This Row],[Price INR   ]]*0.011</f>
        <v>16500</v>
      </c>
      <c r="F944" s="13">
        <v>2021</v>
      </c>
      <c r="G944" s="2">
        <v>8000</v>
      </c>
      <c r="H944" s="8" t="s">
        <v>12</v>
      </c>
      <c r="I944" s="8" t="s">
        <v>13</v>
      </c>
      <c r="J944" s="8" t="s">
        <v>30</v>
      </c>
      <c r="K944" t="s">
        <v>201</v>
      </c>
      <c r="L944" t="s">
        <v>202</v>
      </c>
      <c r="M944" s="2">
        <f>VALUE(MID(L944,1,FIND("@",L944)-6))</f>
        <v>150</v>
      </c>
      <c r="N944">
        <v>4</v>
      </c>
      <c r="O944" t="str">
        <f>IF(datos_limpios[[#This Row],[Seating Capacity ]]&gt;4,"SI","NO")</f>
        <v>NO</v>
      </c>
      <c r="P944">
        <v>57</v>
      </c>
    </row>
    <row r="945" spans="1:16" x14ac:dyDescent="0.3">
      <c r="A945" s="8" t="s">
        <v>132</v>
      </c>
      <c r="B945" s="8" t="s">
        <v>1109</v>
      </c>
      <c r="C945" s="9">
        <v>944</v>
      </c>
      <c r="D945" s="3">
        <v>1500000</v>
      </c>
      <c r="E945" s="1">
        <f>datos_limpios[[#This Row],[Price INR   ]]*0.011</f>
        <v>16500</v>
      </c>
      <c r="F945" s="13">
        <v>2019</v>
      </c>
      <c r="G945" s="2">
        <v>75000</v>
      </c>
      <c r="H945" s="8" t="s">
        <v>19</v>
      </c>
      <c r="I945" s="8" t="s">
        <v>13</v>
      </c>
      <c r="J945" s="8" t="s">
        <v>20</v>
      </c>
      <c r="K945" t="s">
        <v>158</v>
      </c>
      <c r="L945" t="s">
        <v>329</v>
      </c>
      <c r="M945" s="2">
        <f>VALUE(MID(L945,1,FIND("@",L945)-6))</f>
        <v>153</v>
      </c>
      <c r="N945">
        <v>7</v>
      </c>
      <c r="O945" t="str">
        <f>IF(datos_limpios[[#This Row],[Seating Capacity ]]&gt;4,"SI","NO")</f>
        <v>SI</v>
      </c>
      <c r="P945">
        <v>70</v>
      </c>
    </row>
    <row r="946" spans="1:16" x14ac:dyDescent="0.3">
      <c r="A946" s="8" t="s">
        <v>132</v>
      </c>
      <c r="B946" s="8" t="s">
        <v>240</v>
      </c>
      <c r="C946" s="9">
        <v>945</v>
      </c>
      <c r="D946" s="3">
        <v>1520000</v>
      </c>
      <c r="E946" s="1">
        <f>datos_limpios[[#This Row],[Price INR   ]]*0.011</f>
        <v>16720</v>
      </c>
      <c r="F946" s="13">
        <v>2021</v>
      </c>
      <c r="G946" s="2">
        <v>14000</v>
      </c>
      <c r="H946" s="8" t="s">
        <v>12</v>
      </c>
      <c r="I946" s="8" t="s">
        <v>13</v>
      </c>
      <c r="J946" s="8" t="s">
        <v>82</v>
      </c>
      <c r="K946" t="s">
        <v>201</v>
      </c>
      <c r="L946" t="s">
        <v>202</v>
      </c>
      <c r="M946" s="2">
        <f>VALUE(MID(L946,1,FIND("@",L946)-6))</f>
        <v>150</v>
      </c>
      <c r="N946">
        <v>4</v>
      </c>
      <c r="O946" t="str">
        <f>IF(datos_limpios[[#This Row],[Seating Capacity ]]&gt;4,"SI","NO")</f>
        <v>NO</v>
      </c>
      <c r="P946">
        <v>57</v>
      </c>
    </row>
    <row r="947" spans="1:16" x14ac:dyDescent="0.3">
      <c r="A947" s="8" t="s">
        <v>132</v>
      </c>
      <c r="B947" s="8" t="s">
        <v>565</v>
      </c>
      <c r="C947" s="9">
        <v>946</v>
      </c>
      <c r="D947" s="3">
        <v>1550000</v>
      </c>
      <c r="E947" s="1">
        <f>datos_limpios[[#This Row],[Price INR   ]]*0.011</f>
        <v>17050</v>
      </c>
      <c r="F947" s="13">
        <v>2020</v>
      </c>
      <c r="G947" s="2">
        <v>28000</v>
      </c>
      <c r="H947" s="8" t="s">
        <v>19</v>
      </c>
      <c r="I947" s="8" t="s">
        <v>13</v>
      </c>
      <c r="J947" s="8" t="s">
        <v>101</v>
      </c>
      <c r="K947" t="s">
        <v>441</v>
      </c>
      <c r="L947" t="s">
        <v>442</v>
      </c>
      <c r="M947" s="2">
        <f>VALUE(MID(L947,1,FIND("@",L947)-6))</f>
        <v>130</v>
      </c>
      <c r="N947">
        <v>6</v>
      </c>
      <c r="O947" t="str">
        <f>IF(datos_limpios[[#This Row],[Seating Capacity ]]&gt;4,"SI","NO")</f>
        <v>SI</v>
      </c>
      <c r="P947">
        <v>57</v>
      </c>
    </row>
    <row r="948" spans="1:16" x14ac:dyDescent="0.3">
      <c r="A948" s="8" t="s">
        <v>132</v>
      </c>
      <c r="B948" s="8" t="s">
        <v>1187</v>
      </c>
      <c r="C948" s="9">
        <v>947</v>
      </c>
      <c r="D948" s="3">
        <v>1550000</v>
      </c>
      <c r="E948" s="1">
        <f>datos_limpios[[#This Row],[Price INR   ]]*0.011</f>
        <v>17050</v>
      </c>
      <c r="F948" s="13">
        <v>2022</v>
      </c>
      <c r="G948" s="2">
        <v>12000</v>
      </c>
      <c r="H948" s="8" t="s">
        <v>19</v>
      </c>
      <c r="I948" s="8" t="s">
        <v>13</v>
      </c>
      <c r="J948" s="8" t="s">
        <v>20</v>
      </c>
      <c r="K948" t="s">
        <v>158</v>
      </c>
      <c r="L948" t="s">
        <v>1188</v>
      </c>
      <c r="M948" s="2">
        <f>VALUE(MID(L948,1,FIND("@",L948)-6))</f>
        <v>137</v>
      </c>
      <c r="N948">
        <v>7</v>
      </c>
      <c r="O948" t="str">
        <f>IF(datos_limpios[[#This Row],[Seating Capacity ]]&gt;4,"SI","NO")</f>
        <v>SI</v>
      </c>
      <c r="P948">
        <v>60</v>
      </c>
    </row>
    <row r="949" spans="1:16" x14ac:dyDescent="0.3">
      <c r="A949" s="8" t="s">
        <v>132</v>
      </c>
      <c r="B949" s="8" t="s">
        <v>240</v>
      </c>
      <c r="C949" s="9">
        <v>948</v>
      </c>
      <c r="D949" s="3">
        <v>1575000</v>
      </c>
      <c r="E949" s="1">
        <f>datos_limpios[[#This Row],[Price INR   ]]*0.011</f>
        <v>17325</v>
      </c>
      <c r="F949" s="13">
        <v>2021</v>
      </c>
      <c r="G949" s="2">
        <v>8519</v>
      </c>
      <c r="H949" s="8" t="s">
        <v>12</v>
      </c>
      <c r="I949" s="8" t="s">
        <v>13</v>
      </c>
      <c r="J949" s="8" t="s">
        <v>57</v>
      </c>
      <c r="K949" t="s">
        <v>201</v>
      </c>
      <c r="L949" t="s">
        <v>202</v>
      </c>
      <c r="M949" s="2">
        <f>VALUE(MID(L949,1,FIND("@",L949)-6))</f>
        <v>150</v>
      </c>
      <c r="N949">
        <v>4</v>
      </c>
      <c r="O949" t="str">
        <f>IF(datos_limpios[[#This Row],[Seating Capacity ]]&gt;4,"SI","NO")</f>
        <v>NO</v>
      </c>
      <c r="P949">
        <v>57</v>
      </c>
    </row>
    <row r="950" spans="1:16" x14ac:dyDescent="0.3">
      <c r="A950" s="8" t="s">
        <v>132</v>
      </c>
      <c r="B950" s="8" t="s">
        <v>328</v>
      </c>
      <c r="C950" s="9">
        <v>949</v>
      </c>
      <c r="D950" s="3">
        <v>1595000</v>
      </c>
      <c r="E950" s="1">
        <f>datos_limpios[[#This Row],[Price INR   ]]*0.011</f>
        <v>17545</v>
      </c>
      <c r="F950" s="13">
        <v>2018</v>
      </c>
      <c r="G950" s="2">
        <v>54154</v>
      </c>
      <c r="H950" s="8" t="s">
        <v>19</v>
      </c>
      <c r="I950" s="8" t="s">
        <v>40</v>
      </c>
      <c r="J950" s="8" t="s">
        <v>30</v>
      </c>
      <c r="K950" t="s">
        <v>158</v>
      </c>
      <c r="L950" t="s">
        <v>329</v>
      </c>
      <c r="M950" s="2">
        <f>VALUE(MID(L950,1,FIND("@",L950)-6))</f>
        <v>153</v>
      </c>
      <c r="N950">
        <v>7</v>
      </c>
      <c r="O950" t="str">
        <f>IF(datos_limpios[[#This Row],[Seating Capacity ]]&gt;4,"SI","NO")</f>
        <v>SI</v>
      </c>
      <c r="P950">
        <v>70</v>
      </c>
    </row>
    <row r="951" spans="1:16" x14ac:dyDescent="0.3">
      <c r="A951" s="8" t="s">
        <v>132</v>
      </c>
      <c r="B951" s="8" t="s">
        <v>1427</v>
      </c>
      <c r="C951" s="9">
        <v>950</v>
      </c>
      <c r="D951" s="3">
        <v>1639999</v>
      </c>
      <c r="E951" s="1">
        <f>datos_limpios[[#This Row],[Price INR   ]]*0.011</f>
        <v>18039.988999999998</v>
      </c>
      <c r="F951" s="13">
        <v>2018</v>
      </c>
      <c r="G951" s="2">
        <v>43000</v>
      </c>
      <c r="H951" s="8" t="s">
        <v>19</v>
      </c>
      <c r="I951" s="8" t="s">
        <v>40</v>
      </c>
      <c r="J951" s="8" t="s">
        <v>115</v>
      </c>
      <c r="K951" t="s">
        <v>158</v>
      </c>
      <c r="L951" t="s">
        <v>329</v>
      </c>
      <c r="M951" s="2">
        <f>VALUE(MID(L951,1,FIND("@",L951)-6))</f>
        <v>153</v>
      </c>
      <c r="N951">
        <v>7</v>
      </c>
      <c r="O951" t="str">
        <f>IF(datos_limpios[[#This Row],[Seating Capacity ]]&gt;4,"SI","NO")</f>
        <v>SI</v>
      </c>
      <c r="P951">
        <v>70</v>
      </c>
    </row>
    <row r="952" spans="1:16" x14ac:dyDescent="0.3">
      <c r="A952" s="8" t="s">
        <v>132</v>
      </c>
      <c r="B952" s="8" t="s">
        <v>200</v>
      </c>
      <c r="C952" s="9">
        <v>951</v>
      </c>
      <c r="D952" s="3">
        <v>1650000</v>
      </c>
      <c r="E952" s="1">
        <f>datos_limpios[[#This Row],[Price INR   ]]*0.011</f>
        <v>18150</v>
      </c>
      <c r="F952" s="13">
        <v>2022</v>
      </c>
      <c r="G952" s="2">
        <v>10000</v>
      </c>
      <c r="H952" s="8" t="s">
        <v>12</v>
      </c>
      <c r="I952" s="8" t="s">
        <v>40</v>
      </c>
      <c r="J952" s="8" t="s">
        <v>101</v>
      </c>
      <c r="K952" t="s">
        <v>201</v>
      </c>
      <c r="L952" t="s">
        <v>202</v>
      </c>
      <c r="M952" s="2">
        <f>VALUE(MID(L952,1,FIND("@",L952)-6))</f>
        <v>150</v>
      </c>
      <c r="N952">
        <v>4</v>
      </c>
      <c r="O952" t="str">
        <f>IF(datos_limpios[[#This Row],[Seating Capacity ]]&gt;4,"SI","NO")</f>
        <v>NO</v>
      </c>
      <c r="P952">
        <v>57</v>
      </c>
    </row>
    <row r="953" spans="1:16" x14ac:dyDescent="0.3">
      <c r="A953" s="8" t="s">
        <v>132</v>
      </c>
      <c r="B953" s="8" t="s">
        <v>750</v>
      </c>
      <c r="C953" s="9">
        <v>952</v>
      </c>
      <c r="D953" s="3">
        <v>1698999</v>
      </c>
      <c r="E953" s="1">
        <f>datos_limpios[[#This Row],[Price INR   ]]*0.011</f>
        <v>18688.988999999998</v>
      </c>
      <c r="F953" s="13">
        <v>2021</v>
      </c>
      <c r="G953" s="2">
        <v>37500</v>
      </c>
      <c r="H953" s="8" t="s">
        <v>19</v>
      </c>
      <c r="I953" s="8" t="s">
        <v>13</v>
      </c>
      <c r="J953" s="8" t="s">
        <v>82</v>
      </c>
      <c r="K953" t="s">
        <v>441</v>
      </c>
      <c r="L953" t="s">
        <v>442</v>
      </c>
      <c r="M953" s="2">
        <f>VALUE(MID(L953,1,FIND("@",L953)-6))</f>
        <v>130</v>
      </c>
      <c r="N953">
        <v>4</v>
      </c>
      <c r="O953" t="str">
        <f>IF(datos_limpios[[#This Row],[Seating Capacity ]]&gt;4,"SI","NO")</f>
        <v>NO</v>
      </c>
      <c r="P953">
        <v>57</v>
      </c>
    </row>
    <row r="954" spans="1:16" x14ac:dyDescent="0.3">
      <c r="A954" s="8" t="s">
        <v>132</v>
      </c>
      <c r="B954" s="8" t="s">
        <v>519</v>
      </c>
      <c r="C954" s="9">
        <v>953</v>
      </c>
      <c r="D954" s="3">
        <v>1700000</v>
      </c>
      <c r="E954" s="1">
        <f>datos_limpios[[#This Row],[Price INR   ]]*0.011</f>
        <v>18700</v>
      </c>
      <c r="F954" s="13">
        <v>2021</v>
      </c>
      <c r="G954" s="2">
        <v>3813</v>
      </c>
      <c r="H954" s="8" t="s">
        <v>12</v>
      </c>
      <c r="I954" s="8" t="s">
        <v>13</v>
      </c>
      <c r="J954" s="8" t="s">
        <v>30</v>
      </c>
      <c r="K954" t="s">
        <v>201</v>
      </c>
      <c r="L954" t="s">
        <v>202</v>
      </c>
      <c r="M954" s="2">
        <f>VALUE(MID(L954,1,FIND("@",L954)-6))</f>
        <v>150</v>
      </c>
      <c r="N954">
        <v>4</v>
      </c>
      <c r="O954" t="str">
        <f>IF(datos_limpios[[#This Row],[Seating Capacity ]]&gt;4,"SI","NO")</f>
        <v>NO</v>
      </c>
      <c r="P954">
        <v>57</v>
      </c>
    </row>
    <row r="955" spans="1:16" x14ac:dyDescent="0.3">
      <c r="A955" s="8" t="s">
        <v>132</v>
      </c>
      <c r="B955" s="8" t="s">
        <v>440</v>
      </c>
      <c r="C955" s="9">
        <v>954</v>
      </c>
      <c r="D955" s="3">
        <v>1700000</v>
      </c>
      <c r="E955" s="1">
        <f>datos_limpios[[#This Row],[Price INR   ]]*0.011</f>
        <v>18700</v>
      </c>
      <c r="F955" s="13">
        <v>2021</v>
      </c>
      <c r="G955" s="2">
        <v>14000</v>
      </c>
      <c r="H955" s="8" t="s">
        <v>19</v>
      </c>
      <c r="I955" s="8" t="s">
        <v>40</v>
      </c>
      <c r="J955" s="8" t="s">
        <v>101</v>
      </c>
      <c r="K955" t="s">
        <v>441</v>
      </c>
      <c r="L955" t="s">
        <v>442</v>
      </c>
      <c r="M955" s="2">
        <f>VALUE(MID(L955,1,FIND("@",L955)-6))</f>
        <v>130</v>
      </c>
      <c r="N955">
        <v>4</v>
      </c>
      <c r="O955" t="str">
        <f>IF(datos_limpios[[#This Row],[Seating Capacity ]]&gt;4,"SI","NO")</f>
        <v>NO</v>
      </c>
      <c r="P955">
        <v>57</v>
      </c>
    </row>
    <row r="956" spans="1:16" x14ac:dyDescent="0.3">
      <c r="A956" s="8" t="s">
        <v>132</v>
      </c>
      <c r="B956" s="8" t="s">
        <v>1304</v>
      </c>
      <c r="C956" s="9">
        <v>955</v>
      </c>
      <c r="D956" s="3">
        <v>1700000</v>
      </c>
      <c r="E956" s="1">
        <f>datos_limpios[[#This Row],[Price INR   ]]*0.011</f>
        <v>18700</v>
      </c>
      <c r="F956" s="13">
        <v>2021</v>
      </c>
      <c r="G956" s="2">
        <v>17000</v>
      </c>
      <c r="H956" s="8" t="s">
        <v>19</v>
      </c>
      <c r="I956" s="8" t="s">
        <v>13</v>
      </c>
      <c r="J956" s="8" t="s">
        <v>77</v>
      </c>
      <c r="K956" t="s">
        <v>441</v>
      </c>
      <c r="L956" t="s">
        <v>442</v>
      </c>
      <c r="M956" s="2">
        <f>VALUE(MID(L956,1,FIND("@",L956)-6))</f>
        <v>130</v>
      </c>
      <c r="N956">
        <v>4</v>
      </c>
      <c r="O956" t="str">
        <f>IF(datos_limpios[[#This Row],[Seating Capacity ]]&gt;4,"SI","NO")</f>
        <v>NO</v>
      </c>
      <c r="P956">
        <v>57</v>
      </c>
    </row>
    <row r="957" spans="1:16" x14ac:dyDescent="0.3">
      <c r="A957" s="8" t="s">
        <v>132</v>
      </c>
      <c r="B957" s="8" t="s">
        <v>200</v>
      </c>
      <c r="C957" s="9">
        <v>956</v>
      </c>
      <c r="D957" s="3">
        <v>1710000</v>
      </c>
      <c r="E957" s="1">
        <f>datos_limpios[[#This Row],[Price INR   ]]*0.011</f>
        <v>18810</v>
      </c>
      <c r="F957" s="13">
        <v>2021</v>
      </c>
      <c r="G957" s="2">
        <v>4400</v>
      </c>
      <c r="H957" s="8" t="s">
        <v>12</v>
      </c>
      <c r="I957" s="8" t="s">
        <v>40</v>
      </c>
      <c r="J957" s="8" t="s">
        <v>101</v>
      </c>
      <c r="K957" t="s">
        <v>201</v>
      </c>
      <c r="L957" t="s">
        <v>202</v>
      </c>
      <c r="M957" s="2">
        <f>VALUE(MID(L957,1,FIND("@",L957)-6))</f>
        <v>150</v>
      </c>
      <c r="N957">
        <v>4</v>
      </c>
      <c r="O957" t="str">
        <f>IF(datos_limpios[[#This Row],[Seating Capacity ]]&gt;4,"SI","NO")</f>
        <v>NO</v>
      </c>
      <c r="P957">
        <v>57</v>
      </c>
    </row>
    <row r="958" spans="1:16" x14ac:dyDescent="0.3">
      <c r="A958" s="8" t="s">
        <v>132</v>
      </c>
      <c r="B958" s="8" t="s">
        <v>750</v>
      </c>
      <c r="C958" s="9">
        <v>957</v>
      </c>
      <c r="D958" s="3">
        <v>1800000</v>
      </c>
      <c r="E958" s="1">
        <f>datos_limpios[[#This Row],[Price INR   ]]*0.011</f>
        <v>19800</v>
      </c>
      <c r="F958" s="13">
        <v>2021</v>
      </c>
      <c r="G958" s="2">
        <v>17000</v>
      </c>
      <c r="H958" s="8" t="s">
        <v>19</v>
      </c>
      <c r="I958" s="8" t="s">
        <v>13</v>
      </c>
      <c r="J958" s="8" t="s">
        <v>101</v>
      </c>
      <c r="K958" t="s">
        <v>441</v>
      </c>
      <c r="L958" t="s">
        <v>442</v>
      </c>
      <c r="M958" s="2">
        <f>VALUE(MID(L958,1,FIND("@",L958)-6))</f>
        <v>130</v>
      </c>
      <c r="N958">
        <v>4</v>
      </c>
      <c r="O958" t="str">
        <f>IF(datos_limpios[[#This Row],[Seating Capacity ]]&gt;4,"SI","NO")</f>
        <v>NO</v>
      </c>
      <c r="P958">
        <v>57</v>
      </c>
    </row>
    <row r="959" spans="1:16" x14ac:dyDescent="0.3">
      <c r="A959" s="8" t="s">
        <v>132</v>
      </c>
      <c r="B959" s="8" t="s">
        <v>750</v>
      </c>
      <c r="C959" s="9">
        <v>958</v>
      </c>
      <c r="D959" s="3">
        <v>1800000</v>
      </c>
      <c r="E959" s="1">
        <f>datos_limpios[[#This Row],[Price INR   ]]*0.011</f>
        <v>19800</v>
      </c>
      <c r="F959" s="13">
        <v>2021</v>
      </c>
      <c r="G959" s="2">
        <v>14500</v>
      </c>
      <c r="H959" s="8" t="s">
        <v>19</v>
      </c>
      <c r="I959" s="8" t="s">
        <v>13</v>
      </c>
      <c r="J959" s="8" t="s">
        <v>14</v>
      </c>
      <c r="K959" t="s">
        <v>441</v>
      </c>
      <c r="L959" t="s">
        <v>442</v>
      </c>
      <c r="M959" s="2">
        <f>VALUE(MID(L959,1,FIND("@",L959)-6))</f>
        <v>130</v>
      </c>
      <c r="N959">
        <v>4</v>
      </c>
      <c r="O959" t="str">
        <f>IF(datos_limpios[[#This Row],[Seating Capacity ]]&gt;4,"SI","NO")</f>
        <v>NO</v>
      </c>
      <c r="P959">
        <v>57</v>
      </c>
    </row>
    <row r="960" spans="1:16" x14ac:dyDescent="0.3">
      <c r="A960" s="8" t="s">
        <v>132</v>
      </c>
      <c r="B960" s="8" t="s">
        <v>440</v>
      </c>
      <c r="C960" s="9">
        <v>959</v>
      </c>
      <c r="D960" s="3">
        <v>1825000</v>
      </c>
      <c r="E960" s="1">
        <f>datos_limpios[[#This Row],[Price INR   ]]*0.011</f>
        <v>20075</v>
      </c>
      <c r="F960" s="13">
        <v>2022</v>
      </c>
      <c r="G960" s="2">
        <v>11000</v>
      </c>
      <c r="H960" s="8" t="s">
        <v>19</v>
      </c>
      <c r="I960" s="8" t="s">
        <v>40</v>
      </c>
      <c r="J960" s="8" t="s">
        <v>101</v>
      </c>
      <c r="K960" t="s">
        <v>441</v>
      </c>
      <c r="L960" t="s">
        <v>442</v>
      </c>
      <c r="M960" s="2">
        <f>VALUE(MID(L960,1,FIND("@",L960)-6))</f>
        <v>130</v>
      </c>
      <c r="N960">
        <v>4</v>
      </c>
      <c r="O960" t="str">
        <f>IF(datos_limpios[[#This Row],[Seating Capacity ]]&gt;4,"SI","NO")</f>
        <v>NO</v>
      </c>
      <c r="P960">
        <v>57</v>
      </c>
    </row>
    <row r="961" spans="1:16" x14ac:dyDescent="0.3">
      <c r="A961" s="8" t="s">
        <v>132</v>
      </c>
      <c r="B961" s="8" t="s">
        <v>1337</v>
      </c>
      <c r="C961" s="9">
        <v>960</v>
      </c>
      <c r="D961" s="3">
        <v>1850000</v>
      </c>
      <c r="E961" s="1">
        <f>datos_limpios[[#This Row],[Price INR   ]]*0.011</f>
        <v>20350</v>
      </c>
      <c r="F961" s="13">
        <v>2021</v>
      </c>
      <c r="G961" s="2">
        <v>23280</v>
      </c>
      <c r="H961" s="8" t="s">
        <v>12</v>
      </c>
      <c r="I961" s="8" t="s">
        <v>13</v>
      </c>
      <c r="J961" s="8" t="s">
        <v>30</v>
      </c>
      <c r="K961" t="s">
        <v>201</v>
      </c>
      <c r="L961" t="s">
        <v>202</v>
      </c>
      <c r="M961" s="2">
        <f>VALUE(MID(L961,1,FIND("@",L961)-6))</f>
        <v>150</v>
      </c>
      <c r="N961">
        <v>6</v>
      </c>
      <c r="O961" t="str">
        <f>IF(datos_limpios[[#This Row],[Seating Capacity ]]&gt;4,"SI","NO")</f>
        <v>SI</v>
      </c>
      <c r="P961">
        <v>57</v>
      </c>
    </row>
    <row r="962" spans="1:16" x14ac:dyDescent="0.3">
      <c r="A962" s="8" t="s">
        <v>132</v>
      </c>
      <c r="B962" s="8" t="s">
        <v>1211</v>
      </c>
      <c r="C962" s="9">
        <v>961</v>
      </c>
      <c r="D962" s="3">
        <v>1864999</v>
      </c>
      <c r="E962" s="1">
        <f>datos_limpios[[#This Row],[Price INR   ]]*0.011</f>
        <v>20514.988999999998</v>
      </c>
      <c r="F962" s="13">
        <v>2020</v>
      </c>
      <c r="G962" s="2">
        <v>30000</v>
      </c>
      <c r="H962" s="8" t="s">
        <v>19</v>
      </c>
      <c r="I962" s="8" t="s">
        <v>40</v>
      </c>
      <c r="J962" s="8" t="s">
        <v>57</v>
      </c>
      <c r="K962" t="s">
        <v>441</v>
      </c>
      <c r="L962" t="s">
        <v>442</v>
      </c>
      <c r="M962" s="2">
        <f>VALUE(MID(L962,1,FIND("@",L962)-6))</f>
        <v>130</v>
      </c>
      <c r="N962">
        <v>4</v>
      </c>
      <c r="O962" t="str">
        <f>IF(datos_limpios[[#This Row],[Seating Capacity ]]&gt;4,"SI","NO")</f>
        <v>NO</v>
      </c>
      <c r="P962">
        <v>57</v>
      </c>
    </row>
    <row r="963" spans="1:16" x14ac:dyDescent="0.3">
      <c r="A963" s="8" t="s">
        <v>132</v>
      </c>
      <c r="B963" s="8" t="s">
        <v>440</v>
      </c>
      <c r="C963" s="9">
        <v>962</v>
      </c>
      <c r="D963" s="3">
        <v>1875000</v>
      </c>
      <c r="E963" s="1">
        <f>datos_limpios[[#This Row],[Price INR   ]]*0.011</f>
        <v>20625</v>
      </c>
      <c r="F963" s="13">
        <v>2022</v>
      </c>
      <c r="G963" s="2">
        <v>15000</v>
      </c>
      <c r="H963" s="8" t="s">
        <v>19</v>
      </c>
      <c r="I963" s="8" t="s">
        <v>40</v>
      </c>
      <c r="J963" s="8" t="s">
        <v>14</v>
      </c>
      <c r="K963" t="s">
        <v>441</v>
      </c>
      <c r="L963" t="s">
        <v>442</v>
      </c>
      <c r="M963" s="2">
        <f>VALUE(MID(L963,1,FIND("@",L963)-6))</f>
        <v>130</v>
      </c>
      <c r="N963">
        <v>4</v>
      </c>
      <c r="O963" t="str">
        <f>IF(datos_limpios[[#This Row],[Seating Capacity ]]&gt;4,"SI","NO")</f>
        <v>NO</v>
      </c>
      <c r="P963">
        <v>57</v>
      </c>
    </row>
    <row r="964" spans="1:16" x14ac:dyDescent="0.3">
      <c r="A964" s="8" t="s">
        <v>132</v>
      </c>
      <c r="B964" s="8" t="s">
        <v>440</v>
      </c>
      <c r="C964" s="9">
        <v>963</v>
      </c>
      <c r="D964" s="3">
        <v>1950000</v>
      </c>
      <c r="E964" s="1">
        <f>datos_limpios[[#This Row],[Price INR   ]]*0.011</f>
        <v>21450</v>
      </c>
      <c r="F964" s="13">
        <v>2022</v>
      </c>
      <c r="G964" s="2">
        <v>4500</v>
      </c>
      <c r="H964" s="8" t="s">
        <v>19</v>
      </c>
      <c r="I964" s="8" t="s">
        <v>40</v>
      </c>
      <c r="J964" s="8" t="s">
        <v>101</v>
      </c>
      <c r="K964" t="s">
        <v>441</v>
      </c>
      <c r="L964" t="s">
        <v>442</v>
      </c>
      <c r="M964" s="2">
        <f>VALUE(MID(L964,1,FIND("@",L964)-6))</f>
        <v>130</v>
      </c>
      <c r="N964">
        <v>4</v>
      </c>
      <c r="O964" t="str">
        <f>IF(datos_limpios[[#This Row],[Seating Capacity ]]&gt;4,"SI","NO")</f>
        <v>NO</v>
      </c>
      <c r="P964">
        <v>57</v>
      </c>
    </row>
    <row r="965" spans="1:16" x14ac:dyDescent="0.3">
      <c r="A965" s="8" t="s">
        <v>132</v>
      </c>
      <c r="B965" s="8" t="s">
        <v>328</v>
      </c>
      <c r="C965" s="9">
        <v>964</v>
      </c>
      <c r="D965" s="3">
        <v>2048999</v>
      </c>
      <c r="E965" s="1">
        <f>datos_limpios[[#This Row],[Price INR   ]]*0.011</f>
        <v>22538.988999999998</v>
      </c>
      <c r="F965" s="13">
        <v>2020</v>
      </c>
      <c r="G965" s="2">
        <v>45350</v>
      </c>
      <c r="H965" s="8" t="s">
        <v>19</v>
      </c>
      <c r="I965" s="8" t="s">
        <v>40</v>
      </c>
      <c r="J965" s="8" t="s">
        <v>20</v>
      </c>
      <c r="K965" t="s">
        <v>158</v>
      </c>
      <c r="L965" t="s">
        <v>329</v>
      </c>
      <c r="M965" s="2">
        <f>VALUE(MID(L965,1,FIND("@",L965)-6))</f>
        <v>153</v>
      </c>
      <c r="N965">
        <v>7</v>
      </c>
      <c r="O965" t="str">
        <f>IF(datos_limpios[[#This Row],[Seating Capacity ]]&gt;4,"SI","NO")</f>
        <v>SI</v>
      </c>
      <c r="P965">
        <v>70</v>
      </c>
    </row>
    <row r="966" spans="1:16" x14ac:dyDescent="0.3">
      <c r="A966" s="8" t="s">
        <v>132</v>
      </c>
      <c r="B966" s="8" t="s">
        <v>753</v>
      </c>
      <c r="C966" s="9">
        <v>965</v>
      </c>
      <c r="D966" s="3">
        <v>2540000</v>
      </c>
      <c r="E966" s="1">
        <f>datos_limpios[[#This Row],[Price INR   ]]*0.011</f>
        <v>27940</v>
      </c>
      <c r="F966" s="13">
        <v>2022</v>
      </c>
      <c r="G966" s="2">
        <v>18000</v>
      </c>
      <c r="H966" s="8" t="s">
        <v>19</v>
      </c>
      <c r="I966" s="8" t="s">
        <v>40</v>
      </c>
      <c r="J966" s="8" t="s">
        <v>20</v>
      </c>
      <c r="K966" t="s">
        <v>441</v>
      </c>
      <c r="L966" t="s">
        <v>754</v>
      </c>
      <c r="M966" s="2">
        <f>VALUE(MID(L966,1,FIND("@",L966)-6))</f>
        <v>182</v>
      </c>
      <c r="N966">
        <v>7</v>
      </c>
      <c r="O966" t="str">
        <f>IF(datos_limpios[[#This Row],[Seating Capacity ]]&gt;4,"SI","NO")</f>
        <v>SI</v>
      </c>
      <c r="P966">
        <v>60</v>
      </c>
    </row>
    <row r="967" spans="1:16" x14ac:dyDescent="0.3">
      <c r="A967" s="8" t="s">
        <v>132</v>
      </c>
      <c r="B967" s="8" t="s">
        <v>978</v>
      </c>
      <c r="C967" s="9">
        <v>966</v>
      </c>
      <c r="D967" s="3">
        <v>2750000</v>
      </c>
      <c r="E967" s="1">
        <f>datos_limpios[[#This Row],[Price INR   ]]*0.011</f>
        <v>30250</v>
      </c>
      <c r="F967" s="13">
        <v>2022</v>
      </c>
      <c r="G967" s="2">
        <v>31000</v>
      </c>
      <c r="H967" s="8" t="s">
        <v>19</v>
      </c>
      <c r="I967" s="8" t="s">
        <v>40</v>
      </c>
      <c r="J967" s="8" t="s">
        <v>101</v>
      </c>
      <c r="K967" t="s">
        <v>441</v>
      </c>
      <c r="L967" t="s">
        <v>754</v>
      </c>
      <c r="M967" s="2">
        <f>VALUE(MID(L967,1,FIND("@",L967)-6))</f>
        <v>182</v>
      </c>
      <c r="N967">
        <v>7</v>
      </c>
      <c r="O967" t="str">
        <f>IF(datos_limpios[[#This Row],[Seating Capacity ]]&gt;4,"SI","NO")</f>
        <v>SI</v>
      </c>
      <c r="P967">
        <v>60</v>
      </c>
    </row>
    <row r="968" spans="1:16" x14ac:dyDescent="0.3">
      <c r="A968" s="8" t="s">
        <v>132</v>
      </c>
      <c r="B968" s="8" t="s">
        <v>1434</v>
      </c>
      <c r="C968" s="9">
        <v>967</v>
      </c>
      <c r="D968" s="3">
        <v>2765000</v>
      </c>
      <c r="E968" s="1">
        <f>datos_limpios[[#This Row],[Price INR   ]]*0.011</f>
        <v>30415</v>
      </c>
      <c r="F968" s="13">
        <v>2022</v>
      </c>
      <c r="G968" s="2">
        <v>75</v>
      </c>
      <c r="H968" s="8" t="s">
        <v>12</v>
      </c>
      <c r="I968" s="8" t="s">
        <v>40</v>
      </c>
      <c r="J968" s="8" t="s">
        <v>57</v>
      </c>
      <c r="K968" t="s">
        <v>201</v>
      </c>
      <c r="L968" t="s">
        <v>1435</v>
      </c>
      <c r="M968" s="2">
        <f>VALUE(MID(L968,1,FIND("@",L968)-6))</f>
        <v>197</v>
      </c>
      <c r="N968">
        <v>7</v>
      </c>
      <c r="O968" t="str">
        <f>IF(datos_limpios[[#This Row],[Seating Capacity ]]&gt;4,"SI","NO")</f>
        <v>SI</v>
      </c>
      <c r="P968">
        <v>60</v>
      </c>
    </row>
    <row r="969" spans="1:16" x14ac:dyDescent="0.3">
      <c r="A969" s="8" t="s">
        <v>132</v>
      </c>
      <c r="B969" s="8" t="s">
        <v>1179</v>
      </c>
      <c r="C969" s="9">
        <v>968</v>
      </c>
      <c r="D969" s="3">
        <v>2770000</v>
      </c>
      <c r="E969" s="1">
        <f>datos_limpios[[#This Row],[Price INR   ]]*0.011</f>
        <v>30470</v>
      </c>
      <c r="F969" s="13">
        <v>2019</v>
      </c>
      <c r="G969" s="2">
        <v>32000</v>
      </c>
      <c r="H969" s="8" t="s">
        <v>19</v>
      </c>
      <c r="I969" s="8" t="s">
        <v>40</v>
      </c>
      <c r="J969" s="8" t="s">
        <v>101</v>
      </c>
      <c r="K969" t="s">
        <v>1180</v>
      </c>
      <c r="L969" t="s">
        <v>1181</v>
      </c>
      <c r="M969" s="2">
        <f>VALUE(MID(L969,1,FIND("@",L969)-6))</f>
        <v>178</v>
      </c>
      <c r="N969">
        <v>7</v>
      </c>
      <c r="O969" t="str">
        <f>IF(datos_limpios[[#This Row],[Seating Capacity ]]&gt;4,"SI","NO")</f>
        <v>SI</v>
      </c>
      <c r="P969">
        <v>70</v>
      </c>
    </row>
    <row r="970" spans="1:16" x14ac:dyDescent="0.3">
      <c r="A970" s="8" t="s">
        <v>17</v>
      </c>
      <c r="B970" s="8" t="s">
        <v>392</v>
      </c>
      <c r="C970" s="9">
        <v>969</v>
      </c>
      <c r="D970" s="3">
        <v>120000</v>
      </c>
      <c r="E970" s="1">
        <f>datos_limpios[[#This Row],[Price INR   ]]*0.011</f>
        <v>1320</v>
      </c>
      <c r="F970" s="13">
        <v>2009</v>
      </c>
      <c r="G970" s="2">
        <v>80000</v>
      </c>
      <c r="H970" s="8" t="s">
        <v>19</v>
      </c>
      <c r="I970" s="8" t="s">
        <v>13</v>
      </c>
      <c r="J970" s="8" t="s">
        <v>77</v>
      </c>
      <c r="K970" t="s">
        <v>21</v>
      </c>
      <c r="L970" t="s">
        <v>1520</v>
      </c>
      <c r="M970" s="2">
        <f>VALUE(MID(L970,1,FIND("@",L970)-6))</f>
        <v>75</v>
      </c>
      <c r="N970">
        <v>5</v>
      </c>
      <c r="O970" t="str">
        <f>IF(datos_limpios[[#This Row],[Seating Capacity ]]&gt;4,"SI","NO")</f>
        <v>SI</v>
      </c>
      <c r="P970">
        <v>43</v>
      </c>
    </row>
    <row r="971" spans="1:16" x14ac:dyDescent="0.3">
      <c r="A971" s="8" t="s">
        <v>17</v>
      </c>
      <c r="B971" s="8" t="s">
        <v>910</v>
      </c>
      <c r="C971" s="9">
        <v>970</v>
      </c>
      <c r="D971" s="3">
        <v>135000</v>
      </c>
      <c r="E971" s="1">
        <f>datos_limpios[[#This Row],[Price INR   ]]*0.011</f>
        <v>1485</v>
      </c>
      <c r="F971" s="13">
        <v>2008</v>
      </c>
      <c r="G971" s="2">
        <v>72542</v>
      </c>
      <c r="H971" s="8" t="s">
        <v>12</v>
      </c>
      <c r="I971" s="8" t="s">
        <v>13</v>
      </c>
      <c r="J971" s="8" t="s">
        <v>911</v>
      </c>
      <c r="K971" t="s">
        <v>434</v>
      </c>
      <c r="L971" t="s">
        <v>1527</v>
      </c>
      <c r="M971" s="2">
        <f>VALUE(MID(L971,1,FIND("@",L971)-6))</f>
        <v>64</v>
      </c>
      <c r="N971">
        <v>5</v>
      </c>
      <c r="O971" t="str">
        <f>IF(datos_limpios[[#This Row],[Seating Capacity ]]&gt;4,"SI","NO")</f>
        <v>SI</v>
      </c>
      <c r="P971">
        <v>35</v>
      </c>
    </row>
    <row r="972" spans="1:16" x14ac:dyDescent="0.3">
      <c r="A972" s="8" t="s">
        <v>17</v>
      </c>
      <c r="B972" s="8" t="s">
        <v>466</v>
      </c>
      <c r="C972" s="9">
        <v>971</v>
      </c>
      <c r="D972" s="3">
        <v>140000</v>
      </c>
      <c r="E972" s="1">
        <f>datos_limpios[[#This Row],[Price INR   ]]*0.011</f>
        <v>1540</v>
      </c>
      <c r="F972" s="13">
        <v>2009</v>
      </c>
      <c r="G972" s="2">
        <v>65000</v>
      </c>
      <c r="H972" s="8" t="s">
        <v>12</v>
      </c>
      <c r="I972" s="8" t="s">
        <v>13</v>
      </c>
      <c r="J972" s="8" t="s">
        <v>77</v>
      </c>
      <c r="K972" t="s">
        <v>72</v>
      </c>
      <c r="L972" t="s">
        <v>1515</v>
      </c>
      <c r="M972" s="2">
        <f>VALUE(MID(L972,1,FIND("@",L972)-6))</f>
        <v>47</v>
      </c>
      <c r="N972">
        <v>5</v>
      </c>
      <c r="O972" t="str">
        <f>IF(datos_limpios[[#This Row],[Seating Capacity ]]&gt;4,"SI","NO")</f>
        <v>SI</v>
      </c>
      <c r="P972">
        <v>35</v>
      </c>
    </row>
    <row r="973" spans="1:16" x14ac:dyDescent="0.3">
      <c r="A973" s="8" t="s">
        <v>17</v>
      </c>
      <c r="B973" s="8" t="s">
        <v>433</v>
      </c>
      <c r="C973" s="9">
        <v>972</v>
      </c>
      <c r="D973" s="3">
        <v>145000</v>
      </c>
      <c r="E973" s="1">
        <f>datos_limpios[[#This Row],[Price INR   ]]*0.011</f>
        <v>1595</v>
      </c>
      <c r="F973" s="13">
        <v>2009</v>
      </c>
      <c r="G973" s="2">
        <v>39586</v>
      </c>
      <c r="H973" s="8" t="s">
        <v>12</v>
      </c>
      <c r="I973" s="8" t="s">
        <v>13</v>
      </c>
      <c r="J973" s="8" t="s">
        <v>30</v>
      </c>
      <c r="K973" t="s">
        <v>434</v>
      </c>
      <c r="L973" t="s">
        <v>1516</v>
      </c>
      <c r="M973" s="2">
        <f>VALUE(MID(L973,1,FIND("@",L973)-6))</f>
        <v>67</v>
      </c>
      <c r="N973">
        <v>5</v>
      </c>
      <c r="O973" t="str">
        <f>IF(datos_limpios[[#This Row],[Seating Capacity ]]&gt;4,"SI","NO")</f>
        <v>SI</v>
      </c>
      <c r="P973">
        <v>35</v>
      </c>
    </row>
    <row r="974" spans="1:16" x14ac:dyDescent="0.3">
      <c r="A974" s="8" t="s">
        <v>17</v>
      </c>
      <c r="B974" s="8" t="s">
        <v>466</v>
      </c>
      <c r="C974" s="9">
        <v>973</v>
      </c>
      <c r="D974" s="3">
        <v>150000</v>
      </c>
      <c r="E974" s="1">
        <f>datos_limpios[[#This Row],[Price INR   ]]*0.011</f>
        <v>1650</v>
      </c>
      <c r="F974" s="13">
        <v>2011</v>
      </c>
      <c r="G974" s="2">
        <v>65000</v>
      </c>
      <c r="H974" s="8" t="s">
        <v>12</v>
      </c>
      <c r="I974" s="8" t="s">
        <v>13</v>
      </c>
      <c r="J974" s="8" t="s">
        <v>20</v>
      </c>
      <c r="K974" t="s">
        <v>72</v>
      </c>
      <c r="L974" t="s">
        <v>1499</v>
      </c>
      <c r="M974" s="2">
        <f>VALUE(MID(L974,1,FIND("@",L974)-6))</f>
        <v>47</v>
      </c>
      <c r="N974">
        <v>5</v>
      </c>
      <c r="O974" t="str">
        <f>IF(datos_limpios[[#This Row],[Seating Capacity ]]&gt;4,"SI","NO")</f>
        <v>SI</v>
      </c>
      <c r="P974">
        <v>35</v>
      </c>
    </row>
    <row r="975" spans="1:16" x14ac:dyDescent="0.3">
      <c r="A975" s="8" t="s">
        <v>17</v>
      </c>
      <c r="B975" s="8" t="s">
        <v>88</v>
      </c>
      <c r="C975" s="9">
        <v>974</v>
      </c>
      <c r="D975" s="3">
        <v>155000</v>
      </c>
      <c r="E975" s="1">
        <f>datos_limpios[[#This Row],[Price INR   ]]*0.011</f>
        <v>1705</v>
      </c>
      <c r="F975" s="13">
        <v>2009</v>
      </c>
      <c r="G975" s="2">
        <v>56852</v>
      </c>
      <c r="H975" s="8" t="s">
        <v>89</v>
      </c>
      <c r="I975" s="8" t="s">
        <v>13</v>
      </c>
      <c r="J975" s="8" t="s">
        <v>131</v>
      </c>
      <c r="K975" t="s">
        <v>72</v>
      </c>
      <c r="L975" t="s">
        <v>1026</v>
      </c>
      <c r="M975" s="2">
        <f>VALUE(MID(L975,1,FIND("@",L975)-6))</f>
        <v>39</v>
      </c>
      <c r="N975">
        <v>5</v>
      </c>
      <c r="O975" t="str">
        <f>IF(datos_limpios[[#This Row],[Seating Capacity ]]&gt;4,"SI","NO")</f>
        <v>SI</v>
      </c>
      <c r="P975">
        <v>35</v>
      </c>
    </row>
    <row r="976" spans="1:16" x14ac:dyDescent="0.3">
      <c r="A976" s="8" t="s">
        <v>17</v>
      </c>
      <c r="B976" s="8" t="s">
        <v>88</v>
      </c>
      <c r="C976" s="9">
        <v>975</v>
      </c>
      <c r="D976" s="3">
        <v>155000</v>
      </c>
      <c r="E976" s="1">
        <f>datos_limpios[[#This Row],[Price INR   ]]*0.011</f>
        <v>1705</v>
      </c>
      <c r="F976" s="13">
        <v>2011</v>
      </c>
      <c r="G976" s="2">
        <v>90342</v>
      </c>
      <c r="H976" s="8" t="s">
        <v>89</v>
      </c>
      <c r="I976" s="8" t="s">
        <v>13</v>
      </c>
      <c r="J976" s="8" t="s">
        <v>20</v>
      </c>
      <c r="K976" t="s">
        <v>72</v>
      </c>
      <c r="L976" t="s">
        <v>1026</v>
      </c>
      <c r="M976" s="2">
        <f>VALUE(MID(L976,1,FIND("@",L976)-6))</f>
        <v>39</v>
      </c>
      <c r="N976">
        <v>5</v>
      </c>
      <c r="O976" t="str">
        <f>IF(datos_limpios[[#This Row],[Seating Capacity ]]&gt;4,"SI","NO")</f>
        <v>SI</v>
      </c>
      <c r="P976">
        <v>35</v>
      </c>
    </row>
    <row r="977" spans="1:16" x14ac:dyDescent="0.3">
      <c r="A977" s="8" t="s">
        <v>17</v>
      </c>
      <c r="B977" s="8" t="s">
        <v>433</v>
      </c>
      <c r="C977" s="9">
        <v>976</v>
      </c>
      <c r="D977" s="3">
        <v>160000</v>
      </c>
      <c r="E977" s="1">
        <f>datos_limpios[[#This Row],[Price INR   ]]*0.011</f>
        <v>1760</v>
      </c>
      <c r="F977" s="13">
        <v>2008</v>
      </c>
      <c r="G977" s="2">
        <v>50000</v>
      </c>
      <c r="H977" s="8" t="s">
        <v>12</v>
      </c>
      <c r="I977" s="8" t="s">
        <v>13</v>
      </c>
      <c r="J977" s="8" t="s">
        <v>77</v>
      </c>
      <c r="K977" t="s">
        <v>434</v>
      </c>
      <c r="L977" t="s">
        <v>1516</v>
      </c>
      <c r="M977" s="2">
        <f>VALUE(MID(L977,1,FIND("@",L977)-6))</f>
        <v>67</v>
      </c>
      <c r="N977">
        <v>5</v>
      </c>
      <c r="O977" t="str">
        <f>IF(datos_limpios[[#This Row],[Seating Capacity ]]&gt;4,"SI","NO")</f>
        <v>SI</v>
      </c>
      <c r="P977">
        <v>35</v>
      </c>
    </row>
    <row r="978" spans="1:16" x14ac:dyDescent="0.3">
      <c r="A978" s="8" t="s">
        <v>17</v>
      </c>
      <c r="B978" s="8" t="s">
        <v>674</v>
      </c>
      <c r="C978" s="9">
        <v>977</v>
      </c>
      <c r="D978" s="3">
        <v>160000</v>
      </c>
      <c r="E978" s="1">
        <f>datos_limpios[[#This Row],[Price INR   ]]*0.011</f>
        <v>1760</v>
      </c>
      <c r="F978" s="13">
        <v>2011</v>
      </c>
      <c r="G978" s="2">
        <v>72000</v>
      </c>
      <c r="H978" s="8" t="s">
        <v>12</v>
      </c>
      <c r="I978" s="8" t="s">
        <v>13</v>
      </c>
      <c r="J978" s="8" t="s">
        <v>77</v>
      </c>
      <c r="K978" t="s">
        <v>69</v>
      </c>
      <c r="L978" t="s">
        <v>70</v>
      </c>
      <c r="M978" s="2">
        <f>VALUE(MID(L978,1,FIND("@",L978)-6))</f>
        <v>67</v>
      </c>
      <c r="N978">
        <v>5</v>
      </c>
      <c r="O978" t="str">
        <f>IF(datos_limpios[[#This Row],[Seating Capacity ]]&gt;4,"SI","NO")</f>
        <v>SI</v>
      </c>
      <c r="P978">
        <v>35</v>
      </c>
    </row>
    <row r="979" spans="1:16" x14ac:dyDescent="0.3">
      <c r="A979" s="8" t="s">
        <v>17</v>
      </c>
      <c r="B979" s="8" t="s">
        <v>1372</v>
      </c>
      <c r="C979" s="9">
        <v>978</v>
      </c>
      <c r="D979" s="3">
        <v>160000</v>
      </c>
      <c r="E979" s="1">
        <f>datos_limpios[[#This Row],[Price INR   ]]*0.011</f>
        <v>1760</v>
      </c>
      <c r="F979" s="13">
        <v>2011</v>
      </c>
      <c r="G979" s="2">
        <v>89000</v>
      </c>
      <c r="H979" s="8" t="s">
        <v>19</v>
      </c>
      <c r="I979" s="8" t="s">
        <v>13</v>
      </c>
      <c r="J979" s="8" t="s">
        <v>25</v>
      </c>
      <c r="K979" t="s">
        <v>21</v>
      </c>
      <c r="L979" t="s">
        <v>1520</v>
      </c>
      <c r="M979" s="2">
        <f>VALUE(MID(L979,1,FIND("@",L979)-6))</f>
        <v>75</v>
      </c>
      <c r="N979">
        <v>5</v>
      </c>
      <c r="O979" t="str">
        <f>IF(datos_limpios[[#This Row],[Seating Capacity ]]&gt;4,"SI","NO")</f>
        <v>SI</v>
      </c>
      <c r="P979">
        <v>43</v>
      </c>
    </row>
    <row r="980" spans="1:16" x14ac:dyDescent="0.3">
      <c r="A980" s="8" t="s">
        <v>17</v>
      </c>
      <c r="B980" s="8" t="s">
        <v>466</v>
      </c>
      <c r="C980" s="9">
        <v>979</v>
      </c>
      <c r="D980" s="3">
        <v>169000</v>
      </c>
      <c r="E980" s="1">
        <f>datos_limpios[[#This Row],[Price INR   ]]*0.011</f>
        <v>1859</v>
      </c>
      <c r="F980" s="13">
        <v>2010</v>
      </c>
      <c r="G980" s="2">
        <v>18500</v>
      </c>
      <c r="H980" s="8" t="s">
        <v>12</v>
      </c>
      <c r="I980" s="8" t="s">
        <v>13</v>
      </c>
      <c r="J980" s="8" t="s">
        <v>131</v>
      </c>
      <c r="K980" t="s">
        <v>72</v>
      </c>
      <c r="L980" t="s">
        <v>1515</v>
      </c>
      <c r="M980" s="2">
        <f>VALUE(MID(L980,1,FIND("@",L980)-6))</f>
        <v>47</v>
      </c>
      <c r="N980">
        <v>5</v>
      </c>
      <c r="O980" t="str">
        <f>IF(datos_limpios[[#This Row],[Seating Capacity ]]&gt;4,"SI","NO")</f>
        <v>SI</v>
      </c>
      <c r="P980">
        <v>35</v>
      </c>
    </row>
    <row r="981" spans="1:16" x14ac:dyDescent="0.3">
      <c r="A981" s="8" t="s">
        <v>17</v>
      </c>
      <c r="B981" s="8" t="s">
        <v>18</v>
      </c>
      <c r="C981" s="9">
        <v>980</v>
      </c>
      <c r="D981" s="3">
        <v>175000</v>
      </c>
      <c r="E981" s="1">
        <f>datos_limpios[[#This Row],[Price INR   ]]*0.011</f>
        <v>1925</v>
      </c>
      <c r="F981" s="13">
        <v>2008</v>
      </c>
      <c r="G981" s="2">
        <v>65000</v>
      </c>
      <c r="H981" s="8" t="s">
        <v>19</v>
      </c>
      <c r="I981" s="8" t="s">
        <v>13</v>
      </c>
      <c r="J981" s="8" t="s">
        <v>77</v>
      </c>
      <c r="K981" t="s">
        <v>21</v>
      </c>
      <c r="L981" t="s">
        <v>22</v>
      </c>
      <c r="M981" s="2">
        <f>VALUE(MID(L981,1,FIND("@",L981)-6))</f>
        <v>74</v>
      </c>
      <c r="N981">
        <v>5</v>
      </c>
      <c r="O981" t="str">
        <f>IF(datos_limpios[[#This Row],[Seating Capacity ]]&gt;4,"SI","NO")</f>
        <v>SI</v>
      </c>
      <c r="P981">
        <v>42</v>
      </c>
    </row>
    <row r="982" spans="1:16" x14ac:dyDescent="0.3">
      <c r="A982" s="8" t="s">
        <v>17</v>
      </c>
      <c r="B982" s="8" t="s">
        <v>1421</v>
      </c>
      <c r="C982" s="9">
        <v>981</v>
      </c>
      <c r="D982" s="3">
        <v>180000</v>
      </c>
      <c r="E982" s="1">
        <f>datos_limpios[[#This Row],[Price INR   ]]*0.011</f>
        <v>1979.9999999999998</v>
      </c>
      <c r="F982" s="13">
        <v>2014</v>
      </c>
      <c r="G982" s="2">
        <v>48000</v>
      </c>
      <c r="H982" s="8" t="s">
        <v>12</v>
      </c>
      <c r="I982" s="8" t="s">
        <v>13</v>
      </c>
      <c r="J982" s="8" t="s">
        <v>77</v>
      </c>
      <c r="K982" t="s">
        <v>72</v>
      </c>
      <c r="L982" t="s">
        <v>73</v>
      </c>
      <c r="M982" s="2">
        <f>VALUE(MID(L982,1,FIND("@",L982)-6))</f>
        <v>47</v>
      </c>
      <c r="N982">
        <v>5</v>
      </c>
      <c r="O982" t="str">
        <f>IF(datos_limpios[[#This Row],[Seating Capacity ]]&gt;4,"SI","NO")</f>
        <v>SI</v>
      </c>
      <c r="P982">
        <v>35</v>
      </c>
    </row>
    <row r="983" spans="1:16" x14ac:dyDescent="0.3">
      <c r="A983" s="8" t="s">
        <v>17</v>
      </c>
      <c r="B983" s="8" t="s">
        <v>453</v>
      </c>
      <c r="C983" s="9">
        <v>982</v>
      </c>
      <c r="D983" s="3">
        <v>185000</v>
      </c>
      <c r="E983" s="1">
        <f>datos_limpios[[#This Row],[Price INR   ]]*0.011</f>
        <v>2034.9999999999998</v>
      </c>
      <c r="F983" s="13">
        <v>2012</v>
      </c>
      <c r="G983" s="2">
        <v>37000</v>
      </c>
      <c r="H983" s="8" t="s">
        <v>12</v>
      </c>
      <c r="I983" s="8" t="s">
        <v>13</v>
      </c>
      <c r="J983" s="8" t="s">
        <v>30</v>
      </c>
      <c r="K983" t="s">
        <v>69</v>
      </c>
      <c r="L983" t="s">
        <v>273</v>
      </c>
      <c r="M983" s="2">
        <f>VALUE(MID(L983,1,FIND("@",L983)-6))</f>
        <v>67</v>
      </c>
      <c r="N983">
        <v>5</v>
      </c>
      <c r="O983" t="str">
        <f>IF(datos_limpios[[#This Row],[Seating Capacity ]]&gt;4,"SI","NO")</f>
        <v>SI</v>
      </c>
      <c r="P983">
        <v>35</v>
      </c>
    </row>
    <row r="984" spans="1:16" x14ac:dyDescent="0.3">
      <c r="A984" s="8" t="s">
        <v>17</v>
      </c>
      <c r="B984" s="8" t="s">
        <v>1240</v>
      </c>
      <c r="C984" s="9">
        <v>983</v>
      </c>
      <c r="D984" s="3">
        <v>185000</v>
      </c>
      <c r="E984" s="1">
        <f>datos_limpios[[#This Row],[Price INR   ]]*0.011</f>
        <v>2034.9999999999998</v>
      </c>
      <c r="F984" s="13">
        <v>2010</v>
      </c>
      <c r="G984" s="2">
        <v>64000</v>
      </c>
      <c r="H984" s="8" t="s">
        <v>12</v>
      </c>
      <c r="I984" s="8" t="s">
        <v>13</v>
      </c>
      <c r="J984" s="8" t="s">
        <v>77</v>
      </c>
      <c r="K984" t="s">
        <v>1241</v>
      </c>
      <c r="L984" t="s">
        <v>1541</v>
      </c>
      <c r="M984" s="2">
        <f>VALUE(MID(L984,1,FIND("@",L984)-6))</f>
        <v>102</v>
      </c>
      <c r="N984">
        <v>5</v>
      </c>
      <c r="O984" t="str">
        <f>IF(datos_limpios[[#This Row],[Seating Capacity ]]&gt;4,"SI","NO")</f>
        <v>SI</v>
      </c>
      <c r="P984">
        <v>50</v>
      </c>
    </row>
    <row r="985" spans="1:16" x14ac:dyDescent="0.3">
      <c r="A985" s="8" t="s">
        <v>17</v>
      </c>
      <c r="B985" s="8" t="s">
        <v>466</v>
      </c>
      <c r="C985" s="9">
        <v>984</v>
      </c>
      <c r="D985" s="3">
        <v>189000</v>
      </c>
      <c r="E985" s="1">
        <f>datos_limpios[[#This Row],[Price INR   ]]*0.011</f>
        <v>2079</v>
      </c>
      <c r="F985" s="13">
        <v>2008</v>
      </c>
      <c r="G985" s="2">
        <v>19759</v>
      </c>
      <c r="H985" s="8" t="s">
        <v>12</v>
      </c>
      <c r="I985" s="8" t="s">
        <v>13</v>
      </c>
      <c r="J985" s="8" t="s">
        <v>57</v>
      </c>
      <c r="K985" t="s">
        <v>72</v>
      </c>
      <c r="L985" t="s">
        <v>1499</v>
      </c>
      <c r="M985" s="2">
        <f>VALUE(MID(L985,1,FIND("@",L985)-6))</f>
        <v>47</v>
      </c>
      <c r="N985">
        <v>5</v>
      </c>
      <c r="O985" t="str">
        <f>IF(datos_limpios[[#This Row],[Seating Capacity ]]&gt;4,"SI","NO")</f>
        <v>SI</v>
      </c>
      <c r="P985">
        <v>35</v>
      </c>
    </row>
    <row r="986" spans="1:16" x14ac:dyDescent="0.3">
      <c r="A986" s="8" t="s">
        <v>17</v>
      </c>
      <c r="B986" s="8" t="s">
        <v>1346</v>
      </c>
      <c r="C986" s="9">
        <v>985</v>
      </c>
      <c r="D986" s="3">
        <v>195000</v>
      </c>
      <c r="E986" s="1">
        <f>datos_limpios[[#This Row],[Price INR   ]]*0.011</f>
        <v>2145</v>
      </c>
      <c r="F986" s="13">
        <v>2009</v>
      </c>
      <c r="G986" s="2">
        <v>102000</v>
      </c>
      <c r="H986" s="8" t="s">
        <v>254</v>
      </c>
      <c r="I986" s="8" t="s">
        <v>13</v>
      </c>
      <c r="J986" s="8" t="s">
        <v>20</v>
      </c>
      <c r="K986" t="s">
        <v>434</v>
      </c>
      <c r="L986" t="s">
        <v>1503</v>
      </c>
      <c r="M986" s="2">
        <f>VALUE(MID(L986,1,FIND("@",L986)-6))</f>
        <v>58</v>
      </c>
      <c r="N986">
        <v>5</v>
      </c>
      <c r="O986" t="str">
        <f>IF(datos_limpios[[#This Row],[Seating Capacity ]]&gt;4,"SI","NO")</f>
        <v>SI</v>
      </c>
      <c r="P986">
        <v>35</v>
      </c>
    </row>
    <row r="987" spans="1:16" x14ac:dyDescent="0.3">
      <c r="A987" s="8" t="s">
        <v>17</v>
      </c>
      <c r="B987" s="8" t="s">
        <v>1372</v>
      </c>
      <c r="C987" s="9">
        <v>986</v>
      </c>
      <c r="D987" s="3">
        <v>195000</v>
      </c>
      <c r="E987" s="1">
        <f>datos_limpios[[#This Row],[Price INR   ]]*0.011</f>
        <v>2145</v>
      </c>
      <c r="F987" s="13">
        <v>2011</v>
      </c>
      <c r="G987" s="2">
        <v>75000</v>
      </c>
      <c r="H987" s="8" t="s">
        <v>19</v>
      </c>
      <c r="I987" s="8" t="s">
        <v>13</v>
      </c>
      <c r="J987" s="8" t="s">
        <v>20</v>
      </c>
      <c r="K987" t="s">
        <v>21</v>
      </c>
      <c r="L987" t="s">
        <v>1520</v>
      </c>
      <c r="M987" s="2">
        <f>VALUE(MID(L987,1,FIND("@",L987)-6))</f>
        <v>75</v>
      </c>
      <c r="N987">
        <v>5</v>
      </c>
      <c r="O987" t="str">
        <f>IF(datos_limpios[[#This Row],[Seating Capacity ]]&gt;4,"SI","NO")</f>
        <v>SI</v>
      </c>
      <c r="P987">
        <v>43</v>
      </c>
    </row>
    <row r="988" spans="1:16" x14ac:dyDescent="0.3">
      <c r="A988" s="8" t="s">
        <v>17</v>
      </c>
      <c r="B988" s="8" t="s">
        <v>453</v>
      </c>
      <c r="C988" s="9">
        <v>987</v>
      </c>
      <c r="D988" s="3">
        <v>200000</v>
      </c>
      <c r="E988" s="1">
        <f>datos_limpios[[#This Row],[Price INR   ]]*0.011</f>
        <v>2200</v>
      </c>
      <c r="F988" s="13">
        <v>2011</v>
      </c>
      <c r="G988" s="2">
        <v>51000</v>
      </c>
      <c r="H988" s="8" t="s">
        <v>12</v>
      </c>
      <c r="I988" s="8" t="s">
        <v>13</v>
      </c>
      <c r="J988" s="8" t="s">
        <v>62</v>
      </c>
      <c r="K988" t="s">
        <v>69</v>
      </c>
      <c r="L988" t="s">
        <v>273</v>
      </c>
      <c r="M988" s="2">
        <f>VALUE(MID(L988,1,FIND("@",L988)-6))</f>
        <v>67</v>
      </c>
      <c r="N988">
        <v>5</v>
      </c>
      <c r="O988" t="str">
        <f>IF(datos_limpios[[#This Row],[Seating Capacity ]]&gt;4,"SI","NO")</f>
        <v>SI</v>
      </c>
      <c r="P988">
        <v>35</v>
      </c>
    </row>
    <row r="989" spans="1:16" x14ac:dyDescent="0.3">
      <c r="A989" s="8" t="s">
        <v>17</v>
      </c>
      <c r="B989" s="8" t="s">
        <v>466</v>
      </c>
      <c r="C989" s="9">
        <v>988</v>
      </c>
      <c r="D989" s="3">
        <v>200000</v>
      </c>
      <c r="E989" s="1">
        <f>datos_limpios[[#This Row],[Price INR   ]]*0.011</f>
        <v>2200</v>
      </c>
      <c r="F989" s="13">
        <v>2008</v>
      </c>
      <c r="G989" s="2">
        <v>41000</v>
      </c>
      <c r="H989" s="8" t="s">
        <v>12</v>
      </c>
      <c r="I989" s="8" t="s">
        <v>13</v>
      </c>
      <c r="J989" s="8" t="s">
        <v>57</v>
      </c>
      <c r="K989" t="s">
        <v>72</v>
      </c>
      <c r="L989" t="s">
        <v>1499</v>
      </c>
      <c r="M989" s="2">
        <f>VALUE(MID(L989,1,FIND("@",L989)-6))</f>
        <v>47</v>
      </c>
      <c r="N989">
        <v>5</v>
      </c>
      <c r="O989" t="str">
        <f>IF(datos_limpios[[#This Row],[Seating Capacity ]]&gt;4,"SI","NO")</f>
        <v>SI</v>
      </c>
      <c r="P989">
        <v>35</v>
      </c>
    </row>
    <row r="990" spans="1:16" x14ac:dyDescent="0.3">
      <c r="A990" s="8" t="s">
        <v>17</v>
      </c>
      <c r="B990" s="8" t="s">
        <v>251</v>
      </c>
      <c r="C990" s="9">
        <v>989</v>
      </c>
      <c r="D990" s="3">
        <v>210000</v>
      </c>
      <c r="E990" s="1">
        <f>datos_limpios[[#This Row],[Price INR   ]]*0.011</f>
        <v>2310</v>
      </c>
      <c r="F990" s="13">
        <v>2014</v>
      </c>
      <c r="G990" s="2">
        <v>42505</v>
      </c>
      <c r="H990" s="8" t="s">
        <v>12</v>
      </c>
      <c r="I990" s="8" t="s">
        <v>13</v>
      </c>
      <c r="J990" s="8" t="s">
        <v>30</v>
      </c>
      <c r="K990" t="s">
        <v>72</v>
      </c>
      <c r="L990" t="s">
        <v>73</v>
      </c>
      <c r="M990" s="2">
        <f>VALUE(MID(L990,1,FIND("@",L990)-6))</f>
        <v>47</v>
      </c>
      <c r="N990">
        <v>5</v>
      </c>
      <c r="O990" t="str">
        <f>IF(datos_limpios[[#This Row],[Seating Capacity ]]&gt;4,"SI","NO")</f>
        <v>SI</v>
      </c>
      <c r="P990">
        <v>35</v>
      </c>
    </row>
    <row r="991" spans="1:16" x14ac:dyDescent="0.3">
      <c r="A991" s="8" t="s">
        <v>17</v>
      </c>
      <c r="B991" s="8" t="s">
        <v>433</v>
      </c>
      <c r="C991" s="9">
        <v>990</v>
      </c>
      <c r="D991" s="3">
        <v>218000</v>
      </c>
      <c r="E991" s="1">
        <f>datos_limpios[[#This Row],[Price INR   ]]*0.011</f>
        <v>2398</v>
      </c>
      <c r="F991" s="13">
        <v>2008</v>
      </c>
      <c r="G991" s="2">
        <v>51000</v>
      </c>
      <c r="H991" s="8" t="s">
        <v>12</v>
      </c>
      <c r="I991" s="8" t="s">
        <v>13</v>
      </c>
      <c r="J991" s="8" t="s">
        <v>131</v>
      </c>
      <c r="K991" t="s">
        <v>434</v>
      </c>
      <c r="L991" t="s">
        <v>1516</v>
      </c>
      <c r="M991" s="2">
        <f>VALUE(MID(L991,1,FIND("@",L991)-6))</f>
        <v>67</v>
      </c>
      <c r="N991">
        <v>5</v>
      </c>
      <c r="O991" t="str">
        <f>IF(datos_limpios[[#This Row],[Seating Capacity ]]&gt;4,"SI","NO")</f>
        <v>SI</v>
      </c>
      <c r="P991">
        <v>35</v>
      </c>
    </row>
    <row r="992" spans="1:16" x14ac:dyDescent="0.3">
      <c r="A992" s="8" t="s">
        <v>17</v>
      </c>
      <c r="B992" s="8" t="s">
        <v>1213</v>
      </c>
      <c r="C992" s="9">
        <v>991</v>
      </c>
      <c r="D992" s="3">
        <v>220000</v>
      </c>
      <c r="E992" s="1">
        <f>datos_limpios[[#This Row],[Price INR   ]]*0.011</f>
        <v>2420</v>
      </c>
      <c r="F992" s="13">
        <v>2010</v>
      </c>
      <c r="G992" s="2">
        <v>62000</v>
      </c>
      <c r="H992" s="8" t="s">
        <v>12</v>
      </c>
      <c r="I992" s="8" t="s">
        <v>13</v>
      </c>
      <c r="J992" s="8" t="s">
        <v>82</v>
      </c>
      <c r="K992" t="s">
        <v>69</v>
      </c>
      <c r="L992" t="s">
        <v>273</v>
      </c>
      <c r="M992" s="2">
        <f>VALUE(MID(L992,1,FIND("@",L992)-6))</f>
        <v>67</v>
      </c>
      <c r="N992">
        <v>5</v>
      </c>
      <c r="O992" t="str">
        <f>IF(datos_limpios[[#This Row],[Seating Capacity ]]&gt;4,"SI","NO")</f>
        <v>SI</v>
      </c>
      <c r="P992">
        <v>35</v>
      </c>
    </row>
    <row r="993" spans="1:16" x14ac:dyDescent="0.3">
      <c r="A993" s="8" t="s">
        <v>17</v>
      </c>
      <c r="B993" s="8" t="s">
        <v>1243</v>
      </c>
      <c r="C993" s="9">
        <v>992</v>
      </c>
      <c r="D993" s="3">
        <v>220000</v>
      </c>
      <c r="E993" s="1">
        <f>datos_limpios[[#This Row],[Price INR   ]]*0.011</f>
        <v>2420</v>
      </c>
      <c r="F993" s="13">
        <v>2012</v>
      </c>
      <c r="G993" s="2">
        <v>54000</v>
      </c>
      <c r="H993" s="8" t="s">
        <v>12</v>
      </c>
      <c r="I993" s="8" t="s">
        <v>13</v>
      </c>
      <c r="J993" s="8" t="s">
        <v>82</v>
      </c>
      <c r="K993" t="s">
        <v>69</v>
      </c>
      <c r="L993" t="s">
        <v>1498</v>
      </c>
      <c r="M993" s="2">
        <f>VALUE(MID(L993,1,FIND("@",L993)-6))</f>
        <v>68</v>
      </c>
      <c r="N993">
        <v>5</v>
      </c>
      <c r="O993" t="str">
        <f>IF(datos_limpios[[#This Row],[Seating Capacity ]]&gt;4,"SI","NO")</f>
        <v>SI</v>
      </c>
      <c r="P993">
        <v>35</v>
      </c>
    </row>
    <row r="994" spans="1:16" x14ac:dyDescent="0.3">
      <c r="A994" s="8" t="s">
        <v>17</v>
      </c>
      <c r="B994" s="8" t="s">
        <v>607</v>
      </c>
      <c r="C994" s="9">
        <v>993</v>
      </c>
      <c r="D994" s="3">
        <v>225000</v>
      </c>
      <c r="E994" s="1">
        <f>datos_limpios[[#This Row],[Price INR   ]]*0.011</f>
        <v>2475</v>
      </c>
      <c r="F994" s="13">
        <v>2012</v>
      </c>
      <c r="G994" s="2">
        <v>57000</v>
      </c>
      <c r="H994" s="8" t="s">
        <v>89</v>
      </c>
      <c r="I994" s="8" t="s">
        <v>13</v>
      </c>
      <c r="J994" s="8" t="s">
        <v>77</v>
      </c>
      <c r="K994" t="s">
        <v>69</v>
      </c>
      <c r="L994" t="s">
        <v>1530</v>
      </c>
      <c r="M994" s="2">
        <f>VALUE(MID(L994,1,FIND("@",L994)-6))</f>
        <v>59</v>
      </c>
      <c r="N994">
        <v>5</v>
      </c>
      <c r="O994" t="str">
        <f>IF(datos_limpios[[#This Row],[Seating Capacity ]]&gt;4,"SI","NO")</f>
        <v>SI</v>
      </c>
      <c r="P994">
        <v>35</v>
      </c>
    </row>
    <row r="995" spans="1:16" x14ac:dyDescent="0.3">
      <c r="A995" s="8" t="s">
        <v>17</v>
      </c>
      <c r="B995" s="8" t="s">
        <v>466</v>
      </c>
      <c r="C995" s="9">
        <v>994</v>
      </c>
      <c r="D995" s="3">
        <v>227000</v>
      </c>
      <c r="E995" s="1">
        <f>datos_limpios[[#This Row],[Price INR   ]]*0.011</f>
        <v>2497</v>
      </c>
      <c r="F995" s="13">
        <v>2011</v>
      </c>
      <c r="G995" s="2">
        <v>87513</v>
      </c>
      <c r="H995" s="8" t="s">
        <v>12</v>
      </c>
      <c r="I995" s="8" t="s">
        <v>13</v>
      </c>
      <c r="J995" s="8" t="s">
        <v>57</v>
      </c>
      <c r="K995" t="s">
        <v>72</v>
      </c>
      <c r="L995" t="s">
        <v>1499</v>
      </c>
      <c r="M995" s="2">
        <f>VALUE(MID(L995,1,FIND("@",L995)-6))</f>
        <v>47</v>
      </c>
      <c r="N995">
        <v>5</v>
      </c>
      <c r="O995" t="str">
        <f>IF(datos_limpios[[#This Row],[Seating Capacity ]]&gt;4,"SI","NO")</f>
        <v>SI</v>
      </c>
      <c r="P995">
        <v>35</v>
      </c>
    </row>
    <row r="996" spans="1:16" x14ac:dyDescent="0.3">
      <c r="A996" s="8" t="s">
        <v>17</v>
      </c>
      <c r="B996" s="8" t="s">
        <v>670</v>
      </c>
      <c r="C996" s="9">
        <v>995</v>
      </c>
      <c r="D996" s="3">
        <v>229999</v>
      </c>
      <c r="E996" s="1">
        <f>datos_limpios[[#This Row],[Price INR   ]]*0.011</f>
        <v>2529.989</v>
      </c>
      <c r="F996" s="13">
        <v>2012</v>
      </c>
      <c r="G996" s="2">
        <v>52000</v>
      </c>
      <c r="H996" s="8" t="s">
        <v>12</v>
      </c>
      <c r="I996" s="8" t="s">
        <v>13</v>
      </c>
      <c r="J996" s="8" t="s">
        <v>20</v>
      </c>
      <c r="K996" t="s">
        <v>69</v>
      </c>
      <c r="L996" t="s">
        <v>273</v>
      </c>
      <c r="M996" s="2">
        <f>VALUE(MID(L996,1,FIND("@",L996)-6))</f>
        <v>67</v>
      </c>
      <c r="N996">
        <v>5</v>
      </c>
      <c r="O996" t="str">
        <f>IF(datos_limpios[[#This Row],[Seating Capacity ]]&gt;4,"SI","NO")</f>
        <v>SI</v>
      </c>
      <c r="P996">
        <v>35</v>
      </c>
    </row>
    <row r="997" spans="1:16" x14ac:dyDescent="0.3">
      <c r="A997" s="8" t="s">
        <v>17</v>
      </c>
      <c r="B997" s="8" t="s">
        <v>709</v>
      </c>
      <c r="C997" s="9">
        <v>996</v>
      </c>
      <c r="D997" s="3">
        <v>229999</v>
      </c>
      <c r="E997" s="1">
        <f>datos_limpios[[#This Row],[Price INR   ]]*0.011</f>
        <v>2529.989</v>
      </c>
      <c r="F997" s="13">
        <v>2010</v>
      </c>
      <c r="G997" s="2">
        <v>72000</v>
      </c>
      <c r="H997" s="8" t="s">
        <v>12</v>
      </c>
      <c r="I997" s="8" t="s">
        <v>13</v>
      </c>
      <c r="J997" s="8" t="s">
        <v>77</v>
      </c>
      <c r="K997" t="s">
        <v>526</v>
      </c>
      <c r="L997" t="s">
        <v>1517</v>
      </c>
      <c r="M997" s="2">
        <f>VALUE(MID(L997,1,FIND("@",L997)-6))</f>
        <v>87</v>
      </c>
      <c r="N997">
        <v>5</v>
      </c>
      <c r="O997" t="str">
        <f>IF(datos_limpios[[#This Row],[Seating Capacity ]]&gt;4,"SI","NO")</f>
        <v>SI</v>
      </c>
      <c r="P997">
        <v>43</v>
      </c>
    </row>
    <row r="998" spans="1:16" x14ac:dyDescent="0.3">
      <c r="A998" s="8" t="s">
        <v>17</v>
      </c>
      <c r="B998" s="8" t="s">
        <v>453</v>
      </c>
      <c r="C998" s="9">
        <v>997</v>
      </c>
      <c r="D998" s="3">
        <v>234000</v>
      </c>
      <c r="E998" s="1">
        <f>datos_limpios[[#This Row],[Price INR   ]]*0.011</f>
        <v>2574</v>
      </c>
      <c r="F998" s="13">
        <v>2013</v>
      </c>
      <c r="G998" s="2">
        <v>72600</v>
      </c>
      <c r="H998" s="8" t="s">
        <v>12</v>
      </c>
      <c r="I998" s="8" t="s">
        <v>13</v>
      </c>
      <c r="J998" s="8" t="s">
        <v>20</v>
      </c>
      <c r="K998" t="s">
        <v>69</v>
      </c>
      <c r="L998" t="s">
        <v>273</v>
      </c>
      <c r="M998" s="2">
        <f>VALUE(MID(L998,1,FIND("@",L998)-6))</f>
        <v>67</v>
      </c>
      <c r="N998">
        <v>5</v>
      </c>
      <c r="O998" t="str">
        <f>IF(datos_limpios[[#This Row],[Seating Capacity ]]&gt;4,"SI","NO")</f>
        <v>SI</v>
      </c>
      <c r="P998">
        <v>35</v>
      </c>
    </row>
    <row r="999" spans="1:16" x14ac:dyDescent="0.3">
      <c r="A999" s="8" t="s">
        <v>17</v>
      </c>
      <c r="B999" s="8" t="s">
        <v>333</v>
      </c>
      <c r="C999" s="9">
        <v>998</v>
      </c>
      <c r="D999" s="3">
        <v>235000</v>
      </c>
      <c r="E999" s="1">
        <f>datos_limpios[[#This Row],[Price INR   ]]*0.011</f>
        <v>2585</v>
      </c>
      <c r="F999" s="13">
        <v>2012</v>
      </c>
      <c r="G999" s="2">
        <v>37000</v>
      </c>
      <c r="H999" s="8" t="s">
        <v>12</v>
      </c>
      <c r="I999" s="8" t="s">
        <v>13</v>
      </c>
      <c r="J999" s="8" t="s">
        <v>82</v>
      </c>
      <c r="K999" t="s">
        <v>69</v>
      </c>
      <c r="L999" t="s">
        <v>1498</v>
      </c>
      <c r="M999" s="2">
        <f>VALUE(MID(L999,1,FIND("@",L999)-6))</f>
        <v>68</v>
      </c>
      <c r="N999">
        <v>5</v>
      </c>
      <c r="O999" t="str">
        <f>IF(datos_limpios[[#This Row],[Seating Capacity ]]&gt;4,"SI","NO")</f>
        <v>SI</v>
      </c>
      <c r="P999">
        <v>35</v>
      </c>
    </row>
    <row r="1000" spans="1:16" x14ac:dyDescent="0.3">
      <c r="A1000" s="8" t="s">
        <v>17</v>
      </c>
      <c r="B1000" s="8" t="s">
        <v>936</v>
      </c>
      <c r="C1000" s="9">
        <v>999</v>
      </c>
      <c r="D1000" s="3">
        <v>235000</v>
      </c>
      <c r="E1000" s="1">
        <f>datos_limpios[[#This Row],[Price INR   ]]*0.011</f>
        <v>2585</v>
      </c>
      <c r="F1000" s="13">
        <v>2012</v>
      </c>
      <c r="G1000" s="2">
        <v>35000</v>
      </c>
      <c r="H1000" s="8" t="s">
        <v>254</v>
      </c>
      <c r="I1000" s="8" t="s">
        <v>13</v>
      </c>
      <c r="J1000" s="8" t="s">
        <v>288</v>
      </c>
      <c r="K1000" t="s">
        <v>69</v>
      </c>
      <c r="L1000" t="s">
        <v>937</v>
      </c>
      <c r="M1000" s="2">
        <f>VALUE(MID(L1000,1,FIND("@",L1000)-6))</f>
        <v>46</v>
      </c>
      <c r="N1000">
        <v>5</v>
      </c>
      <c r="O1000" t="str">
        <f>IF(datos_limpios[[#This Row],[Seating Capacity ]]&gt;4,"SI","NO")</f>
        <v>SI</v>
      </c>
      <c r="P1000">
        <v>28</v>
      </c>
    </row>
    <row r="1001" spans="1:16" x14ac:dyDescent="0.3">
      <c r="A1001" s="8" t="s">
        <v>17</v>
      </c>
      <c r="B1001" s="8" t="s">
        <v>251</v>
      </c>
      <c r="C1001" s="9">
        <v>1000</v>
      </c>
      <c r="D1001" s="3">
        <v>245000</v>
      </c>
      <c r="E1001" s="1">
        <f>datos_limpios[[#This Row],[Price INR   ]]*0.011</f>
        <v>2695</v>
      </c>
      <c r="F1001" s="13">
        <v>2016</v>
      </c>
      <c r="G1001" s="2">
        <v>55000</v>
      </c>
      <c r="H1001" s="8" t="s">
        <v>12</v>
      </c>
      <c r="I1001" s="8" t="s">
        <v>13</v>
      </c>
      <c r="J1001" s="8" t="s">
        <v>20</v>
      </c>
      <c r="K1001" t="s">
        <v>72</v>
      </c>
      <c r="L1001" t="s">
        <v>73</v>
      </c>
      <c r="M1001" s="2">
        <f>VALUE(MID(L1001,1,FIND("@",L1001)-6))</f>
        <v>47</v>
      </c>
      <c r="N1001">
        <v>5</v>
      </c>
      <c r="O1001" t="str">
        <f>IF(datos_limpios[[#This Row],[Seating Capacity ]]&gt;4,"SI","NO")</f>
        <v>SI</v>
      </c>
      <c r="P1001">
        <v>35</v>
      </c>
    </row>
    <row r="1002" spans="1:16" x14ac:dyDescent="0.3">
      <c r="A1002" s="8" t="s">
        <v>17</v>
      </c>
      <c r="B1002" s="8" t="s">
        <v>453</v>
      </c>
      <c r="C1002" s="9">
        <v>1001</v>
      </c>
      <c r="D1002" s="3">
        <v>245000</v>
      </c>
      <c r="E1002" s="1">
        <f>datos_limpios[[#This Row],[Price INR   ]]*0.011</f>
        <v>2695</v>
      </c>
      <c r="F1002" s="13">
        <v>2014</v>
      </c>
      <c r="G1002" s="2">
        <v>31100</v>
      </c>
      <c r="H1002" s="8" t="s">
        <v>12</v>
      </c>
      <c r="I1002" s="8" t="s">
        <v>13</v>
      </c>
      <c r="J1002" s="8" t="s">
        <v>25</v>
      </c>
      <c r="K1002" t="s">
        <v>69</v>
      </c>
      <c r="L1002" t="s">
        <v>273</v>
      </c>
      <c r="M1002" s="2">
        <f>VALUE(MID(L1002,1,FIND("@",L1002)-6))</f>
        <v>67</v>
      </c>
      <c r="N1002">
        <v>5</v>
      </c>
      <c r="O1002" t="str">
        <f>IF(datos_limpios[[#This Row],[Seating Capacity ]]&gt;4,"SI","NO")</f>
        <v>SI</v>
      </c>
      <c r="P1002">
        <v>35</v>
      </c>
    </row>
    <row r="1003" spans="1:16" x14ac:dyDescent="0.3">
      <c r="A1003" s="8" t="s">
        <v>17</v>
      </c>
      <c r="B1003" s="8" t="s">
        <v>709</v>
      </c>
      <c r="C1003" s="9">
        <v>1002</v>
      </c>
      <c r="D1003" s="3">
        <v>245000</v>
      </c>
      <c r="E1003" s="1">
        <f>datos_limpios[[#This Row],[Price INR   ]]*0.011</f>
        <v>2695</v>
      </c>
      <c r="F1003" s="13">
        <v>2009</v>
      </c>
      <c r="G1003" s="2">
        <v>114000</v>
      </c>
      <c r="H1003" s="8" t="s">
        <v>12</v>
      </c>
      <c r="I1003" s="8" t="s">
        <v>13</v>
      </c>
      <c r="J1003" s="8" t="s">
        <v>131</v>
      </c>
      <c r="K1003" t="s">
        <v>526</v>
      </c>
      <c r="L1003" t="s">
        <v>1517</v>
      </c>
      <c r="M1003" s="2">
        <f>VALUE(MID(L1003,1,FIND("@",L1003)-6))</f>
        <v>87</v>
      </c>
      <c r="N1003">
        <v>5</v>
      </c>
      <c r="O1003" t="str">
        <f>IF(datos_limpios[[#This Row],[Seating Capacity ]]&gt;4,"SI","NO")</f>
        <v>SI</v>
      </c>
      <c r="P1003">
        <v>43</v>
      </c>
    </row>
    <row r="1004" spans="1:16" x14ac:dyDescent="0.3">
      <c r="A1004" s="8" t="s">
        <v>17</v>
      </c>
      <c r="B1004" s="8" t="s">
        <v>1074</v>
      </c>
      <c r="C1004" s="9">
        <v>1003</v>
      </c>
      <c r="D1004" s="3">
        <v>245000</v>
      </c>
      <c r="E1004" s="1">
        <f>datos_limpios[[#This Row],[Price INR   ]]*0.011</f>
        <v>2695</v>
      </c>
      <c r="F1004" s="13">
        <v>2016</v>
      </c>
      <c r="G1004" s="2">
        <v>64000</v>
      </c>
      <c r="H1004" s="8" t="s">
        <v>12</v>
      </c>
      <c r="I1004" s="8" t="s">
        <v>13</v>
      </c>
      <c r="J1004" s="8" t="s">
        <v>77</v>
      </c>
      <c r="K1004" t="s">
        <v>69</v>
      </c>
      <c r="L1004" t="s">
        <v>70</v>
      </c>
      <c r="M1004" s="2">
        <f>VALUE(MID(L1004,1,FIND("@",L1004)-6))</f>
        <v>67</v>
      </c>
      <c r="N1004">
        <v>5</v>
      </c>
      <c r="O1004" t="str">
        <f>IF(datos_limpios[[#This Row],[Seating Capacity ]]&gt;4,"SI","NO")</f>
        <v>SI</v>
      </c>
      <c r="P1004">
        <v>35</v>
      </c>
    </row>
    <row r="1005" spans="1:16" x14ac:dyDescent="0.3">
      <c r="A1005" s="8" t="s">
        <v>17</v>
      </c>
      <c r="B1005" s="8" t="s">
        <v>589</v>
      </c>
      <c r="C1005" s="9">
        <v>1004</v>
      </c>
      <c r="D1005" s="3">
        <v>245000</v>
      </c>
      <c r="E1005" s="1">
        <f>datos_limpios[[#This Row],[Price INR   ]]*0.011</f>
        <v>2695</v>
      </c>
      <c r="F1005" s="13">
        <v>2015</v>
      </c>
      <c r="G1005" s="2">
        <v>72000</v>
      </c>
      <c r="H1005" s="8" t="s">
        <v>89</v>
      </c>
      <c r="I1005" s="8" t="s">
        <v>13</v>
      </c>
      <c r="J1005" s="8" t="s">
        <v>77</v>
      </c>
      <c r="K1005" t="s">
        <v>72</v>
      </c>
      <c r="L1005" t="s">
        <v>73</v>
      </c>
      <c r="M1005" s="2">
        <f>VALUE(MID(L1005,1,FIND("@",L1005)-6))</f>
        <v>47</v>
      </c>
      <c r="N1005">
        <v>5</v>
      </c>
      <c r="O1005" t="str">
        <f>IF(datos_limpios[[#This Row],[Seating Capacity ]]&gt;4,"SI","NO")</f>
        <v>SI</v>
      </c>
      <c r="P1005">
        <v>35</v>
      </c>
    </row>
    <row r="1006" spans="1:16" x14ac:dyDescent="0.3">
      <c r="A1006" s="8" t="s">
        <v>17</v>
      </c>
      <c r="B1006" s="8" t="s">
        <v>1440</v>
      </c>
      <c r="C1006" s="9">
        <v>1005</v>
      </c>
      <c r="D1006" s="3">
        <v>245000</v>
      </c>
      <c r="E1006" s="1">
        <f>datos_limpios[[#This Row],[Price INR   ]]*0.011</f>
        <v>2695</v>
      </c>
      <c r="F1006" s="13">
        <v>2014</v>
      </c>
      <c r="G1006" s="2">
        <v>79000</v>
      </c>
      <c r="H1006" s="8" t="s">
        <v>12</v>
      </c>
      <c r="I1006" s="8" t="s">
        <v>13</v>
      </c>
      <c r="J1006" s="8" t="s">
        <v>20</v>
      </c>
      <c r="K1006" t="s">
        <v>26</v>
      </c>
      <c r="L1006" t="s">
        <v>92</v>
      </c>
      <c r="M1006" s="2">
        <f>VALUE(MID(L1006,1,FIND("@",L1006)-6))</f>
        <v>85</v>
      </c>
      <c r="N1006">
        <v>5</v>
      </c>
      <c r="O1006" t="str">
        <f>IF(datos_limpios[[#This Row],[Seating Capacity ]]&gt;4,"SI","NO")</f>
        <v>SI</v>
      </c>
      <c r="P1006">
        <v>43</v>
      </c>
    </row>
    <row r="1007" spans="1:16" x14ac:dyDescent="0.3">
      <c r="A1007" s="8" t="s">
        <v>17</v>
      </c>
      <c r="B1007" s="8" t="s">
        <v>251</v>
      </c>
      <c r="C1007" s="9">
        <v>1007</v>
      </c>
      <c r="D1007" s="3">
        <v>250000</v>
      </c>
      <c r="E1007" s="1">
        <f>datos_limpios[[#This Row],[Price INR   ]]*0.011</f>
        <v>2750</v>
      </c>
      <c r="F1007" s="13">
        <v>2015</v>
      </c>
      <c r="G1007" s="2">
        <v>62000</v>
      </c>
      <c r="H1007" s="8" t="s">
        <v>12</v>
      </c>
      <c r="I1007" s="8" t="s">
        <v>13</v>
      </c>
      <c r="J1007" s="8" t="s">
        <v>25</v>
      </c>
      <c r="K1007" t="s">
        <v>72</v>
      </c>
      <c r="L1007" t="s">
        <v>73</v>
      </c>
      <c r="M1007" s="2">
        <f>VALUE(MID(L1007,1,FIND("@",L1007)-6))</f>
        <v>47</v>
      </c>
      <c r="N1007">
        <v>5</v>
      </c>
      <c r="O1007" t="str">
        <f>IF(datos_limpios[[#This Row],[Seating Capacity ]]&gt;4,"SI","NO")</f>
        <v>SI</v>
      </c>
      <c r="P1007">
        <v>35</v>
      </c>
    </row>
    <row r="1008" spans="1:16" x14ac:dyDescent="0.3">
      <c r="A1008" s="8" t="s">
        <v>17</v>
      </c>
      <c r="B1008" s="8" t="s">
        <v>453</v>
      </c>
      <c r="C1008" s="9">
        <v>1008</v>
      </c>
      <c r="D1008" s="3">
        <v>250000</v>
      </c>
      <c r="E1008" s="1">
        <f>datos_limpios[[#This Row],[Price INR   ]]*0.011</f>
        <v>2750</v>
      </c>
      <c r="F1008" s="13">
        <v>2014</v>
      </c>
      <c r="G1008" s="2">
        <v>114000</v>
      </c>
      <c r="H1008" s="8" t="s">
        <v>12</v>
      </c>
      <c r="I1008" s="8" t="s">
        <v>13</v>
      </c>
      <c r="J1008" s="8" t="s">
        <v>20</v>
      </c>
      <c r="K1008" t="s">
        <v>69</v>
      </c>
      <c r="L1008" t="s">
        <v>273</v>
      </c>
      <c r="M1008" s="2">
        <f>VALUE(MID(L1008,1,FIND("@",L1008)-6))</f>
        <v>67</v>
      </c>
      <c r="N1008">
        <v>5</v>
      </c>
      <c r="O1008" t="str">
        <f>IF(datos_limpios[[#This Row],[Seating Capacity ]]&gt;4,"SI","NO")</f>
        <v>SI</v>
      </c>
      <c r="P1008">
        <v>35</v>
      </c>
    </row>
    <row r="1009" spans="1:16" x14ac:dyDescent="0.3">
      <c r="A1009" s="8" t="s">
        <v>17</v>
      </c>
      <c r="B1009" s="8" t="s">
        <v>333</v>
      </c>
      <c r="C1009" s="9">
        <v>1009</v>
      </c>
      <c r="D1009" s="3">
        <v>250000</v>
      </c>
      <c r="E1009" s="1">
        <f>datos_limpios[[#This Row],[Price INR   ]]*0.011</f>
        <v>2750</v>
      </c>
      <c r="F1009" s="13">
        <v>2012</v>
      </c>
      <c r="G1009" s="2">
        <v>68000</v>
      </c>
      <c r="H1009" s="8" t="s">
        <v>12</v>
      </c>
      <c r="I1009" s="8" t="s">
        <v>13</v>
      </c>
      <c r="J1009" s="8" t="s">
        <v>20</v>
      </c>
      <c r="K1009" t="s">
        <v>69</v>
      </c>
      <c r="L1009" t="s">
        <v>1498</v>
      </c>
      <c r="M1009" s="2">
        <f>VALUE(MID(L1009,1,FIND("@",L1009)-6))</f>
        <v>68</v>
      </c>
      <c r="N1009">
        <v>5</v>
      </c>
      <c r="O1009" t="str">
        <f>IF(datos_limpios[[#This Row],[Seating Capacity ]]&gt;4,"SI","NO")</f>
        <v>SI</v>
      </c>
      <c r="P1009">
        <v>35</v>
      </c>
    </row>
    <row r="1010" spans="1:16" x14ac:dyDescent="0.3">
      <c r="A1010" s="8" t="s">
        <v>17</v>
      </c>
      <c r="B1010" s="8" t="s">
        <v>932</v>
      </c>
      <c r="C1010" s="9">
        <v>1010</v>
      </c>
      <c r="D1010" s="3">
        <v>260000</v>
      </c>
      <c r="E1010" s="1">
        <f>datos_limpios[[#This Row],[Price INR   ]]*0.011</f>
        <v>2860</v>
      </c>
      <c r="F1010" s="13">
        <v>2015</v>
      </c>
      <c r="G1010" s="2">
        <v>25862</v>
      </c>
      <c r="H1010" s="8" t="s">
        <v>12</v>
      </c>
      <c r="I1010" s="8" t="s">
        <v>13</v>
      </c>
      <c r="J1010" s="8" t="s">
        <v>57</v>
      </c>
      <c r="K1010" t="s">
        <v>69</v>
      </c>
      <c r="L1010" t="s">
        <v>70</v>
      </c>
      <c r="M1010" s="2">
        <f>VALUE(MID(L1010,1,FIND("@",L1010)-6))</f>
        <v>67</v>
      </c>
      <c r="N1010">
        <v>5</v>
      </c>
      <c r="O1010" t="str">
        <f>IF(datos_limpios[[#This Row],[Seating Capacity ]]&gt;4,"SI","NO")</f>
        <v>SI</v>
      </c>
      <c r="P1010">
        <v>35</v>
      </c>
    </row>
    <row r="1011" spans="1:16" x14ac:dyDescent="0.3">
      <c r="A1011" s="8" t="s">
        <v>17</v>
      </c>
      <c r="B1011" s="8" t="s">
        <v>709</v>
      </c>
      <c r="C1011" s="9">
        <v>1011</v>
      </c>
      <c r="D1011" s="3">
        <v>260000</v>
      </c>
      <c r="E1011" s="1">
        <f>datos_limpios[[#This Row],[Price INR   ]]*0.011</f>
        <v>2860</v>
      </c>
      <c r="F1011" s="13">
        <v>2009</v>
      </c>
      <c r="G1011" s="2">
        <v>77000</v>
      </c>
      <c r="H1011" s="8" t="s">
        <v>12</v>
      </c>
      <c r="I1011" s="8" t="s">
        <v>13</v>
      </c>
      <c r="J1011" s="8" t="s">
        <v>249</v>
      </c>
      <c r="K1011" t="s">
        <v>526</v>
      </c>
      <c r="L1011" s="7" t="s">
        <v>1489</v>
      </c>
      <c r="M1011" s="2">
        <f>VALUE(MID(L1011,1,FIND("@",L1011)-6))</f>
        <v>87</v>
      </c>
      <c r="N1011">
        <v>5</v>
      </c>
      <c r="O1011" t="str">
        <f>IF(datos_limpios[[#This Row],[Seating Capacity ]]&gt;4,"SI","NO")</f>
        <v>SI</v>
      </c>
      <c r="P1011">
        <v>43</v>
      </c>
    </row>
    <row r="1012" spans="1:16" x14ac:dyDescent="0.3">
      <c r="A1012" s="8" t="s">
        <v>17</v>
      </c>
      <c r="B1012" s="8" t="s">
        <v>453</v>
      </c>
      <c r="C1012" s="9">
        <v>1012</v>
      </c>
      <c r="D1012" s="3">
        <v>260000</v>
      </c>
      <c r="E1012" s="1">
        <f>datos_limpios[[#This Row],[Price INR   ]]*0.011</f>
        <v>2860</v>
      </c>
      <c r="F1012" s="13">
        <v>2012</v>
      </c>
      <c r="G1012" s="2">
        <v>54000</v>
      </c>
      <c r="H1012" s="8" t="s">
        <v>12</v>
      </c>
      <c r="I1012" s="8" t="s">
        <v>13</v>
      </c>
      <c r="J1012" s="8" t="s">
        <v>115</v>
      </c>
      <c r="K1012" t="s">
        <v>69</v>
      </c>
      <c r="L1012" t="s">
        <v>273</v>
      </c>
      <c r="M1012" s="2">
        <f>VALUE(MID(L1012,1,FIND("@",L1012)-6))</f>
        <v>67</v>
      </c>
      <c r="N1012">
        <v>5</v>
      </c>
      <c r="O1012" t="str">
        <f>IF(datos_limpios[[#This Row],[Seating Capacity ]]&gt;4,"SI","NO")</f>
        <v>SI</v>
      </c>
      <c r="P1012">
        <v>35</v>
      </c>
    </row>
    <row r="1013" spans="1:16" x14ac:dyDescent="0.3">
      <c r="A1013" s="8" t="s">
        <v>17</v>
      </c>
      <c r="B1013" s="8" t="s">
        <v>18</v>
      </c>
      <c r="C1013" s="9">
        <v>1013</v>
      </c>
      <c r="D1013" s="3">
        <v>260000</v>
      </c>
      <c r="E1013" s="1">
        <f>datos_limpios[[#This Row],[Price INR   ]]*0.011</f>
        <v>2860</v>
      </c>
      <c r="F1013" s="13">
        <v>2011</v>
      </c>
      <c r="G1013" s="2">
        <v>90000</v>
      </c>
      <c r="H1013" s="8" t="s">
        <v>19</v>
      </c>
      <c r="I1013" s="8" t="s">
        <v>13</v>
      </c>
      <c r="J1013" s="8" t="s">
        <v>20</v>
      </c>
      <c r="K1013" t="s">
        <v>21</v>
      </c>
      <c r="L1013" t="s">
        <v>22</v>
      </c>
      <c r="M1013" s="2">
        <f>VALUE(MID(L1013,1,FIND("@",L1013)-6))</f>
        <v>74</v>
      </c>
      <c r="N1013">
        <v>5</v>
      </c>
      <c r="O1013" t="str">
        <f>IF(datos_limpios[[#This Row],[Seating Capacity ]]&gt;4,"SI","NO")</f>
        <v>SI</v>
      </c>
      <c r="P1013">
        <v>42</v>
      </c>
    </row>
    <row r="1014" spans="1:16" x14ac:dyDescent="0.3">
      <c r="A1014" s="8" t="s">
        <v>17</v>
      </c>
      <c r="B1014" s="8" t="s">
        <v>607</v>
      </c>
      <c r="C1014" s="9">
        <v>1014</v>
      </c>
      <c r="D1014" s="3">
        <v>260000</v>
      </c>
      <c r="E1014" s="1">
        <f>datos_limpios[[#This Row],[Price INR   ]]*0.011</f>
        <v>2860</v>
      </c>
      <c r="F1014" s="13">
        <v>2013</v>
      </c>
      <c r="G1014" s="2">
        <v>89000</v>
      </c>
      <c r="H1014" s="8" t="s">
        <v>89</v>
      </c>
      <c r="I1014" s="8" t="s">
        <v>13</v>
      </c>
      <c r="J1014" s="8" t="s">
        <v>77</v>
      </c>
      <c r="K1014" t="s">
        <v>69</v>
      </c>
      <c r="L1014" t="s">
        <v>1530</v>
      </c>
      <c r="M1014" s="2">
        <f>VALUE(MID(L1014,1,FIND("@",L1014)-6))</f>
        <v>59</v>
      </c>
      <c r="N1014">
        <v>5</v>
      </c>
      <c r="O1014" t="str">
        <f>IF(datos_limpios[[#This Row],[Seating Capacity ]]&gt;4,"SI","NO")</f>
        <v>SI</v>
      </c>
      <c r="P1014">
        <v>35</v>
      </c>
    </row>
    <row r="1015" spans="1:16" x14ac:dyDescent="0.3">
      <c r="A1015" s="8" t="s">
        <v>17</v>
      </c>
      <c r="B1015" s="8" t="s">
        <v>251</v>
      </c>
      <c r="C1015" s="9">
        <v>1015</v>
      </c>
      <c r="D1015" s="3">
        <v>265000</v>
      </c>
      <c r="E1015" s="1">
        <f>datos_limpios[[#This Row],[Price INR   ]]*0.011</f>
        <v>2915</v>
      </c>
      <c r="F1015" s="13">
        <v>2017</v>
      </c>
      <c r="G1015" s="2">
        <v>52100</v>
      </c>
      <c r="H1015" s="8" t="s">
        <v>12</v>
      </c>
      <c r="I1015" s="8" t="s">
        <v>13</v>
      </c>
      <c r="J1015" s="8" t="s">
        <v>20</v>
      </c>
      <c r="K1015" t="s">
        <v>72</v>
      </c>
      <c r="L1015" t="s">
        <v>73</v>
      </c>
      <c r="M1015" s="2">
        <f>VALUE(MID(L1015,1,FIND("@",L1015)-6))</f>
        <v>47</v>
      </c>
      <c r="N1015">
        <v>5</v>
      </c>
      <c r="O1015" t="str">
        <f>IF(datos_limpios[[#This Row],[Seating Capacity ]]&gt;4,"SI","NO")</f>
        <v>SI</v>
      </c>
      <c r="P1015">
        <v>35</v>
      </c>
    </row>
    <row r="1016" spans="1:16" x14ac:dyDescent="0.3">
      <c r="A1016" s="8" t="s">
        <v>17</v>
      </c>
      <c r="B1016" s="8" t="s">
        <v>589</v>
      </c>
      <c r="C1016" s="9">
        <v>1016</v>
      </c>
      <c r="D1016" s="3">
        <v>265000</v>
      </c>
      <c r="E1016" s="1">
        <f>datos_limpios[[#This Row],[Price INR   ]]*0.011</f>
        <v>2915</v>
      </c>
      <c r="F1016" s="13">
        <v>2017</v>
      </c>
      <c r="G1016" s="2">
        <v>30000</v>
      </c>
      <c r="H1016" s="8" t="s">
        <v>89</v>
      </c>
      <c r="I1016" s="8" t="s">
        <v>13</v>
      </c>
      <c r="J1016" s="8" t="s">
        <v>20</v>
      </c>
      <c r="K1016" t="s">
        <v>72</v>
      </c>
      <c r="L1016" t="s">
        <v>73</v>
      </c>
      <c r="M1016" s="2">
        <f>VALUE(MID(L1016,1,FIND("@",L1016)-6))</f>
        <v>47</v>
      </c>
      <c r="N1016">
        <v>5</v>
      </c>
      <c r="O1016" t="str">
        <f>IF(datos_limpios[[#This Row],[Seating Capacity ]]&gt;4,"SI","NO")</f>
        <v>SI</v>
      </c>
      <c r="P1016">
        <v>35</v>
      </c>
    </row>
    <row r="1017" spans="1:16" x14ac:dyDescent="0.3">
      <c r="A1017" s="8" t="s">
        <v>17</v>
      </c>
      <c r="B1017" s="8" t="s">
        <v>1243</v>
      </c>
      <c r="C1017" s="9">
        <v>1017</v>
      </c>
      <c r="D1017" s="3">
        <v>265000</v>
      </c>
      <c r="E1017" s="1">
        <f>datos_limpios[[#This Row],[Price INR   ]]*0.011</f>
        <v>2915</v>
      </c>
      <c r="F1017" s="13">
        <v>2011</v>
      </c>
      <c r="G1017" s="2">
        <v>41000</v>
      </c>
      <c r="H1017" s="8" t="s">
        <v>12</v>
      </c>
      <c r="I1017" s="8" t="s">
        <v>13</v>
      </c>
      <c r="J1017" s="8" t="s">
        <v>82</v>
      </c>
      <c r="K1017" t="s">
        <v>69</v>
      </c>
      <c r="L1017" t="s">
        <v>1498</v>
      </c>
      <c r="M1017" s="2">
        <f>VALUE(MID(L1017,1,FIND("@",L1017)-6))</f>
        <v>68</v>
      </c>
      <c r="N1017">
        <v>5</v>
      </c>
      <c r="O1017" t="str">
        <f>IF(datos_limpios[[#This Row],[Seating Capacity ]]&gt;4,"SI","NO")</f>
        <v>SI</v>
      </c>
      <c r="P1017">
        <v>35</v>
      </c>
    </row>
    <row r="1018" spans="1:16" x14ac:dyDescent="0.3">
      <c r="A1018" s="8" t="s">
        <v>17</v>
      </c>
      <c r="B1018" s="8" t="s">
        <v>453</v>
      </c>
      <c r="C1018" s="9">
        <v>1018</v>
      </c>
      <c r="D1018" s="3">
        <v>270000</v>
      </c>
      <c r="E1018" s="1">
        <f>datos_limpios[[#This Row],[Price INR   ]]*0.011</f>
        <v>2970</v>
      </c>
      <c r="F1018" s="13">
        <v>2014</v>
      </c>
      <c r="G1018" s="2">
        <v>54420</v>
      </c>
      <c r="H1018" s="8" t="s">
        <v>12</v>
      </c>
      <c r="I1018" s="8" t="s">
        <v>13</v>
      </c>
      <c r="J1018" s="8" t="s">
        <v>77</v>
      </c>
      <c r="K1018" t="s">
        <v>69</v>
      </c>
      <c r="L1018" t="s">
        <v>273</v>
      </c>
      <c r="M1018" s="2">
        <f>VALUE(MID(L1018,1,FIND("@",L1018)-6))</f>
        <v>67</v>
      </c>
      <c r="N1018">
        <v>5</v>
      </c>
      <c r="O1018" t="str">
        <f>IF(datos_limpios[[#This Row],[Seating Capacity ]]&gt;4,"SI","NO")</f>
        <v>SI</v>
      </c>
      <c r="P1018">
        <v>35</v>
      </c>
    </row>
    <row r="1019" spans="1:16" x14ac:dyDescent="0.3">
      <c r="A1019" s="8" t="s">
        <v>17</v>
      </c>
      <c r="B1019" s="8" t="s">
        <v>453</v>
      </c>
      <c r="C1019" s="9">
        <v>1019</v>
      </c>
      <c r="D1019" s="3">
        <v>270000</v>
      </c>
      <c r="E1019" s="1">
        <f>datos_limpios[[#This Row],[Price INR   ]]*0.011</f>
        <v>2970</v>
      </c>
      <c r="F1019" s="13">
        <v>2014</v>
      </c>
      <c r="G1019" s="2">
        <v>82682</v>
      </c>
      <c r="H1019" s="8" t="s">
        <v>12</v>
      </c>
      <c r="I1019" s="8" t="s">
        <v>13</v>
      </c>
      <c r="J1019" s="8" t="s">
        <v>20</v>
      </c>
      <c r="K1019" t="s">
        <v>69</v>
      </c>
      <c r="L1019" t="s">
        <v>273</v>
      </c>
      <c r="M1019" s="2">
        <f>VALUE(MID(L1019,1,FIND("@",L1019)-6))</f>
        <v>67</v>
      </c>
      <c r="N1019">
        <v>5</v>
      </c>
      <c r="O1019" t="str">
        <f>IF(datos_limpios[[#This Row],[Seating Capacity ]]&gt;4,"SI","NO")</f>
        <v>SI</v>
      </c>
      <c r="P1019">
        <v>35</v>
      </c>
    </row>
    <row r="1020" spans="1:16" x14ac:dyDescent="0.3">
      <c r="A1020" s="8" t="s">
        <v>17</v>
      </c>
      <c r="B1020" s="8" t="s">
        <v>392</v>
      </c>
      <c r="C1020" s="9">
        <v>1020</v>
      </c>
      <c r="D1020" s="3">
        <v>275000</v>
      </c>
      <c r="E1020" s="1">
        <f>datos_limpios[[#This Row],[Price INR   ]]*0.011</f>
        <v>3025</v>
      </c>
      <c r="F1020" s="13">
        <v>2011</v>
      </c>
      <c r="G1020" s="2">
        <v>65000</v>
      </c>
      <c r="H1020" s="8" t="s">
        <v>19</v>
      </c>
      <c r="I1020" s="8" t="s">
        <v>13</v>
      </c>
      <c r="J1020" s="8" t="s">
        <v>77</v>
      </c>
      <c r="K1020" t="s">
        <v>21</v>
      </c>
      <c r="L1020" t="s">
        <v>1520</v>
      </c>
      <c r="M1020" s="2">
        <f>VALUE(MID(L1020,1,FIND("@",L1020)-6))</f>
        <v>75</v>
      </c>
      <c r="N1020">
        <v>5</v>
      </c>
      <c r="O1020" t="str">
        <f>IF(datos_limpios[[#This Row],[Seating Capacity ]]&gt;4,"SI","NO")</f>
        <v>SI</v>
      </c>
      <c r="P1020">
        <v>43</v>
      </c>
    </row>
    <row r="1021" spans="1:16" x14ac:dyDescent="0.3">
      <c r="A1021" s="8" t="s">
        <v>17</v>
      </c>
      <c r="B1021" s="8" t="s">
        <v>936</v>
      </c>
      <c r="C1021" s="9">
        <v>1021</v>
      </c>
      <c r="D1021" s="3">
        <v>275000</v>
      </c>
      <c r="E1021" s="1">
        <f>datos_limpios[[#This Row],[Price INR   ]]*0.011</f>
        <v>3025</v>
      </c>
      <c r="F1021" s="13">
        <v>2011</v>
      </c>
      <c r="G1021" s="2">
        <v>42000</v>
      </c>
      <c r="H1021" s="8" t="s">
        <v>254</v>
      </c>
      <c r="I1021" s="8" t="s">
        <v>13</v>
      </c>
      <c r="J1021" s="8" t="s">
        <v>20</v>
      </c>
      <c r="K1021" t="s">
        <v>69</v>
      </c>
      <c r="L1021" t="s">
        <v>937</v>
      </c>
      <c r="M1021" s="2">
        <f>VALUE(MID(L1021,1,FIND("@",L1021)-6))</f>
        <v>46</v>
      </c>
      <c r="N1021">
        <v>5</v>
      </c>
      <c r="O1021" t="str">
        <f>IF(datos_limpios[[#This Row],[Seating Capacity ]]&gt;4,"SI","NO")</f>
        <v>SI</v>
      </c>
      <c r="P1021">
        <v>28</v>
      </c>
    </row>
    <row r="1022" spans="1:16" x14ac:dyDescent="0.3">
      <c r="A1022" s="8" t="s">
        <v>17</v>
      </c>
      <c r="B1022" s="8" t="s">
        <v>392</v>
      </c>
      <c r="C1022" s="9">
        <v>1022</v>
      </c>
      <c r="D1022" s="3">
        <v>275000</v>
      </c>
      <c r="E1022" s="1">
        <f>datos_limpios[[#This Row],[Price INR   ]]*0.011</f>
        <v>3025</v>
      </c>
      <c r="F1022" s="13">
        <v>2013</v>
      </c>
      <c r="G1022" s="2">
        <v>85785</v>
      </c>
      <c r="H1022" s="8" t="s">
        <v>19</v>
      </c>
      <c r="I1022" s="8" t="s">
        <v>13</v>
      </c>
      <c r="J1022" s="8" t="s">
        <v>77</v>
      </c>
      <c r="K1022" t="s">
        <v>21</v>
      </c>
      <c r="L1022" t="s">
        <v>1282</v>
      </c>
      <c r="M1022" s="2">
        <f>VALUE(MID(L1022,1,FIND("@",L1022)-6))</f>
        <v>73</v>
      </c>
      <c r="N1022">
        <v>5</v>
      </c>
      <c r="O1022" t="str">
        <f>IF(datos_limpios[[#This Row],[Seating Capacity ]]&gt;4,"SI","NO")</f>
        <v>SI</v>
      </c>
      <c r="P1022">
        <v>43</v>
      </c>
    </row>
    <row r="1023" spans="1:16" x14ac:dyDescent="0.3">
      <c r="A1023" s="8" t="s">
        <v>17</v>
      </c>
      <c r="B1023" s="8" t="s">
        <v>18</v>
      </c>
      <c r="C1023" s="9">
        <v>1023</v>
      </c>
      <c r="D1023" s="3">
        <v>275000</v>
      </c>
      <c r="E1023" s="1">
        <f>datos_limpios[[#This Row],[Price INR   ]]*0.011</f>
        <v>3025</v>
      </c>
      <c r="F1023" s="13">
        <v>2011</v>
      </c>
      <c r="G1023" s="2">
        <v>65000</v>
      </c>
      <c r="H1023" s="8" t="s">
        <v>19</v>
      </c>
      <c r="I1023" s="8" t="s">
        <v>13</v>
      </c>
      <c r="J1023" s="8" t="s">
        <v>20</v>
      </c>
      <c r="K1023" t="s">
        <v>21</v>
      </c>
      <c r="L1023" t="s">
        <v>22</v>
      </c>
      <c r="M1023" s="2">
        <f>VALUE(MID(L1023,1,FIND("@",L1023)-6))</f>
        <v>74</v>
      </c>
      <c r="N1023">
        <v>5</v>
      </c>
      <c r="O1023" t="str">
        <f>IF(datos_limpios[[#This Row],[Seating Capacity ]]&gt;4,"SI","NO")</f>
        <v>SI</v>
      </c>
      <c r="P1023">
        <v>42</v>
      </c>
    </row>
    <row r="1024" spans="1:16" x14ac:dyDescent="0.3">
      <c r="A1024" s="8" t="s">
        <v>17</v>
      </c>
      <c r="B1024" s="8" t="s">
        <v>607</v>
      </c>
      <c r="C1024" s="9">
        <v>1024</v>
      </c>
      <c r="D1024" s="3">
        <v>280000</v>
      </c>
      <c r="E1024" s="1">
        <f>datos_limpios[[#This Row],[Price INR   ]]*0.011</f>
        <v>3080</v>
      </c>
      <c r="F1024" s="13">
        <v>2011</v>
      </c>
      <c r="G1024" s="2">
        <v>54000</v>
      </c>
      <c r="H1024" s="8" t="s">
        <v>89</v>
      </c>
      <c r="I1024" s="8" t="s">
        <v>13</v>
      </c>
      <c r="J1024" s="8" t="s">
        <v>77</v>
      </c>
      <c r="K1024" t="s">
        <v>69</v>
      </c>
      <c r="L1024" t="s">
        <v>1530</v>
      </c>
      <c r="M1024" s="2">
        <f>VALUE(MID(L1024,1,FIND("@",L1024)-6))</f>
        <v>59</v>
      </c>
      <c r="N1024">
        <v>5</v>
      </c>
      <c r="O1024" t="str">
        <f>IF(datos_limpios[[#This Row],[Seating Capacity ]]&gt;4,"SI","NO")</f>
        <v>SI</v>
      </c>
      <c r="P1024">
        <v>35</v>
      </c>
    </row>
    <row r="1025" spans="1:16" x14ac:dyDescent="0.3">
      <c r="A1025" s="8" t="s">
        <v>17</v>
      </c>
      <c r="B1025" s="8" t="s">
        <v>251</v>
      </c>
      <c r="C1025" s="9">
        <v>1025</v>
      </c>
      <c r="D1025" s="3">
        <v>280000</v>
      </c>
      <c r="E1025" s="1">
        <f>datos_limpios[[#This Row],[Price INR   ]]*0.011</f>
        <v>3080</v>
      </c>
      <c r="F1025" s="13">
        <v>2018</v>
      </c>
      <c r="G1025" s="2">
        <v>48000</v>
      </c>
      <c r="H1025" s="8" t="s">
        <v>12</v>
      </c>
      <c r="I1025" s="8" t="s">
        <v>13</v>
      </c>
      <c r="J1025" s="8" t="s">
        <v>77</v>
      </c>
      <c r="K1025" t="s">
        <v>72</v>
      </c>
      <c r="L1025" t="s">
        <v>73</v>
      </c>
      <c r="M1025" s="2">
        <f>VALUE(MID(L1025,1,FIND("@",L1025)-6))</f>
        <v>47</v>
      </c>
      <c r="N1025">
        <v>5</v>
      </c>
      <c r="O1025" t="str">
        <f>IF(datos_limpios[[#This Row],[Seating Capacity ]]&gt;4,"SI","NO")</f>
        <v>SI</v>
      </c>
      <c r="P1025">
        <v>35</v>
      </c>
    </row>
    <row r="1026" spans="1:16" x14ac:dyDescent="0.3">
      <c r="A1026" s="8" t="s">
        <v>17</v>
      </c>
      <c r="B1026" s="8" t="s">
        <v>1379</v>
      </c>
      <c r="C1026" s="9">
        <v>1026</v>
      </c>
      <c r="D1026" s="3">
        <v>280000</v>
      </c>
      <c r="E1026" s="1">
        <f>datos_limpios[[#This Row],[Price INR   ]]*0.011</f>
        <v>3080</v>
      </c>
      <c r="F1026" s="13">
        <v>2011</v>
      </c>
      <c r="G1026" s="2">
        <v>69276</v>
      </c>
      <c r="H1026" s="8" t="s">
        <v>12</v>
      </c>
      <c r="I1026" s="8" t="s">
        <v>13</v>
      </c>
      <c r="J1026" s="8" t="s">
        <v>131</v>
      </c>
      <c r="K1026" t="s">
        <v>69</v>
      </c>
      <c r="L1026" t="s">
        <v>273</v>
      </c>
      <c r="M1026" s="2">
        <f>VALUE(MID(L1026,1,FIND("@",L1026)-6))</f>
        <v>67</v>
      </c>
      <c r="N1026">
        <v>5</v>
      </c>
      <c r="O1026" t="str">
        <f>IF(datos_limpios[[#This Row],[Seating Capacity ]]&gt;4,"SI","NO")</f>
        <v>SI</v>
      </c>
      <c r="P1026">
        <v>35</v>
      </c>
    </row>
    <row r="1027" spans="1:16" x14ac:dyDescent="0.3">
      <c r="A1027" s="8" t="s">
        <v>17</v>
      </c>
      <c r="B1027" s="8" t="s">
        <v>607</v>
      </c>
      <c r="C1027" s="9">
        <v>1027</v>
      </c>
      <c r="D1027" s="3">
        <v>285000</v>
      </c>
      <c r="E1027" s="1">
        <f>datos_limpios[[#This Row],[Price INR   ]]*0.011</f>
        <v>3135</v>
      </c>
      <c r="F1027" s="13">
        <v>2011</v>
      </c>
      <c r="G1027" s="2">
        <v>52000</v>
      </c>
      <c r="H1027" s="8" t="s">
        <v>89</v>
      </c>
      <c r="I1027" s="8" t="s">
        <v>13</v>
      </c>
      <c r="J1027" s="8" t="s">
        <v>82</v>
      </c>
      <c r="K1027" t="s">
        <v>69</v>
      </c>
      <c r="L1027" t="s">
        <v>1512</v>
      </c>
      <c r="M1027" s="2">
        <f>VALUE(MID(L1027,1,FIND("@",L1027)-6))</f>
        <v>59</v>
      </c>
      <c r="N1027">
        <v>5</v>
      </c>
      <c r="O1027" t="str">
        <f>IF(datos_limpios[[#This Row],[Seating Capacity ]]&gt;4,"SI","NO")</f>
        <v>SI</v>
      </c>
      <c r="P1027">
        <v>35</v>
      </c>
    </row>
    <row r="1028" spans="1:16" x14ac:dyDescent="0.3">
      <c r="A1028" s="8" t="s">
        <v>17</v>
      </c>
      <c r="B1028" s="8" t="s">
        <v>251</v>
      </c>
      <c r="C1028" s="9">
        <v>1028</v>
      </c>
      <c r="D1028" s="3">
        <v>285000</v>
      </c>
      <c r="E1028" s="1">
        <f>datos_limpios[[#This Row],[Price INR   ]]*0.011</f>
        <v>3135</v>
      </c>
      <c r="F1028" s="13">
        <v>2017</v>
      </c>
      <c r="G1028" s="2">
        <v>45600</v>
      </c>
      <c r="H1028" s="8" t="s">
        <v>12</v>
      </c>
      <c r="I1028" s="8" t="s">
        <v>13</v>
      </c>
      <c r="J1028" s="8" t="s">
        <v>20</v>
      </c>
      <c r="K1028" t="s">
        <v>72</v>
      </c>
      <c r="L1028" t="s">
        <v>73</v>
      </c>
      <c r="M1028" s="2">
        <f>VALUE(MID(L1028,1,FIND("@",L1028)-6))</f>
        <v>47</v>
      </c>
      <c r="N1028">
        <v>5</v>
      </c>
      <c r="O1028" t="str">
        <f>IF(datos_limpios[[#This Row],[Seating Capacity ]]&gt;4,"SI","NO")</f>
        <v>SI</v>
      </c>
      <c r="P1028">
        <v>35</v>
      </c>
    </row>
    <row r="1029" spans="1:16" x14ac:dyDescent="0.3">
      <c r="A1029" s="8" t="s">
        <v>17</v>
      </c>
      <c r="B1029" s="8" t="s">
        <v>1243</v>
      </c>
      <c r="C1029" s="9">
        <v>1029</v>
      </c>
      <c r="D1029" s="3">
        <v>285000</v>
      </c>
      <c r="E1029" s="1">
        <f>datos_limpios[[#This Row],[Price INR   ]]*0.011</f>
        <v>3135</v>
      </c>
      <c r="F1029" s="13">
        <v>2013</v>
      </c>
      <c r="G1029" s="2">
        <v>25200</v>
      </c>
      <c r="H1029" s="8" t="s">
        <v>12</v>
      </c>
      <c r="I1029" s="8" t="s">
        <v>13</v>
      </c>
      <c r="J1029" s="8" t="s">
        <v>20</v>
      </c>
      <c r="K1029" t="s">
        <v>69</v>
      </c>
      <c r="L1029" t="s">
        <v>1498</v>
      </c>
      <c r="M1029" s="2">
        <f>VALUE(MID(L1029,1,FIND("@",L1029)-6))</f>
        <v>68</v>
      </c>
      <c r="N1029">
        <v>5</v>
      </c>
      <c r="O1029" t="str">
        <f>IF(datos_limpios[[#This Row],[Seating Capacity ]]&gt;4,"SI","NO")</f>
        <v>SI</v>
      </c>
      <c r="P1029">
        <v>35</v>
      </c>
    </row>
    <row r="1030" spans="1:16" x14ac:dyDescent="0.3">
      <c r="A1030" s="8" t="s">
        <v>17</v>
      </c>
      <c r="B1030" s="8" t="s">
        <v>420</v>
      </c>
      <c r="C1030" s="9">
        <v>1030</v>
      </c>
      <c r="D1030" s="3">
        <v>285000</v>
      </c>
      <c r="E1030" s="1">
        <f>datos_limpios[[#This Row],[Price INR   ]]*0.011</f>
        <v>3135</v>
      </c>
      <c r="F1030" s="13">
        <v>2016</v>
      </c>
      <c r="G1030" s="2">
        <v>22346</v>
      </c>
      <c r="H1030" s="8" t="s">
        <v>12</v>
      </c>
      <c r="I1030" s="8" t="s">
        <v>13</v>
      </c>
      <c r="J1030" s="8" t="s">
        <v>20</v>
      </c>
      <c r="K1030" t="s">
        <v>72</v>
      </c>
      <c r="L1030" t="s">
        <v>73</v>
      </c>
      <c r="M1030" s="2">
        <f>VALUE(MID(L1030,1,FIND("@",L1030)-6))</f>
        <v>47</v>
      </c>
      <c r="N1030">
        <v>5</v>
      </c>
      <c r="O1030" t="str">
        <f>IF(datos_limpios[[#This Row],[Seating Capacity ]]&gt;4,"SI","NO")</f>
        <v>SI</v>
      </c>
      <c r="P1030">
        <v>35</v>
      </c>
    </row>
    <row r="1031" spans="1:16" x14ac:dyDescent="0.3">
      <c r="A1031" s="8" t="s">
        <v>17</v>
      </c>
      <c r="B1031" s="8" t="s">
        <v>251</v>
      </c>
      <c r="C1031" s="9">
        <v>1031</v>
      </c>
      <c r="D1031" s="3">
        <v>285000</v>
      </c>
      <c r="E1031" s="1">
        <f>datos_limpios[[#This Row],[Price INR   ]]*0.011</f>
        <v>3135</v>
      </c>
      <c r="F1031" s="13">
        <v>2016</v>
      </c>
      <c r="G1031" s="2">
        <v>17000</v>
      </c>
      <c r="H1031" s="8" t="s">
        <v>12</v>
      </c>
      <c r="I1031" s="8" t="s">
        <v>13</v>
      </c>
      <c r="J1031" s="8" t="s">
        <v>20</v>
      </c>
      <c r="K1031" t="s">
        <v>72</v>
      </c>
      <c r="L1031" t="s">
        <v>73</v>
      </c>
      <c r="M1031" s="2">
        <f>VALUE(MID(L1031,1,FIND("@",L1031)-6))</f>
        <v>47</v>
      </c>
      <c r="N1031">
        <v>5</v>
      </c>
      <c r="O1031" t="str">
        <f>IF(datos_limpios[[#This Row],[Seating Capacity ]]&gt;4,"SI","NO")</f>
        <v>SI</v>
      </c>
      <c r="P1031">
        <v>35</v>
      </c>
    </row>
    <row r="1032" spans="1:16" x14ac:dyDescent="0.3">
      <c r="A1032" s="8" t="s">
        <v>17</v>
      </c>
      <c r="B1032" s="8" t="s">
        <v>251</v>
      </c>
      <c r="C1032" s="9">
        <v>1032</v>
      </c>
      <c r="D1032" s="3">
        <v>286000</v>
      </c>
      <c r="E1032" s="1">
        <f>datos_limpios[[#This Row],[Price INR   ]]*0.011</f>
        <v>3146</v>
      </c>
      <c r="F1032" s="13">
        <v>2017</v>
      </c>
      <c r="G1032" s="2">
        <v>40564</v>
      </c>
      <c r="H1032" s="8" t="s">
        <v>12</v>
      </c>
      <c r="I1032" s="8" t="s">
        <v>13</v>
      </c>
      <c r="J1032" s="8" t="s">
        <v>77</v>
      </c>
      <c r="K1032" t="s">
        <v>72</v>
      </c>
      <c r="L1032" t="s">
        <v>73</v>
      </c>
      <c r="M1032" s="2">
        <f>VALUE(MID(L1032,1,FIND("@",L1032)-6))</f>
        <v>47</v>
      </c>
      <c r="N1032">
        <v>5</v>
      </c>
      <c r="O1032" t="str">
        <f>IF(datos_limpios[[#This Row],[Seating Capacity ]]&gt;4,"SI","NO")</f>
        <v>SI</v>
      </c>
      <c r="P1032">
        <v>35</v>
      </c>
    </row>
    <row r="1033" spans="1:16" x14ac:dyDescent="0.3">
      <c r="A1033" s="8" t="s">
        <v>17</v>
      </c>
      <c r="B1033" s="8" t="s">
        <v>589</v>
      </c>
      <c r="C1033" s="9">
        <v>1033</v>
      </c>
      <c r="D1033" s="3">
        <v>289000</v>
      </c>
      <c r="E1033" s="1">
        <f>datos_limpios[[#This Row],[Price INR   ]]*0.011</f>
        <v>3179</v>
      </c>
      <c r="F1033" s="13">
        <v>2015</v>
      </c>
      <c r="G1033" s="2">
        <v>78000</v>
      </c>
      <c r="H1033" s="8" t="s">
        <v>89</v>
      </c>
      <c r="I1033" s="8" t="s">
        <v>13</v>
      </c>
      <c r="J1033" s="8" t="s">
        <v>20</v>
      </c>
      <c r="K1033" t="s">
        <v>72</v>
      </c>
      <c r="L1033" t="s">
        <v>73</v>
      </c>
      <c r="M1033" s="2">
        <f>VALUE(MID(L1033,1,FIND("@",L1033)-6))</f>
        <v>47</v>
      </c>
      <c r="N1033">
        <v>5</v>
      </c>
      <c r="O1033" t="str">
        <f>IF(datos_limpios[[#This Row],[Seating Capacity ]]&gt;4,"SI","NO")</f>
        <v>SI</v>
      </c>
      <c r="P1033">
        <v>35</v>
      </c>
    </row>
    <row r="1034" spans="1:16" x14ac:dyDescent="0.3">
      <c r="A1034" s="8" t="s">
        <v>17</v>
      </c>
      <c r="B1034" s="8" t="s">
        <v>1243</v>
      </c>
      <c r="C1034" s="9">
        <v>1034</v>
      </c>
      <c r="D1034" s="3">
        <v>290000</v>
      </c>
      <c r="E1034" s="1">
        <f>datos_limpios[[#This Row],[Price INR   ]]*0.011</f>
        <v>3190</v>
      </c>
      <c r="F1034" s="13">
        <v>2012</v>
      </c>
      <c r="G1034" s="2">
        <v>12300</v>
      </c>
      <c r="H1034" s="8" t="s">
        <v>12</v>
      </c>
      <c r="I1034" s="8" t="s">
        <v>13</v>
      </c>
      <c r="J1034" s="8" t="s">
        <v>57</v>
      </c>
      <c r="K1034" t="s">
        <v>69</v>
      </c>
      <c r="L1034" t="s">
        <v>1498</v>
      </c>
      <c r="M1034" s="2">
        <f>VALUE(MID(L1034,1,FIND("@",L1034)-6))</f>
        <v>68</v>
      </c>
      <c r="N1034">
        <v>5</v>
      </c>
      <c r="O1034" t="str">
        <f>IF(datos_limpios[[#This Row],[Seating Capacity ]]&gt;4,"SI","NO")</f>
        <v>SI</v>
      </c>
      <c r="P1034">
        <v>35</v>
      </c>
    </row>
    <row r="1035" spans="1:16" x14ac:dyDescent="0.3">
      <c r="A1035" s="8" t="s">
        <v>17</v>
      </c>
      <c r="B1035" s="8" t="s">
        <v>346</v>
      </c>
      <c r="C1035" s="9">
        <v>1035</v>
      </c>
      <c r="D1035" s="3">
        <v>295000</v>
      </c>
      <c r="E1035" s="1">
        <f>datos_limpios[[#This Row],[Price INR   ]]*0.011</f>
        <v>3245</v>
      </c>
      <c r="F1035" s="13">
        <v>2011</v>
      </c>
      <c r="G1035" s="2">
        <v>87230</v>
      </c>
      <c r="H1035" s="8" t="s">
        <v>19</v>
      </c>
      <c r="I1035" s="8" t="s">
        <v>13</v>
      </c>
      <c r="J1035" s="8" t="s">
        <v>77</v>
      </c>
      <c r="K1035" t="s">
        <v>21</v>
      </c>
      <c r="L1035" t="s">
        <v>1520</v>
      </c>
      <c r="M1035" s="2">
        <f>VALUE(MID(L1035,1,FIND("@",L1035)-6))</f>
        <v>75</v>
      </c>
      <c r="N1035">
        <v>5</v>
      </c>
      <c r="O1035" t="str">
        <f>IF(datos_limpios[[#This Row],[Seating Capacity ]]&gt;4,"SI","NO")</f>
        <v>SI</v>
      </c>
      <c r="P1035">
        <v>43</v>
      </c>
    </row>
    <row r="1036" spans="1:16" x14ac:dyDescent="0.3">
      <c r="A1036" s="8" t="s">
        <v>17</v>
      </c>
      <c r="B1036" s="8" t="s">
        <v>525</v>
      </c>
      <c r="C1036" s="9">
        <v>1036</v>
      </c>
      <c r="D1036" s="3">
        <v>295000</v>
      </c>
      <c r="E1036" s="1">
        <f>datos_limpios[[#This Row],[Price INR   ]]*0.011</f>
        <v>3245</v>
      </c>
      <c r="F1036" s="13">
        <v>2010</v>
      </c>
      <c r="G1036" s="2">
        <v>33000</v>
      </c>
      <c r="H1036" s="8" t="s">
        <v>12</v>
      </c>
      <c r="I1036" s="8" t="s">
        <v>13</v>
      </c>
      <c r="J1036" s="8" t="s">
        <v>14</v>
      </c>
      <c r="K1036" t="s">
        <v>526</v>
      </c>
      <c r="L1036" t="s">
        <v>1517</v>
      </c>
      <c r="M1036" s="2">
        <f>VALUE(MID(L1036,1,FIND("@",L1036)-6))</f>
        <v>87</v>
      </c>
      <c r="N1036">
        <v>5</v>
      </c>
      <c r="O1036" t="str">
        <f>IF(datos_limpios[[#This Row],[Seating Capacity ]]&gt;4,"SI","NO")</f>
        <v>SI</v>
      </c>
      <c r="P1036">
        <v>43</v>
      </c>
    </row>
    <row r="1037" spans="1:16" x14ac:dyDescent="0.3">
      <c r="A1037" s="8" t="s">
        <v>17</v>
      </c>
      <c r="B1037" s="8" t="s">
        <v>498</v>
      </c>
      <c r="C1037" s="9">
        <v>1037</v>
      </c>
      <c r="D1037" s="3">
        <v>295000</v>
      </c>
      <c r="E1037" s="1">
        <f>datos_limpios[[#This Row],[Price INR   ]]*0.011</f>
        <v>3245</v>
      </c>
      <c r="F1037" s="13">
        <v>2009</v>
      </c>
      <c r="G1037" s="2">
        <v>185000</v>
      </c>
      <c r="H1037" s="8" t="s">
        <v>19</v>
      </c>
      <c r="I1037" s="8" t="s">
        <v>13</v>
      </c>
      <c r="J1037" s="8" t="s">
        <v>14</v>
      </c>
      <c r="K1037" t="s">
        <v>21</v>
      </c>
      <c r="L1037" t="s">
        <v>1520</v>
      </c>
      <c r="M1037" s="2">
        <f>VALUE(MID(L1037,1,FIND("@",L1037)-6))</f>
        <v>75</v>
      </c>
      <c r="N1037">
        <v>5</v>
      </c>
      <c r="O1037" t="str">
        <f>IF(datos_limpios[[#This Row],[Seating Capacity ]]&gt;4,"SI","NO")</f>
        <v>SI</v>
      </c>
      <c r="P1037">
        <v>43</v>
      </c>
    </row>
    <row r="1038" spans="1:16" x14ac:dyDescent="0.3">
      <c r="A1038" s="8" t="s">
        <v>17</v>
      </c>
      <c r="B1038" s="8" t="s">
        <v>1074</v>
      </c>
      <c r="C1038" s="9">
        <v>1038</v>
      </c>
      <c r="D1038" s="3">
        <v>295000</v>
      </c>
      <c r="E1038" s="1">
        <f>datos_limpios[[#This Row],[Price INR   ]]*0.011</f>
        <v>3245</v>
      </c>
      <c r="F1038" s="13">
        <v>2015</v>
      </c>
      <c r="G1038" s="2">
        <v>31000</v>
      </c>
      <c r="H1038" s="8" t="s">
        <v>12</v>
      </c>
      <c r="I1038" s="8" t="s">
        <v>13</v>
      </c>
      <c r="J1038" s="8" t="s">
        <v>20</v>
      </c>
      <c r="K1038" t="s">
        <v>69</v>
      </c>
      <c r="L1038" t="s">
        <v>70</v>
      </c>
      <c r="M1038" s="2">
        <f>VALUE(MID(L1038,1,FIND("@",L1038)-6))</f>
        <v>67</v>
      </c>
      <c r="N1038">
        <v>5</v>
      </c>
      <c r="O1038" t="str">
        <f>IF(datos_limpios[[#This Row],[Seating Capacity ]]&gt;4,"SI","NO")</f>
        <v>SI</v>
      </c>
      <c r="P1038">
        <v>35</v>
      </c>
    </row>
    <row r="1039" spans="1:16" x14ac:dyDescent="0.3">
      <c r="A1039" s="8" t="s">
        <v>17</v>
      </c>
      <c r="B1039" s="8" t="s">
        <v>1143</v>
      </c>
      <c r="C1039" s="9">
        <v>1039</v>
      </c>
      <c r="D1039" s="3">
        <v>297000</v>
      </c>
      <c r="E1039" s="1">
        <f>datos_limpios[[#This Row],[Price INR   ]]*0.011</f>
        <v>3267</v>
      </c>
      <c r="F1039" s="13">
        <v>2013</v>
      </c>
      <c r="G1039" s="2">
        <v>84000</v>
      </c>
      <c r="H1039" s="8" t="s">
        <v>19</v>
      </c>
      <c r="I1039" s="8" t="s">
        <v>13</v>
      </c>
      <c r="J1039" s="8" t="s">
        <v>20</v>
      </c>
      <c r="K1039" t="s">
        <v>21</v>
      </c>
      <c r="L1039" t="s">
        <v>140</v>
      </c>
      <c r="M1039" s="2">
        <f>VALUE(MID(L1039,1,FIND("@",L1039)-6))</f>
        <v>89</v>
      </c>
      <c r="N1039">
        <v>5</v>
      </c>
      <c r="O1039" t="str">
        <f>IF(datos_limpios[[#This Row],[Seating Capacity ]]&gt;4,"SI","NO")</f>
        <v>SI</v>
      </c>
      <c r="P1039">
        <v>50</v>
      </c>
    </row>
    <row r="1040" spans="1:16" x14ac:dyDescent="0.3">
      <c r="A1040" s="8" t="s">
        <v>17</v>
      </c>
      <c r="B1040" s="8" t="s">
        <v>523</v>
      </c>
      <c r="C1040" s="9">
        <v>1040</v>
      </c>
      <c r="D1040" s="3">
        <v>299000</v>
      </c>
      <c r="E1040" s="1">
        <f>datos_limpios[[#This Row],[Price INR   ]]*0.011</f>
        <v>3289</v>
      </c>
      <c r="F1040" s="13">
        <v>2013</v>
      </c>
      <c r="G1040" s="2">
        <v>46000</v>
      </c>
      <c r="H1040" s="8" t="s">
        <v>12</v>
      </c>
      <c r="I1040" s="8" t="s">
        <v>13</v>
      </c>
      <c r="J1040" s="8" t="s">
        <v>20</v>
      </c>
      <c r="K1040" t="s">
        <v>69</v>
      </c>
      <c r="L1040" t="s">
        <v>273</v>
      </c>
      <c r="M1040" s="2">
        <f>VALUE(MID(L1040,1,FIND("@",L1040)-6))</f>
        <v>67</v>
      </c>
      <c r="N1040">
        <v>5</v>
      </c>
      <c r="O1040" t="str">
        <f>IF(datos_limpios[[#This Row],[Seating Capacity ]]&gt;4,"SI","NO")</f>
        <v>SI</v>
      </c>
      <c r="P1040">
        <v>35</v>
      </c>
    </row>
    <row r="1041" spans="1:16" x14ac:dyDescent="0.3">
      <c r="A1041" s="8" t="s">
        <v>17</v>
      </c>
      <c r="B1041" s="8" t="s">
        <v>1161</v>
      </c>
      <c r="C1041" s="9">
        <v>1041</v>
      </c>
      <c r="D1041" s="3">
        <v>299000</v>
      </c>
      <c r="E1041" s="1">
        <f>datos_limpios[[#This Row],[Price INR   ]]*0.011</f>
        <v>3289</v>
      </c>
      <c r="F1041" s="13">
        <v>2017</v>
      </c>
      <c r="G1041" s="2">
        <v>45000</v>
      </c>
      <c r="H1041" s="8" t="s">
        <v>89</v>
      </c>
      <c r="I1041" s="8" t="s">
        <v>13</v>
      </c>
      <c r="J1041" s="8" t="s">
        <v>77</v>
      </c>
      <c r="K1041" t="s">
        <v>72</v>
      </c>
      <c r="L1041" t="s">
        <v>1162</v>
      </c>
      <c r="M1041" s="2">
        <f>VALUE(MID(L1041,1,FIND("@",L1041)-6))</f>
        <v>48</v>
      </c>
      <c r="N1041">
        <v>5</v>
      </c>
      <c r="O1041" t="str">
        <f>IF(datos_limpios[[#This Row],[Seating Capacity ]]&gt;4,"SI","NO")</f>
        <v>SI</v>
      </c>
      <c r="P1041">
        <v>35</v>
      </c>
    </row>
    <row r="1042" spans="1:16" x14ac:dyDescent="0.3">
      <c r="A1042" s="8" t="s">
        <v>17</v>
      </c>
      <c r="B1042" s="8" t="s">
        <v>475</v>
      </c>
      <c r="C1042" s="9">
        <v>1042</v>
      </c>
      <c r="D1042" s="3">
        <v>299000</v>
      </c>
      <c r="E1042" s="1">
        <f>datos_limpios[[#This Row],[Price INR   ]]*0.011</f>
        <v>3289</v>
      </c>
      <c r="F1042" s="13">
        <v>2015</v>
      </c>
      <c r="G1042" s="2">
        <v>92000</v>
      </c>
      <c r="H1042" s="8" t="s">
        <v>89</v>
      </c>
      <c r="I1042" s="8" t="s">
        <v>13</v>
      </c>
      <c r="J1042" s="8" t="s">
        <v>82</v>
      </c>
      <c r="K1042" t="s">
        <v>69</v>
      </c>
      <c r="L1042" t="s">
        <v>220</v>
      </c>
      <c r="M1042" s="2">
        <f>VALUE(MID(L1042,1,FIND("@",L1042)-6))</f>
        <v>58</v>
      </c>
      <c r="N1042">
        <v>5</v>
      </c>
      <c r="O1042" t="str">
        <f>IF(datos_limpios[[#This Row],[Seating Capacity ]]&gt;4,"SI","NO")</f>
        <v>SI</v>
      </c>
      <c r="P1042">
        <v>35</v>
      </c>
    </row>
    <row r="1043" spans="1:16" x14ac:dyDescent="0.3">
      <c r="A1043" s="8" t="s">
        <v>17</v>
      </c>
      <c r="B1043" s="8" t="s">
        <v>494</v>
      </c>
      <c r="C1043" s="9">
        <v>1043</v>
      </c>
      <c r="D1043" s="3">
        <v>299000</v>
      </c>
      <c r="E1043" s="1">
        <f>datos_limpios[[#This Row],[Price INR   ]]*0.011</f>
        <v>3289</v>
      </c>
      <c r="F1043" s="13">
        <v>2013</v>
      </c>
      <c r="G1043" s="2">
        <v>47000</v>
      </c>
      <c r="H1043" s="8" t="s">
        <v>12</v>
      </c>
      <c r="I1043" s="8" t="s">
        <v>13</v>
      </c>
      <c r="J1043" s="8" t="s">
        <v>77</v>
      </c>
      <c r="K1043" t="s">
        <v>26</v>
      </c>
      <c r="L1043" t="s">
        <v>92</v>
      </c>
      <c r="M1043" s="2">
        <f>VALUE(MID(L1043,1,FIND("@",L1043)-6))</f>
        <v>85</v>
      </c>
      <c r="N1043">
        <v>5</v>
      </c>
      <c r="O1043" t="str">
        <f>IF(datos_limpios[[#This Row],[Seating Capacity ]]&gt;4,"SI","NO")</f>
        <v>SI</v>
      </c>
      <c r="P1043">
        <v>42</v>
      </c>
    </row>
    <row r="1044" spans="1:16" x14ac:dyDescent="0.3">
      <c r="A1044" s="8" t="s">
        <v>17</v>
      </c>
      <c r="B1044" s="8" t="s">
        <v>1343</v>
      </c>
      <c r="C1044" s="9">
        <v>1044</v>
      </c>
      <c r="D1044" s="3">
        <v>299000</v>
      </c>
      <c r="E1044" s="1">
        <f>datos_limpios[[#This Row],[Price INR   ]]*0.011</f>
        <v>3289</v>
      </c>
      <c r="F1044" s="13">
        <v>2017</v>
      </c>
      <c r="G1044" s="2">
        <v>65822</v>
      </c>
      <c r="H1044" s="8" t="s">
        <v>19</v>
      </c>
      <c r="I1044" s="8" t="s">
        <v>13</v>
      </c>
      <c r="J1044" s="8" t="s">
        <v>77</v>
      </c>
      <c r="K1044" t="s">
        <v>1344</v>
      </c>
      <c r="L1044" t="s">
        <v>1345</v>
      </c>
      <c r="M1044" s="2">
        <f>VALUE(MID(L1044,1,FIND("@",L1044)-6))</f>
        <v>46</v>
      </c>
      <c r="N1044">
        <v>5</v>
      </c>
      <c r="O1044" t="str">
        <f>IF(datos_limpios[[#This Row],[Seating Capacity ]]&gt;4,"SI","NO")</f>
        <v>SI</v>
      </c>
      <c r="P1044">
        <v>35</v>
      </c>
    </row>
    <row r="1045" spans="1:16" x14ac:dyDescent="0.3">
      <c r="A1045" s="8" t="s">
        <v>17</v>
      </c>
      <c r="B1045" s="8" t="s">
        <v>898</v>
      </c>
      <c r="C1045" s="9">
        <v>1045</v>
      </c>
      <c r="D1045" s="3">
        <v>301000</v>
      </c>
      <c r="E1045" s="1">
        <f>datos_limpios[[#This Row],[Price INR   ]]*0.011</f>
        <v>3311</v>
      </c>
      <c r="F1045" s="13">
        <v>2011</v>
      </c>
      <c r="G1045" s="2">
        <v>28513</v>
      </c>
      <c r="H1045" s="8" t="s">
        <v>12</v>
      </c>
      <c r="I1045" s="8" t="s">
        <v>13</v>
      </c>
      <c r="J1045" s="8" t="s">
        <v>713</v>
      </c>
      <c r="K1045" t="s">
        <v>26</v>
      </c>
      <c r="L1045" t="s">
        <v>92</v>
      </c>
      <c r="M1045" s="2">
        <f>VALUE(MID(L1045,1,FIND("@",L1045)-6))</f>
        <v>85</v>
      </c>
      <c r="N1045">
        <v>5</v>
      </c>
      <c r="O1045" t="str">
        <f>IF(datos_limpios[[#This Row],[Seating Capacity ]]&gt;4,"SI","NO")</f>
        <v>SI</v>
      </c>
      <c r="P1045">
        <v>42</v>
      </c>
    </row>
    <row r="1046" spans="1:16" x14ac:dyDescent="0.3">
      <c r="A1046" s="8" t="s">
        <v>17</v>
      </c>
      <c r="B1046" s="8" t="s">
        <v>475</v>
      </c>
      <c r="C1046" s="9">
        <v>1046</v>
      </c>
      <c r="D1046" s="3">
        <v>310000</v>
      </c>
      <c r="E1046" s="1">
        <f>datos_limpios[[#This Row],[Price INR   ]]*0.011</f>
        <v>3410</v>
      </c>
      <c r="F1046" s="13">
        <v>2014</v>
      </c>
      <c r="G1046" s="2">
        <v>82000</v>
      </c>
      <c r="H1046" s="8" t="s">
        <v>89</v>
      </c>
      <c r="I1046" s="8" t="s">
        <v>13</v>
      </c>
      <c r="J1046" s="8" t="s">
        <v>20</v>
      </c>
      <c r="K1046" t="s">
        <v>69</v>
      </c>
      <c r="L1046" t="s">
        <v>220</v>
      </c>
      <c r="M1046" s="2">
        <f>VALUE(MID(L1046,1,FIND("@",L1046)-6))</f>
        <v>58</v>
      </c>
      <c r="N1046">
        <v>5</v>
      </c>
      <c r="O1046" t="str">
        <f>IF(datos_limpios[[#This Row],[Seating Capacity ]]&gt;4,"SI","NO")</f>
        <v>SI</v>
      </c>
      <c r="P1046">
        <v>35</v>
      </c>
    </row>
    <row r="1047" spans="1:16" x14ac:dyDescent="0.3">
      <c r="A1047" s="8" t="s">
        <v>17</v>
      </c>
      <c r="B1047" s="8" t="s">
        <v>272</v>
      </c>
      <c r="C1047" s="9">
        <v>1047</v>
      </c>
      <c r="D1047" s="3">
        <v>310000</v>
      </c>
      <c r="E1047" s="1">
        <f>datos_limpios[[#This Row],[Price INR   ]]*0.011</f>
        <v>3410</v>
      </c>
      <c r="F1047" s="13">
        <v>2015</v>
      </c>
      <c r="G1047" s="2">
        <v>45000</v>
      </c>
      <c r="H1047" s="8" t="s">
        <v>12</v>
      </c>
      <c r="I1047" s="8" t="s">
        <v>13</v>
      </c>
      <c r="J1047" s="8" t="s">
        <v>82</v>
      </c>
      <c r="K1047" t="s">
        <v>69</v>
      </c>
      <c r="L1047" t="s">
        <v>273</v>
      </c>
      <c r="M1047" s="2">
        <f>VALUE(MID(L1047,1,FIND("@",L1047)-6))</f>
        <v>67</v>
      </c>
      <c r="N1047">
        <v>5</v>
      </c>
      <c r="O1047" t="str">
        <f>IF(datos_limpios[[#This Row],[Seating Capacity ]]&gt;4,"SI","NO")</f>
        <v>SI</v>
      </c>
      <c r="P1047">
        <v>35</v>
      </c>
    </row>
    <row r="1048" spans="1:16" x14ac:dyDescent="0.3">
      <c r="A1048" s="8" t="s">
        <v>17</v>
      </c>
      <c r="B1048" s="8" t="s">
        <v>219</v>
      </c>
      <c r="C1048" s="9">
        <v>1048</v>
      </c>
      <c r="D1048" s="3">
        <v>310000</v>
      </c>
      <c r="E1048" s="1">
        <f>datos_limpios[[#This Row],[Price INR   ]]*0.011</f>
        <v>3410</v>
      </c>
      <c r="F1048" s="13">
        <v>2015</v>
      </c>
      <c r="G1048" s="2">
        <v>67738</v>
      </c>
      <c r="H1048" s="8" t="s">
        <v>89</v>
      </c>
      <c r="I1048" s="8" t="s">
        <v>13</v>
      </c>
      <c r="J1048" s="8" t="s">
        <v>20</v>
      </c>
      <c r="K1048" t="s">
        <v>69</v>
      </c>
      <c r="L1048" t="s">
        <v>220</v>
      </c>
      <c r="M1048" s="2">
        <f>VALUE(MID(L1048,1,FIND("@",L1048)-6))</f>
        <v>58</v>
      </c>
      <c r="N1048">
        <v>5</v>
      </c>
      <c r="O1048" t="str">
        <f>IF(datos_limpios[[#This Row],[Seating Capacity ]]&gt;4,"SI","NO")</f>
        <v>SI</v>
      </c>
      <c r="P1048">
        <v>35</v>
      </c>
    </row>
    <row r="1049" spans="1:16" x14ac:dyDescent="0.3">
      <c r="A1049" s="8" t="s">
        <v>17</v>
      </c>
      <c r="B1049" s="8" t="s">
        <v>607</v>
      </c>
      <c r="C1049" s="9">
        <v>1049</v>
      </c>
      <c r="D1049" s="3">
        <v>315000</v>
      </c>
      <c r="E1049" s="1">
        <f>datos_limpios[[#This Row],[Price INR   ]]*0.011</f>
        <v>3465</v>
      </c>
      <c r="F1049" s="13">
        <v>2013</v>
      </c>
      <c r="G1049" s="2">
        <v>72000</v>
      </c>
      <c r="H1049" s="8" t="s">
        <v>89</v>
      </c>
      <c r="I1049" s="8" t="s">
        <v>13</v>
      </c>
      <c r="J1049" s="8" t="s">
        <v>82</v>
      </c>
      <c r="K1049" t="s">
        <v>69</v>
      </c>
      <c r="L1049" t="s">
        <v>1512</v>
      </c>
      <c r="M1049" s="2">
        <f>VALUE(MID(L1049,1,FIND("@",L1049)-6))</f>
        <v>59</v>
      </c>
      <c r="N1049">
        <v>5</v>
      </c>
      <c r="O1049" t="str">
        <f>IF(datos_limpios[[#This Row],[Seating Capacity ]]&gt;4,"SI","NO")</f>
        <v>SI</v>
      </c>
      <c r="P1049">
        <v>35</v>
      </c>
    </row>
    <row r="1050" spans="1:16" x14ac:dyDescent="0.3">
      <c r="A1050" s="8" t="s">
        <v>17</v>
      </c>
      <c r="B1050" s="8" t="s">
        <v>420</v>
      </c>
      <c r="C1050" s="9">
        <v>1050</v>
      </c>
      <c r="D1050" s="3">
        <v>319000</v>
      </c>
      <c r="E1050" s="1">
        <f>datos_limpios[[#This Row],[Price INR   ]]*0.011</f>
        <v>3509</v>
      </c>
      <c r="F1050" s="13">
        <v>2013</v>
      </c>
      <c r="G1050" s="2">
        <v>47800</v>
      </c>
      <c r="H1050" s="8" t="s">
        <v>12</v>
      </c>
      <c r="I1050" s="8" t="s">
        <v>13</v>
      </c>
      <c r="J1050" s="8" t="s">
        <v>30</v>
      </c>
      <c r="K1050" t="s">
        <v>72</v>
      </c>
      <c r="L1050" t="s">
        <v>73</v>
      </c>
      <c r="M1050" s="2">
        <f>VALUE(MID(L1050,1,FIND("@",L1050)-6))</f>
        <v>47</v>
      </c>
      <c r="N1050">
        <v>5</v>
      </c>
      <c r="O1050" t="str">
        <f>IF(datos_limpios[[#This Row],[Seating Capacity ]]&gt;4,"SI","NO")</f>
        <v>SI</v>
      </c>
      <c r="P1050">
        <v>35</v>
      </c>
    </row>
    <row r="1051" spans="1:16" x14ac:dyDescent="0.3">
      <c r="A1051" s="8" t="s">
        <v>17</v>
      </c>
      <c r="B1051" s="8" t="s">
        <v>1038</v>
      </c>
      <c r="C1051" s="9">
        <v>1051</v>
      </c>
      <c r="D1051" s="3">
        <v>320000</v>
      </c>
      <c r="E1051" s="1">
        <f>datos_limpios[[#This Row],[Price INR   ]]*0.011</f>
        <v>3520</v>
      </c>
      <c r="F1051" s="13">
        <v>2015</v>
      </c>
      <c r="G1051" s="2">
        <v>64000</v>
      </c>
      <c r="H1051" s="8" t="s">
        <v>12</v>
      </c>
      <c r="I1051" s="8" t="s">
        <v>13</v>
      </c>
      <c r="J1051" s="8" t="s">
        <v>57</v>
      </c>
      <c r="K1051" t="s">
        <v>171</v>
      </c>
      <c r="L1051" t="s">
        <v>172</v>
      </c>
      <c r="M1051" s="2">
        <f>VALUE(MID(L1051,1,FIND("@",L1051)-6))</f>
        <v>73</v>
      </c>
      <c r="N1051">
        <v>5</v>
      </c>
      <c r="O1051" t="str">
        <f>IF(datos_limpios[[#This Row],[Seating Capacity ]]&gt;4,"SI","NO")</f>
        <v>SI</v>
      </c>
      <c r="P1051">
        <v>40</v>
      </c>
    </row>
    <row r="1052" spans="1:16" x14ac:dyDescent="0.3">
      <c r="A1052" s="8" t="s">
        <v>17</v>
      </c>
      <c r="B1052" s="8" t="s">
        <v>453</v>
      </c>
      <c r="C1052" s="9">
        <v>1052</v>
      </c>
      <c r="D1052" s="3">
        <v>320000</v>
      </c>
      <c r="E1052" s="1">
        <f>datos_limpios[[#This Row],[Price INR   ]]*0.011</f>
        <v>3520</v>
      </c>
      <c r="F1052" s="13">
        <v>2014</v>
      </c>
      <c r="G1052" s="2">
        <v>54000</v>
      </c>
      <c r="H1052" s="8" t="s">
        <v>12</v>
      </c>
      <c r="I1052" s="8" t="s">
        <v>13</v>
      </c>
      <c r="J1052" s="8" t="s">
        <v>20</v>
      </c>
      <c r="K1052" t="s">
        <v>69</v>
      </c>
      <c r="L1052" t="s">
        <v>273</v>
      </c>
      <c r="M1052" s="2">
        <f>VALUE(MID(L1052,1,FIND("@",L1052)-6))</f>
        <v>67</v>
      </c>
      <c r="N1052">
        <v>5</v>
      </c>
      <c r="O1052" t="str">
        <f>IF(datos_limpios[[#This Row],[Seating Capacity ]]&gt;4,"SI","NO")</f>
        <v>SI</v>
      </c>
      <c r="P1052">
        <v>35</v>
      </c>
    </row>
    <row r="1053" spans="1:16" x14ac:dyDescent="0.3">
      <c r="A1053" s="8" t="s">
        <v>17</v>
      </c>
      <c r="B1053" s="8" t="s">
        <v>91</v>
      </c>
      <c r="C1053" s="9">
        <v>1053</v>
      </c>
      <c r="D1053" s="3">
        <v>325000</v>
      </c>
      <c r="E1053" s="1">
        <f>datos_limpios[[#This Row],[Price INR   ]]*0.011</f>
        <v>3575</v>
      </c>
      <c r="F1053" s="13">
        <v>2013</v>
      </c>
      <c r="G1053" s="2">
        <v>23086</v>
      </c>
      <c r="H1053" s="8" t="s">
        <v>12</v>
      </c>
      <c r="I1053" s="8" t="s">
        <v>13</v>
      </c>
      <c r="J1053" s="8" t="s">
        <v>14</v>
      </c>
      <c r="K1053" t="s">
        <v>26</v>
      </c>
      <c r="L1053" t="s">
        <v>92</v>
      </c>
      <c r="M1053" s="2">
        <f>VALUE(MID(L1053,1,FIND("@",L1053)-6))</f>
        <v>85</v>
      </c>
      <c r="N1053">
        <v>5</v>
      </c>
      <c r="O1053" t="str">
        <f>IF(datos_limpios[[#This Row],[Seating Capacity ]]&gt;4,"SI","NO")</f>
        <v>SI</v>
      </c>
      <c r="P1053">
        <v>43</v>
      </c>
    </row>
    <row r="1054" spans="1:16" x14ac:dyDescent="0.3">
      <c r="A1054" s="8" t="s">
        <v>17</v>
      </c>
      <c r="B1054" s="8" t="s">
        <v>259</v>
      </c>
      <c r="C1054" s="9">
        <v>1054</v>
      </c>
      <c r="D1054" s="3">
        <v>325000</v>
      </c>
      <c r="E1054" s="1">
        <f>datos_limpios[[#This Row],[Price INR   ]]*0.011</f>
        <v>3575</v>
      </c>
      <c r="F1054" s="13">
        <v>2012</v>
      </c>
      <c r="G1054" s="2">
        <v>68000</v>
      </c>
      <c r="H1054" s="8" t="s">
        <v>12</v>
      </c>
      <c r="I1054" s="8" t="s">
        <v>13</v>
      </c>
      <c r="J1054" s="8" t="s">
        <v>20</v>
      </c>
      <c r="K1054" t="s">
        <v>26</v>
      </c>
      <c r="L1054" t="s">
        <v>92</v>
      </c>
      <c r="M1054" s="2">
        <f>VALUE(MID(L1054,1,FIND("@",L1054)-6))</f>
        <v>85</v>
      </c>
      <c r="N1054">
        <v>5</v>
      </c>
      <c r="O1054" t="str">
        <f>IF(datos_limpios[[#This Row],[Seating Capacity ]]&gt;4,"SI","NO")</f>
        <v>SI</v>
      </c>
      <c r="P1054">
        <v>42</v>
      </c>
    </row>
    <row r="1055" spans="1:16" x14ac:dyDescent="0.3">
      <c r="A1055" s="8" t="s">
        <v>17</v>
      </c>
      <c r="B1055" s="8" t="s">
        <v>219</v>
      </c>
      <c r="C1055" s="9">
        <v>1055</v>
      </c>
      <c r="D1055" s="3">
        <v>325000</v>
      </c>
      <c r="E1055" s="1">
        <f>datos_limpios[[#This Row],[Price INR   ]]*0.011</f>
        <v>3575</v>
      </c>
      <c r="F1055" s="13">
        <v>2015</v>
      </c>
      <c r="G1055" s="2">
        <v>67738</v>
      </c>
      <c r="H1055" s="8" t="s">
        <v>89</v>
      </c>
      <c r="I1055" s="8" t="s">
        <v>13</v>
      </c>
      <c r="J1055" s="8" t="s">
        <v>20</v>
      </c>
      <c r="K1055" t="s">
        <v>69</v>
      </c>
      <c r="L1055" t="s">
        <v>220</v>
      </c>
      <c r="M1055" s="2">
        <f>VALUE(MID(L1055,1,FIND("@",L1055)-6))</f>
        <v>58</v>
      </c>
      <c r="N1055">
        <v>5</v>
      </c>
      <c r="O1055" t="str">
        <f>IF(datos_limpios[[#This Row],[Seating Capacity ]]&gt;4,"SI","NO")</f>
        <v>SI</v>
      </c>
      <c r="P1055">
        <v>35</v>
      </c>
    </row>
    <row r="1056" spans="1:16" x14ac:dyDescent="0.3">
      <c r="A1056" s="8" t="s">
        <v>17</v>
      </c>
      <c r="B1056" s="8" t="s">
        <v>1139</v>
      </c>
      <c r="C1056" s="9">
        <v>1056</v>
      </c>
      <c r="D1056" s="3">
        <v>325000</v>
      </c>
      <c r="E1056" s="1">
        <f>datos_limpios[[#This Row],[Price INR   ]]*0.011</f>
        <v>3575</v>
      </c>
      <c r="F1056" s="13">
        <v>2010</v>
      </c>
      <c r="G1056" s="2">
        <v>82202</v>
      </c>
      <c r="H1056" s="8" t="s">
        <v>19</v>
      </c>
      <c r="I1056" s="8" t="s">
        <v>13</v>
      </c>
      <c r="J1056" s="8" t="s">
        <v>20</v>
      </c>
      <c r="K1056" t="s">
        <v>21</v>
      </c>
      <c r="L1056" t="s">
        <v>1520</v>
      </c>
      <c r="M1056" s="2">
        <f>VALUE(MID(L1056,1,FIND("@",L1056)-6))</f>
        <v>75</v>
      </c>
      <c r="N1056">
        <v>5</v>
      </c>
      <c r="O1056" t="str">
        <f>IF(datos_limpios[[#This Row],[Seating Capacity ]]&gt;4,"SI","NO")</f>
        <v>SI</v>
      </c>
      <c r="P1056">
        <v>43</v>
      </c>
    </row>
    <row r="1057" spans="1:16" x14ac:dyDescent="0.3">
      <c r="A1057" s="8" t="s">
        <v>17</v>
      </c>
      <c r="B1057" s="8" t="s">
        <v>494</v>
      </c>
      <c r="C1057" s="9">
        <v>1057</v>
      </c>
      <c r="D1057" s="3">
        <v>325000</v>
      </c>
      <c r="E1057" s="1">
        <f>datos_limpios[[#This Row],[Price INR   ]]*0.011</f>
        <v>3575</v>
      </c>
      <c r="F1057" s="13">
        <v>2012</v>
      </c>
      <c r="G1057" s="2">
        <v>30000</v>
      </c>
      <c r="H1057" s="8" t="s">
        <v>12</v>
      </c>
      <c r="I1057" s="8" t="s">
        <v>13</v>
      </c>
      <c r="J1057" s="8" t="s">
        <v>57</v>
      </c>
      <c r="K1057" t="s">
        <v>26</v>
      </c>
      <c r="L1057" t="s">
        <v>92</v>
      </c>
      <c r="M1057" s="2">
        <f>VALUE(MID(L1057,1,FIND("@",L1057)-6))</f>
        <v>85</v>
      </c>
      <c r="N1057">
        <v>5</v>
      </c>
      <c r="O1057" t="str">
        <f>IF(datos_limpios[[#This Row],[Seating Capacity ]]&gt;4,"SI","NO")</f>
        <v>SI</v>
      </c>
      <c r="P1057">
        <v>42</v>
      </c>
    </row>
    <row r="1058" spans="1:16" x14ac:dyDescent="0.3">
      <c r="A1058" s="8" t="s">
        <v>17</v>
      </c>
      <c r="B1058" s="8" t="s">
        <v>1240</v>
      </c>
      <c r="C1058" s="9">
        <v>1058</v>
      </c>
      <c r="D1058" s="3">
        <v>325000</v>
      </c>
      <c r="E1058" s="1">
        <f>datos_limpios[[#This Row],[Price INR   ]]*0.011</f>
        <v>3575</v>
      </c>
      <c r="F1058" s="13">
        <v>2012</v>
      </c>
      <c r="G1058" s="2">
        <v>118000</v>
      </c>
      <c r="H1058" s="8" t="s">
        <v>12</v>
      </c>
      <c r="I1058" s="8" t="s">
        <v>13</v>
      </c>
      <c r="J1058" s="8" t="s">
        <v>20</v>
      </c>
      <c r="K1058" t="s">
        <v>1241</v>
      </c>
      <c r="L1058" t="s">
        <v>1541</v>
      </c>
      <c r="M1058" s="2">
        <f>VALUE(MID(L1058,1,FIND("@",L1058)-6))</f>
        <v>102</v>
      </c>
      <c r="N1058">
        <v>5</v>
      </c>
      <c r="O1058" t="str">
        <f>IF(datos_limpios[[#This Row],[Seating Capacity ]]&gt;4,"SI","NO")</f>
        <v>SI</v>
      </c>
      <c r="P1058">
        <v>50</v>
      </c>
    </row>
    <row r="1059" spans="1:16" x14ac:dyDescent="0.3">
      <c r="A1059" s="8" t="s">
        <v>17</v>
      </c>
      <c r="B1059" s="8" t="s">
        <v>475</v>
      </c>
      <c r="C1059" s="9">
        <v>1059</v>
      </c>
      <c r="D1059" s="3">
        <v>325000</v>
      </c>
      <c r="E1059" s="1">
        <f>datos_limpios[[#This Row],[Price INR   ]]*0.011</f>
        <v>3575</v>
      </c>
      <c r="F1059" s="13">
        <v>2014</v>
      </c>
      <c r="G1059" s="2">
        <v>58000</v>
      </c>
      <c r="H1059" s="8" t="s">
        <v>89</v>
      </c>
      <c r="I1059" s="8" t="s">
        <v>13</v>
      </c>
      <c r="J1059" s="8" t="s">
        <v>30</v>
      </c>
      <c r="K1059" t="s">
        <v>69</v>
      </c>
      <c r="L1059" t="s">
        <v>220</v>
      </c>
      <c r="M1059" s="2">
        <f>VALUE(MID(L1059,1,FIND("@",L1059)-6))</f>
        <v>58</v>
      </c>
      <c r="N1059">
        <v>5</v>
      </c>
      <c r="O1059" t="str">
        <f>IF(datos_limpios[[#This Row],[Seating Capacity ]]&gt;4,"SI","NO")</f>
        <v>SI</v>
      </c>
      <c r="P1059">
        <v>35</v>
      </c>
    </row>
    <row r="1060" spans="1:16" x14ac:dyDescent="0.3">
      <c r="A1060" s="8" t="s">
        <v>17</v>
      </c>
      <c r="B1060" s="8" t="s">
        <v>734</v>
      </c>
      <c r="C1060" s="9">
        <v>1060</v>
      </c>
      <c r="D1060" s="3">
        <v>328000</v>
      </c>
      <c r="E1060" s="1">
        <f>datos_limpios[[#This Row],[Price INR   ]]*0.011</f>
        <v>3608</v>
      </c>
      <c r="F1060" s="13">
        <v>2018</v>
      </c>
      <c r="G1060" s="2">
        <v>26807</v>
      </c>
      <c r="H1060" s="8" t="s">
        <v>12</v>
      </c>
      <c r="I1060" s="8" t="s">
        <v>13</v>
      </c>
      <c r="J1060" s="8" t="s">
        <v>101</v>
      </c>
      <c r="K1060" t="s">
        <v>171</v>
      </c>
      <c r="L1060" t="s">
        <v>172</v>
      </c>
      <c r="M1060" s="2">
        <f>VALUE(MID(L1060,1,FIND("@",L1060)-6))</f>
        <v>73</v>
      </c>
      <c r="N1060">
        <v>5</v>
      </c>
      <c r="O1060" t="str">
        <f>IF(datos_limpios[[#This Row],[Seating Capacity ]]&gt;4,"SI","NO")</f>
        <v>SI</v>
      </c>
      <c r="P1060">
        <v>40</v>
      </c>
    </row>
    <row r="1061" spans="1:16" x14ac:dyDescent="0.3">
      <c r="A1061" s="8" t="s">
        <v>17</v>
      </c>
      <c r="B1061" s="8" t="s">
        <v>138</v>
      </c>
      <c r="C1061" s="9">
        <v>1061</v>
      </c>
      <c r="D1061" s="3">
        <v>329000</v>
      </c>
      <c r="E1061" s="1">
        <f>datos_limpios[[#This Row],[Price INR   ]]*0.011</f>
        <v>3619</v>
      </c>
      <c r="F1061" s="13">
        <v>2014</v>
      </c>
      <c r="G1061" s="2">
        <v>76116</v>
      </c>
      <c r="H1061" s="8" t="s">
        <v>12</v>
      </c>
      <c r="I1061" s="8" t="s">
        <v>40</v>
      </c>
      <c r="J1061" s="8" t="s">
        <v>30</v>
      </c>
      <c r="K1061" t="s">
        <v>69</v>
      </c>
      <c r="L1061" t="s">
        <v>70</v>
      </c>
      <c r="M1061" s="2">
        <f>VALUE(MID(L1061,1,FIND("@",L1061)-6))</f>
        <v>67</v>
      </c>
      <c r="N1061">
        <v>5</v>
      </c>
      <c r="O1061" t="str">
        <f>IF(datos_limpios[[#This Row],[Seating Capacity ]]&gt;4,"SI","NO")</f>
        <v>SI</v>
      </c>
      <c r="P1061">
        <v>35</v>
      </c>
    </row>
    <row r="1062" spans="1:16" x14ac:dyDescent="0.3">
      <c r="A1062" s="8" t="s">
        <v>17</v>
      </c>
      <c r="B1062" s="8" t="s">
        <v>1198</v>
      </c>
      <c r="C1062" s="9">
        <v>1062</v>
      </c>
      <c r="D1062" s="3">
        <v>330000</v>
      </c>
      <c r="E1062" s="1">
        <f>datos_limpios[[#This Row],[Price INR   ]]*0.011</f>
        <v>3630</v>
      </c>
      <c r="F1062" s="13">
        <v>2017</v>
      </c>
      <c r="G1062" s="2">
        <v>63200</v>
      </c>
      <c r="H1062" s="8" t="s">
        <v>89</v>
      </c>
      <c r="I1062" s="8" t="s">
        <v>13</v>
      </c>
      <c r="J1062" s="8" t="s">
        <v>14</v>
      </c>
      <c r="K1062" t="s">
        <v>69</v>
      </c>
      <c r="L1062" t="s">
        <v>90</v>
      </c>
      <c r="M1062" s="2">
        <f>VALUE(MID(L1062,1,FIND("@",L1062)-6))</f>
        <v>58</v>
      </c>
      <c r="N1062">
        <v>4</v>
      </c>
      <c r="O1062" t="str">
        <f>IF(datos_limpios[[#This Row],[Seating Capacity ]]&gt;4,"SI","NO")</f>
        <v>NO</v>
      </c>
      <c r="P1062">
        <v>60</v>
      </c>
    </row>
    <row r="1063" spans="1:16" x14ac:dyDescent="0.3">
      <c r="A1063" s="8" t="s">
        <v>17</v>
      </c>
      <c r="B1063" s="8" t="s">
        <v>494</v>
      </c>
      <c r="C1063" s="9">
        <v>1063</v>
      </c>
      <c r="D1063" s="3">
        <v>340000</v>
      </c>
      <c r="E1063" s="1">
        <f>datos_limpios[[#This Row],[Price INR   ]]*0.011</f>
        <v>3740</v>
      </c>
      <c r="F1063" s="13">
        <v>2013</v>
      </c>
      <c r="G1063" s="2">
        <v>66000</v>
      </c>
      <c r="H1063" s="8" t="s">
        <v>12</v>
      </c>
      <c r="I1063" s="8" t="s">
        <v>13</v>
      </c>
      <c r="J1063" s="8" t="s">
        <v>20</v>
      </c>
      <c r="K1063" t="s">
        <v>26</v>
      </c>
      <c r="L1063" t="s">
        <v>92</v>
      </c>
      <c r="M1063" s="2">
        <f>VALUE(MID(L1063,1,FIND("@",L1063)-6))</f>
        <v>85</v>
      </c>
      <c r="N1063">
        <v>5</v>
      </c>
      <c r="O1063" t="str">
        <f>IF(datos_limpios[[#This Row],[Seating Capacity ]]&gt;4,"SI","NO")</f>
        <v>SI</v>
      </c>
      <c r="P1063">
        <v>42</v>
      </c>
    </row>
    <row r="1064" spans="1:16" x14ac:dyDescent="0.3">
      <c r="A1064" s="8" t="s">
        <v>17</v>
      </c>
      <c r="B1064" s="8" t="s">
        <v>251</v>
      </c>
      <c r="C1064" s="9">
        <v>1064</v>
      </c>
      <c r="D1064" s="3">
        <v>340000</v>
      </c>
      <c r="E1064" s="1">
        <f>datos_limpios[[#This Row],[Price INR   ]]*0.011</f>
        <v>3740</v>
      </c>
      <c r="F1064" s="13">
        <v>2016</v>
      </c>
      <c r="G1064" s="2">
        <v>52303</v>
      </c>
      <c r="H1064" s="8" t="s">
        <v>12</v>
      </c>
      <c r="I1064" s="8" t="s">
        <v>13</v>
      </c>
      <c r="J1064" s="8" t="s">
        <v>14</v>
      </c>
      <c r="K1064" t="s">
        <v>72</v>
      </c>
      <c r="L1064" t="s">
        <v>73</v>
      </c>
      <c r="M1064" s="2">
        <f>VALUE(MID(L1064,1,FIND("@",L1064)-6))</f>
        <v>47</v>
      </c>
      <c r="N1064">
        <v>5</v>
      </c>
      <c r="O1064" t="str">
        <f>IF(datos_limpios[[#This Row],[Seating Capacity ]]&gt;4,"SI","NO")</f>
        <v>SI</v>
      </c>
      <c r="P1064">
        <v>35</v>
      </c>
    </row>
    <row r="1065" spans="1:16" x14ac:dyDescent="0.3">
      <c r="A1065" s="8" t="s">
        <v>17</v>
      </c>
      <c r="B1065" s="8" t="s">
        <v>272</v>
      </c>
      <c r="C1065" s="9">
        <v>1065</v>
      </c>
      <c r="D1065" s="3">
        <v>345000</v>
      </c>
      <c r="E1065" s="1">
        <f>datos_limpios[[#This Row],[Price INR   ]]*0.011</f>
        <v>3795</v>
      </c>
      <c r="F1065" s="13">
        <v>2017</v>
      </c>
      <c r="G1065" s="2">
        <v>72019</v>
      </c>
      <c r="H1065" s="8" t="s">
        <v>12</v>
      </c>
      <c r="I1065" s="8" t="s">
        <v>13</v>
      </c>
      <c r="J1065" s="8" t="s">
        <v>77</v>
      </c>
      <c r="K1065" t="s">
        <v>69</v>
      </c>
      <c r="L1065" t="s">
        <v>273</v>
      </c>
      <c r="M1065" s="2">
        <f>VALUE(MID(L1065,1,FIND("@",L1065)-6))</f>
        <v>67</v>
      </c>
      <c r="N1065">
        <v>5</v>
      </c>
      <c r="O1065" t="str">
        <f>IF(datos_limpios[[#This Row],[Seating Capacity ]]&gt;4,"SI","NO")</f>
        <v>SI</v>
      </c>
      <c r="P1065">
        <v>35</v>
      </c>
    </row>
    <row r="1066" spans="1:16" x14ac:dyDescent="0.3">
      <c r="A1066" s="8" t="s">
        <v>17</v>
      </c>
      <c r="B1066" s="8" t="s">
        <v>569</v>
      </c>
      <c r="C1066" s="9">
        <v>1066</v>
      </c>
      <c r="D1066" s="3">
        <v>345000</v>
      </c>
      <c r="E1066" s="1">
        <f>datos_limpios[[#This Row],[Price INR   ]]*0.011</f>
        <v>3795</v>
      </c>
      <c r="F1066" s="13">
        <v>2016</v>
      </c>
      <c r="G1066" s="2">
        <v>49857</v>
      </c>
      <c r="H1066" s="8" t="s">
        <v>12</v>
      </c>
      <c r="I1066" s="8" t="s">
        <v>13</v>
      </c>
      <c r="J1066" s="8" t="s">
        <v>20</v>
      </c>
      <c r="K1066" t="s">
        <v>69</v>
      </c>
      <c r="L1066" t="s">
        <v>273</v>
      </c>
      <c r="M1066" s="2">
        <f>VALUE(MID(L1066,1,FIND("@",L1066)-6))</f>
        <v>67</v>
      </c>
      <c r="N1066">
        <v>5</v>
      </c>
      <c r="O1066" t="str">
        <f>IF(datos_limpios[[#This Row],[Seating Capacity ]]&gt;4,"SI","NO")</f>
        <v>SI</v>
      </c>
      <c r="P1066">
        <v>35</v>
      </c>
    </row>
    <row r="1067" spans="1:16" x14ac:dyDescent="0.3">
      <c r="A1067" s="8" t="s">
        <v>17</v>
      </c>
      <c r="B1067" s="8" t="s">
        <v>629</v>
      </c>
      <c r="C1067" s="9">
        <v>1067</v>
      </c>
      <c r="D1067" s="3">
        <v>345000</v>
      </c>
      <c r="E1067" s="1">
        <f>datos_limpios[[#This Row],[Price INR   ]]*0.011</f>
        <v>3795</v>
      </c>
      <c r="F1067" s="13">
        <v>2007</v>
      </c>
      <c r="G1067" s="2">
        <v>92000</v>
      </c>
      <c r="H1067" s="8" t="s">
        <v>12</v>
      </c>
      <c r="I1067" s="8" t="s">
        <v>40</v>
      </c>
      <c r="J1067" s="8" t="s">
        <v>101</v>
      </c>
      <c r="K1067" t="s">
        <v>41</v>
      </c>
      <c r="L1067" t="s">
        <v>1509</v>
      </c>
      <c r="M1067" s="2">
        <f>VALUE(MID(L1067,1,FIND("@",L1067)-6))</f>
        <v>12</v>
      </c>
      <c r="N1067">
        <v>5</v>
      </c>
      <c r="O1067" t="str">
        <f>IF(datos_limpios[[#This Row],[Seating Capacity ]]&gt;4,"SI","NO")</f>
        <v>SI</v>
      </c>
      <c r="P1067">
        <v>66</v>
      </c>
    </row>
    <row r="1068" spans="1:16" x14ac:dyDescent="0.3">
      <c r="A1068" s="8" t="s">
        <v>17</v>
      </c>
      <c r="B1068" s="8" t="s">
        <v>272</v>
      </c>
      <c r="C1068" s="9">
        <v>1068</v>
      </c>
      <c r="D1068" s="3">
        <v>345000</v>
      </c>
      <c r="E1068" s="1">
        <f>datos_limpios[[#This Row],[Price INR   ]]*0.011</f>
        <v>3795</v>
      </c>
      <c r="F1068" s="13">
        <v>2016</v>
      </c>
      <c r="G1068" s="2">
        <v>73190</v>
      </c>
      <c r="H1068" s="8" t="s">
        <v>12</v>
      </c>
      <c r="I1068" s="8" t="s">
        <v>13</v>
      </c>
      <c r="J1068" s="8" t="s">
        <v>14</v>
      </c>
      <c r="K1068" t="s">
        <v>69</v>
      </c>
      <c r="L1068" t="s">
        <v>273</v>
      </c>
      <c r="M1068" s="2">
        <f>VALUE(MID(L1068,1,FIND("@",L1068)-6))</f>
        <v>67</v>
      </c>
      <c r="N1068">
        <v>5</v>
      </c>
      <c r="O1068" t="str">
        <f>IF(datos_limpios[[#This Row],[Seating Capacity ]]&gt;4,"SI","NO")</f>
        <v>SI</v>
      </c>
      <c r="P1068">
        <v>35</v>
      </c>
    </row>
    <row r="1069" spans="1:16" x14ac:dyDescent="0.3">
      <c r="A1069" s="8" t="s">
        <v>17</v>
      </c>
      <c r="B1069" s="8" t="s">
        <v>138</v>
      </c>
      <c r="C1069" s="9">
        <v>1069</v>
      </c>
      <c r="D1069" s="3">
        <v>345000</v>
      </c>
      <c r="E1069" s="1">
        <f>datos_limpios[[#This Row],[Price INR   ]]*0.011</f>
        <v>3795</v>
      </c>
      <c r="F1069" s="13">
        <v>2014</v>
      </c>
      <c r="G1069" s="2">
        <v>19000</v>
      </c>
      <c r="H1069" s="8" t="s">
        <v>12</v>
      </c>
      <c r="I1069" s="8" t="s">
        <v>40</v>
      </c>
      <c r="J1069" s="8" t="s">
        <v>77</v>
      </c>
      <c r="K1069" t="s">
        <v>69</v>
      </c>
      <c r="L1069" t="s">
        <v>70</v>
      </c>
      <c r="M1069" s="2">
        <f>VALUE(MID(L1069,1,FIND("@",L1069)-6))</f>
        <v>67</v>
      </c>
      <c r="N1069">
        <v>5</v>
      </c>
      <c r="O1069" t="str">
        <f>IF(datos_limpios[[#This Row],[Seating Capacity ]]&gt;4,"SI","NO")</f>
        <v>SI</v>
      </c>
      <c r="P1069">
        <v>35</v>
      </c>
    </row>
    <row r="1070" spans="1:16" x14ac:dyDescent="0.3">
      <c r="A1070" s="8" t="s">
        <v>17</v>
      </c>
      <c r="B1070" s="8" t="s">
        <v>333</v>
      </c>
      <c r="C1070" s="9">
        <v>1070</v>
      </c>
      <c r="D1070" s="3">
        <v>350000</v>
      </c>
      <c r="E1070" s="1">
        <f>datos_limpios[[#This Row],[Price INR   ]]*0.011</f>
        <v>3850</v>
      </c>
      <c r="F1070" s="13">
        <v>2013</v>
      </c>
      <c r="G1070" s="2">
        <v>45000</v>
      </c>
      <c r="H1070" s="8" t="s">
        <v>12</v>
      </c>
      <c r="I1070" s="8" t="s">
        <v>13</v>
      </c>
      <c r="J1070" s="8" t="s">
        <v>20</v>
      </c>
      <c r="K1070" t="s">
        <v>69</v>
      </c>
      <c r="L1070" t="s">
        <v>1498</v>
      </c>
      <c r="M1070" s="2">
        <f>VALUE(MID(L1070,1,FIND("@",L1070)-6))</f>
        <v>68</v>
      </c>
      <c r="N1070">
        <v>5</v>
      </c>
      <c r="O1070" t="str">
        <f>IF(datos_limpios[[#This Row],[Seating Capacity ]]&gt;4,"SI","NO")</f>
        <v>SI</v>
      </c>
      <c r="P1070">
        <v>35</v>
      </c>
    </row>
    <row r="1071" spans="1:16" x14ac:dyDescent="0.3">
      <c r="A1071" s="8" t="s">
        <v>17</v>
      </c>
      <c r="B1071" s="8" t="s">
        <v>392</v>
      </c>
      <c r="C1071" s="9">
        <v>1071</v>
      </c>
      <c r="D1071" s="3">
        <v>350000</v>
      </c>
      <c r="E1071" s="1">
        <f>datos_limpios[[#This Row],[Price INR   ]]*0.011</f>
        <v>3850</v>
      </c>
      <c r="F1071" s="13">
        <v>2012</v>
      </c>
      <c r="G1071" s="2">
        <v>89445</v>
      </c>
      <c r="H1071" s="8" t="s">
        <v>19</v>
      </c>
      <c r="I1071" s="8" t="s">
        <v>13</v>
      </c>
      <c r="J1071" s="8" t="s">
        <v>14</v>
      </c>
      <c r="K1071" t="s">
        <v>21</v>
      </c>
      <c r="L1071" t="s">
        <v>1520</v>
      </c>
      <c r="M1071" s="2">
        <f>VALUE(MID(L1071,1,FIND("@",L1071)-6))</f>
        <v>75</v>
      </c>
      <c r="N1071">
        <v>5</v>
      </c>
      <c r="O1071" t="str">
        <f>IF(datos_limpios[[#This Row],[Seating Capacity ]]&gt;4,"SI","NO")</f>
        <v>SI</v>
      </c>
      <c r="P1071">
        <v>43</v>
      </c>
    </row>
    <row r="1072" spans="1:16" x14ac:dyDescent="0.3">
      <c r="A1072" s="8" t="s">
        <v>17</v>
      </c>
      <c r="B1072" s="8" t="s">
        <v>1243</v>
      </c>
      <c r="C1072" s="9">
        <v>1072</v>
      </c>
      <c r="D1072" s="3">
        <v>350000</v>
      </c>
      <c r="E1072" s="1">
        <f>datos_limpios[[#This Row],[Price INR   ]]*0.011</f>
        <v>3850</v>
      </c>
      <c r="F1072" s="13">
        <v>2012</v>
      </c>
      <c r="G1072" s="2">
        <v>55000</v>
      </c>
      <c r="H1072" s="8" t="s">
        <v>12</v>
      </c>
      <c r="I1072" s="8" t="s">
        <v>13</v>
      </c>
      <c r="J1072" s="8" t="s">
        <v>57</v>
      </c>
      <c r="K1072" t="s">
        <v>69</v>
      </c>
      <c r="L1072" t="s">
        <v>1498</v>
      </c>
      <c r="M1072" s="2">
        <f>VALUE(MID(L1072,1,FIND("@",L1072)-6))</f>
        <v>68</v>
      </c>
      <c r="N1072">
        <v>5</v>
      </c>
      <c r="O1072" t="str">
        <f>IF(datos_limpios[[#This Row],[Seating Capacity ]]&gt;4,"SI","NO")</f>
        <v>SI</v>
      </c>
      <c r="P1072">
        <v>35</v>
      </c>
    </row>
    <row r="1073" spans="1:16" x14ac:dyDescent="0.3">
      <c r="A1073" s="8" t="s">
        <v>17</v>
      </c>
      <c r="B1073" s="8" t="s">
        <v>18</v>
      </c>
      <c r="C1073" s="9">
        <v>1073</v>
      </c>
      <c r="D1073" s="3">
        <v>351000</v>
      </c>
      <c r="E1073" s="1">
        <f>datos_limpios[[#This Row],[Price INR   ]]*0.011</f>
        <v>3861</v>
      </c>
      <c r="F1073" s="13">
        <v>2013</v>
      </c>
      <c r="G1073" s="2">
        <v>42000</v>
      </c>
      <c r="H1073" s="8" t="s">
        <v>19</v>
      </c>
      <c r="I1073" s="8" t="s">
        <v>13</v>
      </c>
      <c r="J1073" s="8" t="s">
        <v>20</v>
      </c>
      <c r="K1073" t="s">
        <v>21</v>
      </c>
      <c r="L1073" t="s">
        <v>22</v>
      </c>
      <c r="M1073" s="2">
        <f>VALUE(MID(L1073,1,FIND("@",L1073)-6))</f>
        <v>74</v>
      </c>
      <c r="N1073">
        <v>5</v>
      </c>
      <c r="O1073" t="str">
        <f>IF(datos_limpios[[#This Row],[Seating Capacity ]]&gt;4,"SI","NO")</f>
        <v>SI</v>
      </c>
      <c r="P1073">
        <v>42</v>
      </c>
    </row>
    <row r="1074" spans="1:16" x14ac:dyDescent="0.3">
      <c r="A1074" s="8" t="s">
        <v>17</v>
      </c>
      <c r="B1074" s="8" t="s">
        <v>539</v>
      </c>
      <c r="C1074" s="9">
        <v>1074</v>
      </c>
      <c r="D1074" s="3">
        <v>355000</v>
      </c>
      <c r="E1074" s="1">
        <f>datos_limpios[[#This Row],[Price INR   ]]*0.011</f>
        <v>3905</v>
      </c>
      <c r="F1074" s="13">
        <v>2020</v>
      </c>
      <c r="G1074" s="2">
        <v>40000</v>
      </c>
      <c r="H1074" s="8" t="s">
        <v>12</v>
      </c>
      <c r="I1074" s="8" t="s">
        <v>13</v>
      </c>
      <c r="J1074" s="8" t="s">
        <v>20</v>
      </c>
      <c r="K1074" t="s">
        <v>72</v>
      </c>
      <c r="L1074" t="s">
        <v>73</v>
      </c>
      <c r="M1074" s="2">
        <f>VALUE(MID(L1074,1,FIND("@",L1074)-6))</f>
        <v>47</v>
      </c>
      <c r="N1074">
        <v>5</v>
      </c>
      <c r="O1074" t="str">
        <f>IF(datos_limpios[[#This Row],[Seating Capacity ]]&gt;4,"SI","NO")</f>
        <v>SI</v>
      </c>
      <c r="P1074">
        <v>35</v>
      </c>
    </row>
    <row r="1075" spans="1:16" x14ac:dyDescent="0.3">
      <c r="A1075" s="8" t="s">
        <v>17</v>
      </c>
      <c r="B1075" s="8" t="s">
        <v>494</v>
      </c>
      <c r="C1075" s="9">
        <v>1075</v>
      </c>
      <c r="D1075" s="3">
        <v>355000</v>
      </c>
      <c r="E1075" s="1">
        <f>datos_limpios[[#This Row],[Price INR   ]]*0.011</f>
        <v>3905</v>
      </c>
      <c r="F1075" s="13">
        <v>2014</v>
      </c>
      <c r="G1075" s="2">
        <v>68005</v>
      </c>
      <c r="H1075" s="8" t="s">
        <v>12</v>
      </c>
      <c r="I1075" s="8" t="s">
        <v>13</v>
      </c>
      <c r="J1075" s="8" t="s">
        <v>20</v>
      </c>
      <c r="K1075" t="s">
        <v>26</v>
      </c>
      <c r="L1075" t="s">
        <v>92</v>
      </c>
      <c r="M1075" s="2">
        <f>VALUE(MID(L1075,1,FIND("@",L1075)-6))</f>
        <v>85</v>
      </c>
      <c r="N1075">
        <v>5</v>
      </c>
      <c r="O1075" t="str">
        <f>IF(datos_limpios[[#This Row],[Seating Capacity ]]&gt;4,"SI","NO")</f>
        <v>SI</v>
      </c>
      <c r="P1075">
        <v>42</v>
      </c>
    </row>
    <row r="1076" spans="1:16" x14ac:dyDescent="0.3">
      <c r="A1076" s="8" t="s">
        <v>17</v>
      </c>
      <c r="B1076" s="8" t="s">
        <v>1204</v>
      </c>
      <c r="C1076" s="9">
        <v>1076</v>
      </c>
      <c r="D1076" s="3">
        <v>365000</v>
      </c>
      <c r="E1076" s="1">
        <f>datos_limpios[[#This Row],[Price INR   ]]*0.011</f>
        <v>4014.9999999999995</v>
      </c>
      <c r="F1076" s="13">
        <v>2015</v>
      </c>
      <c r="G1076" s="2">
        <v>20100</v>
      </c>
      <c r="H1076" s="8" t="s">
        <v>12</v>
      </c>
      <c r="I1076" s="8" t="s">
        <v>40</v>
      </c>
      <c r="J1076" s="8" t="s">
        <v>30</v>
      </c>
      <c r="K1076" t="s">
        <v>69</v>
      </c>
      <c r="L1076" t="s">
        <v>70</v>
      </c>
      <c r="M1076" s="2">
        <f>VALUE(MID(L1076,1,FIND("@",L1076)-6))</f>
        <v>67</v>
      </c>
      <c r="N1076">
        <v>5</v>
      </c>
      <c r="O1076" t="str">
        <f>IF(datos_limpios[[#This Row],[Seating Capacity ]]&gt;4,"SI","NO")</f>
        <v>SI</v>
      </c>
      <c r="P1076">
        <v>35</v>
      </c>
    </row>
    <row r="1077" spans="1:16" x14ac:dyDescent="0.3">
      <c r="A1077" s="8" t="s">
        <v>17</v>
      </c>
      <c r="B1077" s="8" t="s">
        <v>1273</v>
      </c>
      <c r="C1077" s="9">
        <v>1077</v>
      </c>
      <c r="D1077" s="3">
        <v>365000</v>
      </c>
      <c r="E1077" s="1">
        <f>datos_limpios[[#This Row],[Price INR   ]]*0.011</f>
        <v>4014.9999999999995</v>
      </c>
      <c r="F1077" s="13">
        <v>2009</v>
      </c>
      <c r="G1077" s="2">
        <v>140000</v>
      </c>
      <c r="H1077" s="8" t="s">
        <v>19</v>
      </c>
      <c r="I1077" s="8" t="s">
        <v>13</v>
      </c>
      <c r="J1077" s="8" t="s">
        <v>20</v>
      </c>
      <c r="K1077" t="s">
        <v>21</v>
      </c>
      <c r="L1077" t="s">
        <v>1520</v>
      </c>
      <c r="M1077" s="2">
        <f>VALUE(MID(L1077,1,FIND("@",L1077)-6))</f>
        <v>75</v>
      </c>
      <c r="N1077">
        <v>5</v>
      </c>
      <c r="O1077" t="str">
        <f>IF(datos_limpios[[#This Row],[Seating Capacity ]]&gt;4,"SI","NO")</f>
        <v>SI</v>
      </c>
      <c r="P1077">
        <v>43</v>
      </c>
    </row>
    <row r="1078" spans="1:16" x14ac:dyDescent="0.3">
      <c r="A1078" s="8" t="s">
        <v>17</v>
      </c>
      <c r="B1078" s="8" t="s">
        <v>494</v>
      </c>
      <c r="C1078" s="9">
        <v>1078</v>
      </c>
      <c r="D1078" s="3">
        <v>365000</v>
      </c>
      <c r="E1078" s="1">
        <f>datos_limpios[[#This Row],[Price INR   ]]*0.011</f>
        <v>4014.9999999999995</v>
      </c>
      <c r="F1078" s="13">
        <v>2013</v>
      </c>
      <c r="G1078" s="2">
        <v>68000</v>
      </c>
      <c r="H1078" s="8" t="s">
        <v>12</v>
      </c>
      <c r="I1078" s="8" t="s">
        <v>13</v>
      </c>
      <c r="J1078" s="8" t="s">
        <v>57</v>
      </c>
      <c r="K1078" t="s">
        <v>26</v>
      </c>
      <c r="L1078" t="s">
        <v>92</v>
      </c>
      <c r="M1078" s="2">
        <f>VALUE(MID(L1078,1,FIND("@",L1078)-6))</f>
        <v>85</v>
      </c>
      <c r="N1078">
        <v>5</v>
      </c>
      <c r="O1078" t="str">
        <f>IF(datos_limpios[[#This Row],[Seating Capacity ]]&gt;4,"SI","NO")</f>
        <v>SI</v>
      </c>
      <c r="P1078">
        <v>42</v>
      </c>
    </row>
    <row r="1079" spans="1:16" x14ac:dyDescent="0.3">
      <c r="A1079" s="8" t="s">
        <v>17</v>
      </c>
      <c r="B1079" s="8" t="s">
        <v>475</v>
      </c>
      <c r="C1079" s="9">
        <v>1079</v>
      </c>
      <c r="D1079" s="3">
        <v>365000</v>
      </c>
      <c r="E1079" s="1">
        <f>datos_limpios[[#This Row],[Price INR   ]]*0.011</f>
        <v>4014.9999999999995</v>
      </c>
      <c r="F1079" s="13">
        <v>2014</v>
      </c>
      <c r="G1079" s="2">
        <v>75693</v>
      </c>
      <c r="H1079" s="8" t="s">
        <v>89</v>
      </c>
      <c r="I1079" s="8" t="s">
        <v>13</v>
      </c>
      <c r="J1079" s="8" t="s">
        <v>14</v>
      </c>
      <c r="K1079" t="s">
        <v>69</v>
      </c>
      <c r="L1079" t="s">
        <v>220</v>
      </c>
      <c r="M1079" s="2">
        <f>VALUE(MID(L1079,1,FIND("@",L1079)-6))</f>
        <v>58</v>
      </c>
      <c r="N1079">
        <v>5</v>
      </c>
      <c r="O1079" t="str">
        <f>IF(datos_limpios[[#This Row],[Seating Capacity ]]&gt;4,"SI","NO")</f>
        <v>SI</v>
      </c>
      <c r="P1079">
        <v>35</v>
      </c>
    </row>
    <row r="1080" spans="1:16" x14ac:dyDescent="0.3">
      <c r="A1080" s="8" t="s">
        <v>17</v>
      </c>
      <c r="B1080" s="8" t="s">
        <v>1074</v>
      </c>
      <c r="C1080" s="9">
        <v>1080</v>
      </c>
      <c r="D1080" s="3">
        <v>369000</v>
      </c>
      <c r="E1080" s="1">
        <f>datos_limpios[[#This Row],[Price INR   ]]*0.011</f>
        <v>4058.9999999999995</v>
      </c>
      <c r="F1080" s="13">
        <v>2017</v>
      </c>
      <c r="G1080" s="2">
        <v>16800</v>
      </c>
      <c r="H1080" s="8" t="s">
        <v>12</v>
      </c>
      <c r="I1080" s="8" t="s">
        <v>13</v>
      </c>
      <c r="J1080" s="8" t="s">
        <v>14</v>
      </c>
      <c r="K1080" t="s">
        <v>69</v>
      </c>
      <c r="L1080" t="s">
        <v>70</v>
      </c>
      <c r="M1080" s="2">
        <f>VALUE(MID(L1080,1,FIND("@",L1080)-6))</f>
        <v>67</v>
      </c>
      <c r="N1080">
        <v>5</v>
      </c>
      <c r="O1080" t="str">
        <f>IF(datos_limpios[[#This Row],[Seating Capacity ]]&gt;4,"SI","NO")</f>
        <v>SI</v>
      </c>
      <c r="P1080">
        <v>35</v>
      </c>
    </row>
    <row r="1081" spans="1:16" x14ac:dyDescent="0.3">
      <c r="A1081" s="8" t="s">
        <v>17</v>
      </c>
      <c r="B1081" s="8" t="s">
        <v>88</v>
      </c>
      <c r="C1081" s="9">
        <v>1081</v>
      </c>
      <c r="D1081" s="3">
        <v>370000</v>
      </c>
      <c r="E1081" s="1">
        <f>datos_limpios[[#This Row],[Price INR   ]]*0.011</f>
        <v>4069.9999999999995</v>
      </c>
      <c r="F1081" s="13">
        <v>2019</v>
      </c>
      <c r="G1081" s="2">
        <v>47377</v>
      </c>
      <c r="H1081" s="8" t="s">
        <v>89</v>
      </c>
      <c r="I1081" s="8" t="s">
        <v>13</v>
      </c>
      <c r="J1081" s="8" t="s">
        <v>14</v>
      </c>
      <c r="K1081" t="s">
        <v>69</v>
      </c>
      <c r="L1081" t="s">
        <v>90</v>
      </c>
      <c r="M1081" s="2">
        <f>VALUE(MID(L1081,1,FIND("@",L1081)-6))</f>
        <v>58</v>
      </c>
      <c r="N1081">
        <v>4</v>
      </c>
      <c r="O1081" t="str">
        <f>IF(datos_limpios[[#This Row],[Seating Capacity ]]&gt;4,"SI","NO")</f>
        <v>NO</v>
      </c>
      <c r="P1081">
        <v>60</v>
      </c>
    </row>
    <row r="1082" spans="1:16" x14ac:dyDescent="0.3">
      <c r="A1082" s="8" t="s">
        <v>17</v>
      </c>
      <c r="B1082" s="8" t="s">
        <v>1074</v>
      </c>
      <c r="C1082" s="9">
        <v>1082</v>
      </c>
      <c r="D1082" s="3">
        <v>370000</v>
      </c>
      <c r="E1082" s="1">
        <f>datos_limpios[[#This Row],[Price INR   ]]*0.011</f>
        <v>4069.9999999999995</v>
      </c>
      <c r="F1082" s="13">
        <v>2015</v>
      </c>
      <c r="G1082" s="2">
        <v>64000</v>
      </c>
      <c r="H1082" s="8" t="s">
        <v>12</v>
      </c>
      <c r="I1082" s="8" t="s">
        <v>13</v>
      </c>
      <c r="J1082" s="8" t="s">
        <v>14</v>
      </c>
      <c r="K1082" t="s">
        <v>69</v>
      </c>
      <c r="L1082" t="s">
        <v>70</v>
      </c>
      <c r="M1082" s="2">
        <f>VALUE(MID(L1082,1,FIND("@",L1082)-6))</f>
        <v>67</v>
      </c>
      <c r="N1082">
        <v>5</v>
      </c>
      <c r="O1082" t="str">
        <f>IF(datos_limpios[[#This Row],[Seating Capacity ]]&gt;4,"SI","NO")</f>
        <v>SI</v>
      </c>
      <c r="P1082">
        <v>35</v>
      </c>
    </row>
    <row r="1083" spans="1:16" x14ac:dyDescent="0.3">
      <c r="A1083" s="8" t="s">
        <v>17</v>
      </c>
      <c r="B1083" s="8" t="s">
        <v>219</v>
      </c>
      <c r="C1083" s="9">
        <v>1083</v>
      </c>
      <c r="D1083" s="3">
        <v>375000</v>
      </c>
      <c r="E1083" s="1">
        <f>datos_limpios[[#This Row],[Price INR   ]]*0.011</f>
        <v>4125</v>
      </c>
      <c r="F1083" s="13">
        <v>2015</v>
      </c>
      <c r="G1083" s="2">
        <v>64000</v>
      </c>
      <c r="H1083" s="8" t="s">
        <v>89</v>
      </c>
      <c r="I1083" s="8" t="s">
        <v>13</v>
      </c>
      <c r="J1083" s="8" t="s">
        <v>77</v>
      </c>
      <c r="K1083" t="s">
        <v>69</v>
      </c>
      <c r="L1083" t="s">
        <v>220</v>
      </c>
      <c r="M1083" s="2">
        <f>VALUE(MID(L1083,1,FIND("@",L1083)-6))</f>
        <v>58</v>
      </c>
      <c r="N1083">
        <v>5</v>
      </c>
      <c r="O1083" t="str">
        <f>IF(datos_limpios[[#This Row],[Seating Capacity ]]&gt;4,"SI","NO")</f>
        <v>SI</v>
      </c>
      <c r="P1083">
        <v>35</v>
      </c>
    </row>
    <row r="1084" spans="1:16" x14ac:dyDescent="0.3">
      <c r="A1084" s="8" t="s">
        <v>17</v>
      </c>
      <c r="B1084" s="8" t="s">
        <v>498</v>
      </c>
      <c r="C1084" s="9">
        <v>1084</v>
      </c>
      <c r="D1084" s="3">
        <v>375000</v>
      </c>
      <c r="E1084" s="1">
        <f>datos_limpios[[#This Row],[Price INR   ]]*0.011</f>
        <v>4125</v>
      </c>
      <c r="F1084" s="13">
        <v>2011</v>
      </c>
      <c r="G1084" s="2">
        <v>120000</v>
      </c>
      <c r="H1084" s="8" t="s">
        <v>19</v>
      </c>
      <c r="I1084" s="8" t="s">
        <v>13</v>
      </c>
      <c r="J1084" s="8" t="s">
        <v>77</v>
      </c>
      <c r="K1084" t="s">
        <v>21</v>
      </c>
      <c r="L1084" t="s">
        <v>22</v>
      </c>
      <c r="M1084" s="2">
        <f>VALUE(MID(L1084,1,FIND("@",L1084)-6))</f>
        <v>74</v>
      </c>
      <c r="N1084">
        <v>5</v>
      </c>
      <c r="O1084" t="str">
        <f>IF(datos_limpios[[#This Row],[Seating Capacity ]]&gt;4,"SI","NO")</f>
        <v>SI</v>
      </c>
      <c r="P1084">
        <v>42</v>
      </c>
    </row>
    <row r="1085" spans="1:16" x14ac:dyDescent="0.3">
      <c r="A1085" s="8" t="s">
        <v>17</v>
      </c>
      <c r="B1085" s="8" t="s">
        <v>138</v>
      </c>
      <c r="C1085" s="9">
        <v>1085</v>
      </c>
      <c r="D1085" s="3">
        <v>375000</v>
      </c>
      <c r="E1085" s="1">
        <f>datos_limpios[[#This Row],[Price INR   ]]*0.011</f>
        <v>4125</v>
      </c>
      <c r="F1085" s="13">
        <v>2014</v>
      </c>
      <c r="G1085" s="2">
        <v>35000</v>
      </c>
      <c r="H1085" s="8" t="s">
        <v>12</v>
      </c>
      <c r="I1085" s="8" t="s">
        <v>40</v>
      </c>
      <c r="J1085" s="8" t="s">
        <v>30</v>
      </c>
      <c r="K1085" t="s">
        <v>69</v>
      </c>
      <c r="L1085" t="s">
        <v>70</v>
      </c>
      <c r="M1085" s="2">
        <f>VALUE(MID(L1085,1,FIND("@",L1085)-6))</f>
        <v>67</v>
      </c>
      <c r="N1085">
        <v>5</v>
      </c>
      <c r="O1085" t="str">
        <f>IF(datos_limpios[[#This Row],[Seating Capacity ]]&gt;4,"SI","NO")</f>
        <v>SI</v>
      </c>
      <c r="P1085">
        <v>35</v>
      </c>
    </row>
    <row r="1086" spans="1:16" x14ac:dyDescent="0.3">
      <c r="A1086" s="8" t="s">
        <v>17</v>
      </c>
      <c r="B1086" s="8" t="s">
        <v>876</v>
      </c>
      <c r="C1086" s="9">
        <v>1086</v>
      </c>
      <c r="D1086" s="3">
        <v>380000</v>
      </c>
      <c r="E1086" s="1">
        <f>datos_limpios[[#This Row],[Price INR   ]]*0.011</f>
        <v>4180</v>
      </c>
      <c r="F1086" s="13">
        <v>2016</v>
      </c>
      <c r="G1086" s="2">
        <v>70000</v>
      </c>
      <c r="H1086" s="8" t="s">
        <v>12</v>
      </c>
      <c r="I1086" s="8" t="s">
        <v>40</v>
      </c>
      <c r="J1086" s="8" t="s">
        <v>14</v>
      </c>
      <c r="K1086" t="s">
        <v>69</v>
      </c>
      <c r="L1086" t="s">
        <v>273</v>
      </c>
      <c r="M1086" s="2">
        <f>VALUE(MID(L1086,1,FIND("@",L1086)-6))</f>
        <v>67</v>
      </c>
      <c r="N1086">
        <v>5</v>
      </c>
      <c r="O1086" t="str">
        <f>IF(datos_limpios[[#This Row],[Seating Capacity ]]&gt;4,"SI","NO")</f>
        <v>SI</v>
      </c>
      <c r="P1086">
        <v>35</v>
      </c>
    </row>
    <row r="1087" spans="1:16" x14ac:dyDescent="0.3">
      <c r="A1087" s="8" t="s">
        <v>17</v>
      </c>
      <c r="B1087" s="8" t="s">
        <v>475</v>
      </c>
      <c r="C1087" s="9">
        <v>1087</v>
      </c>
      <c r="D1087" s="3">
        <v>380000</v>
      </c>
      <c r="E1087" s="1">
        <f>datos_limpios[[#This Row],[Price INR   ]]*0.011</f>
        <v>4180</v>
      </c>
      <c r="F1087" s="13">
        <v>2018</v>
      </c>
      <c r="G1087" s="2">
        <v>68320</v>
      </c>
      <c r="H1087" s="8" t="s">
        <v>89</v>
      </c>
      <c r="I1087" s="8" t="s">
        <v>13</v>
      </c>
      <c r="J1087" s="8" t="s">
        <v>77</v>
      </c>
      <c r="K1087" t="s">
        <v>69</v>
      </c>
      <c r="L1087" t="s">
        <v>220</v>
      </c>
      <c r="M1087" s="2">
        <f>VALUE(MID(L1087,1,FIND("@",L1087)-6))</f>
        <v>58</v>
      </c>
      <c r="N1087">
        <v>5</v>
      </c>
      <c r="O1087" t="str">
        <f>IF(datos_limpios[[#This Row],[Seating Capacity ]]&gt;4,"SI","NO")</f>
        <v>SI</v>
      </c>
      <c r="P1087">
        <v>35</v>
      </c>
    </row>
    <row r="1088" spans="1:16" x14ac:dyDescent="0.3">
      <c r="A1088" s="8" t="s">
        <v>17</v>
      </c>
      <c r="B1088" s="8" t="s">
        <v>494</v>
      </c>
      <c r="C1088" s="9">
        <v>1088</v>
      </c>
      <c r="D1088" s="3">
        <v>385000</v>
      </c>
      <c r="E1088" s="1">
        <f>datos_limpios[[#This Row],[Price INR   ]]*0.011</f>
        <v>4235</v>
      </c>
      <c r="F1088" s="13">
        <v>2011</v>
      </c>
      <c r="G1088" s="2">
        <v>69000</v>
      </c>
      <c r="H1088" s="8" t="s">
        <v>12</v>
      </c>
      <c r="I1088" s="8" t="s">
        <v>13</v>
      </c>
      <c r="J1088" s="8" t="s">
        <v>77</v>
      </c>
      <c r="K1088" t="s">
        <v>26</v>
      </c>
      <c r="L1088" t="s">
        <v>92</v>
      </c>
      <c r="M1088" s="2">
        <f>VALUE(MID(L1088,1,FIND("@",L1088)-6))</f>
        <v>85</v>
      </c>
      <c r="N1088">
        <v>5</v>
      </c>
      <c r="O1088" t="str">
        <f>IF(datos_limpios[[#This Row],[Seating Capacity ]]&gt;4,"SI","NO")</f>
        <v>SI</v>
      </c>
      <c r="P1088">
        <v>42</v>
      </c>
    </row>
    <row r="1089" spans="1:16" x14ac:dyDescent="0.3">
      <c r="A1089" s="8" t="s">
        <v>17</v>
      </c>
      <c r="B1089" s="8" t="s">
        <v>412</v>
      </c>
      <c r="C1089" s="9">
        <v>1089</v>
      </c>
      <c r="D1089" s="3">
        <v>390000</v>
      </c>
      <c r="E1089" s="1">
        <f>datos_limpios[[#This Row],[Price INR   ]]*0.011</f>
        <v>4290</v>
      </c>
      <c r="F1089" s="13">
        <v>2018</v>
      </c>
      <c r="G1089" s="2">
        <v>18000</v>
      </c>
      <c r="H1089" s="8" t="s">
        <v>12</v>
      </c>
      <c r="I1089" s="8" t="s">
        <v>13</v>
      </c>
      <c r="J1089" s="8" t="s">
        <v>77</v>
      </c>
      <c r="K1089" t="s">
        <v>69</v>
      </c>
      <c r="L1089" t="s">
        <v>70</v>
      </c>
      <c r="M1089" s="2">
        <f>VALUE(MID(L1089,1,FIND("@",L1089)-6))</f>
        <v>67</v>
      </c>
      <c r="N1089">
        <v>5</v>
      </c>
      <c r="O1089" t="str">
        <f>IF(datos_limpios[[#This Row],[Seating Capacity ]]&gt;4,"SI","NO")</f>
        <v>SI</v>
      </c>
      <c r="P1089">
        <v>35</v>
      </c>
    </row>
    <row r="1090" spans="1:16" x14ac:dyDescent="0.3">
      <c r="A1090" s="8" t="s">
        <v>17</v>
      </c>
      <c r="B1090" s="8" t="s">
        <v>272</v>
      </c>
      <c r="C1090" s="9">
        <v>1090</v>
      </c>
      <c r="D1090" s="3">
        <v>390000</v>
      </c>
      <c r="E1090" s="1">
        <f>datos_limpios[[#This Row],[Price INR   ]]*0.011</f>
        <v>4290</v>
      </c>
      <c r="F1090" s="13">
        <v>2015</v>
      </c>
      <c r="G1090" s="2">
        <v>43297</v>
      </c>
      <c r="H1090" s="8" t="s">
        <v>12</v>
      </c>
      <c r="I1090" s="8" t="s">
        <v>13</v>
      </c>
      <c r="J1090" s="8" t="s">
        <v>30</v>
      </c>
      <c r="K1090" t="s">
        <v>69</v>
      </c>
      <c r="L1090" t="s">
        <v>273</v>
      </c>
      <c r="M1090" s="2">
        <f>VALUE(MID(L1090,1,FIND("@",L1090)-6))</f>
        <v>67</v>
      </c>
      <c r="N1090">
        <v>5</v>
      </c>
      <c r="O1090" t="str">
        <f>IF(datos_limpios[[#This Row],[Seating Capacity ]]&gt;4,"SI","NO")</f>
        <v>SI</v>
      </c>
      <c r="P1090">
        <v>35</v>
      </c>
    </row>
    <row r="1091" spans="1:16" x14ac:dyDescent="0.3">
      <c r="A1091" s="8" t="s">
        <v>17</v>
      </c>
      <c r="B1091" s="8" t="s">
        <v>932</v>
      </c>
      <c r="C1091" s="9">
        <v>1091</v>
      </c>
      <c r="D1091" s="3">
        <v>390000</v>
      </c>
      <c r="E1091" s="1">
        <f>datos_limpios[[#This Row],[Price INR   ]]*0.011</f>
        <v>4290</v>
      </c>
      <c r="F1091" s="13">
        <v>2014</v>
      </c>
      <c r="G1091" s="2">
        <v>49580</v>
      </c>
      <c r="H1091" s="8" t="s">
        <v>12</v>
      </c>
      <c r="I1091" s="8" t="s">
        <v>13</v>
      </c>
      <c r="J1091" s="8" t="s">
        <v>20</v>
      </c>
      <c r="K1091" t="s">
        <v>69</v>
      </c>
      <c r="L1091" t="s">
        <v>70</v>
      </c>
      <c r="M1091" s="2">
        <f>VALUE(MID(L1091,1,FIND("@",L1091)-6))</f>
        <v>67</v>
      </c>
      <c r="N1091">
        <v>5</v>
      </c>
      <c r="O1091" t="str">
        <f>IF(datos_limpios[[#This Row],[Seating Capacity ]]&gt;4,"SI","NO")</f>
        <v>SI</v>
      </c>
      <c r="P1091">
        <v>35</v>
      </c>
    </row>
    <row r="1092" spans="1:16" x14ac:dyDescent="0.3">
      <c r="A1092" s="8" t="s">
        <v>17</v>
      </c>
      <c r="B1092" s="8" t="s">
        <v>272</v>
      </c>
      <c r="C1092" s="9">
        <v>1092</v>
      </c>
      <c r="D1092" s="3">
        <v>390000</v>
      </c>
      <c r="E1092" s="1">
        <f>datos_limpios[[#This Row],[Price INR   ]]*0.011</f>
        <v>4290</v>
      </c>
      <c r="F1092" s="13">
        <v>2018</v>
      </c>
      <c r="G1092" s="2">
        <v>66794</v>
      </c>
      <c r="H1092" s="8" t="s">
        <v>12</v>
      </c>
      <c r="I1092" s="8" t="s">
        <v>13</v>
      </c>
      <c r="J1092" s="8" t="s">
        <v>713</v>
      </c>
      <c r="K1092" t="s">
        <v>69</v>
      </c>
      <c r="L1092" t="s">
        <v>273</v>
      </c>
      <c r="M1092" s="2">
        <f>VALUE(MID(L1092,1,FIND("@",L1092)-6))</f>
        <v>67</v>
      </c>
      <c r="N1092">
        <v>5</v>
      </c>
      <c r="O1092" t="str">
        <f>IF(datos_limpios[[#This Row],[Seating Capacity ]]&gt;4,"SI","NO")</f>
        <v>SI</v>
      </c>
      <c r="P1092">
        <v>35</v>
      </c>
    </row>
    <row r="1093" spans="1:16" x14ac:dyDescent="0.3">
      <c r="A1093" s="8" t="s">
        <v>17</v>
      </c>
      <c r="B1093" s="8" t="s">
        <v>138</v>
      </c>
      <c r="C1093" s="9">
        <v>1093</v>
      </c>
      <c r="D1093" s="3">
        <v>390000</v>
      </c>
      <c r="E1093" s="1">
        <f>datos_limpios[[#This Row],[Price INR   ]]*0.011</f>
        <v>4290</v>
      </c>
      <c r="F1093" s="13">
        <v>2015</v>
      </c>
      <c r="G1093" s="2">
        <v>70000</v>
      </c>
      <c r="H1093" s="8" t="s">
        <v>12</v>
      </c>
      <c r="I1093" s="8" t="s">
        <v>40</v>
      </c>
      <c r="J1093" s="8" t="s">
        <v>20</v>
      </c>
      <c r="K1093" t="s">
        <v>69</v>
      </c>
      <c r="L1093" t="s">
        <v>70</v>
      </c>
      <c r="M1093" s="2">
        <f>VALUE(MID(L1093,1,FIND("@",L1093)-6))</f>
        <v>67</v>
      </c>
      <c r="N1093">
        <v>5</v>
      </c>
      <c r="O1093" t="str">
        <f>IF(datos_limpios[[#This Row],[Seating Capacity ]]&gt;4,"SI","NO")</f>
        <v>SI</v>
      </c>
      <c r="P1093">
        <v>35</v>
      </c>
    </row>
    <row r="1094" spans="1:16" x14ac:dyDescent="0.3">
      <c r="A1094" s="8" t="s">
        <v>17</v>
      </c>
      <c r="B1094" s="8" t="s">
        <v>589</v>
      </c>
      <c r="C1094" s="9">
        <v>1094</v>
      </c>
      <c r="D1094" s="3">
        <v>390000</v>
      </c>
      <c r="E1094" s="1">
        <f>datos_limpios[[#This Row],[Price INR   ]]*0.011</f>
        <v>4290</v>
      </c>
      <c r="F1094" s="13">
        <v>2019</v>
      </c>
      <c r="G1094" s="2">
        <v>56000</v>
      </c>
      <c r="H1094" s="8" t="s">
        <v>89</v>
      </c>
      <c r="I1094" s="8" t="s">
        <v>13</v>
      </c>
      <c r="J1094" s="8" t="s">
        <v>20</v>
      </c>
      <c r="K1094" t="s">
        <v>72</v>
      </c>
      <c r="L1094" t="s">
        <v>73</v>
      </c>
      <c r="M1094" s="2">
        <f>VALUE(MID(L1094,1,FIND("@",L1094)-6))</f>
        <v>47</v>
      </c>
      <c r="N1094">
        <v>5</v>
      </c>
      <c r="O1094" t="str">
        <f>IF(datos_limpios[[#This Row],[Seating Capacity ]]&gt;4,"SI","NO")</f>
        <v>SI</v>
      </c>
      <c r="P1094">
        <v>35</v>
      </c>
    </row>
    <row r="1095" spans="1:16" x14ac:dyDescent="0.3">
      <c r="A1095" s="8" t="s">
        <v>17</v>
      </c>
      <c r="B1095" s="8" t="s">
        <v>749</v>
      </c>
      <c r="C1095" s="9">
        <v>1095</v>
      </c>
      <c r="D1095" s="3">
        <v>391000</v>
      </c>
      <c r="E1095" s="1">
        <f>datos_limpios[[#This Row],[Price INR   ]]*0.011</f>
        <v>4301</v>
      </c>
      <c r="F1095" s="13">
        <v>2017</v>
      </c>
      <c r="G1095" s="2">
        <v>24000</v>
      </c>
      <c r="H1095" s="8" t="s">
        <v>12</v>
      </c>
      <c r="I1095" s="8" t="s">
        <v>13</v>
      </c>
      <c r="J1095" s="8" t="s">
        <v>77</v>
      </c>
      <c r="K1095" t="s">
        <v>69</v>
      </c>
      <c r="L1095" t="s">
        <v>70</v>
      </c>
      <c r="M1095" s="2">
        <f>VALUE(MID(L1095,1,FIND("@",L1095)-6))</f>
        <v>67</v>
      </c>
      <c r="N1095">
        <v>5</v>
      </c>
      <c r="O1095" t="str">
        <f>IF(datos_limpios[[#This Row],[Seating Capacity ]]&gt;4,"SI","NO")</f>
        <v>SI</v>
      </c>
      <c r="P1095">
        <v>35</v>
      </c>
    </row>
    <row r="1096" spans="1:16" x14ac:dyDescent="0.3">
      <c r="A1096" s="8" t="s">
        <v>17</v>
      </c>
      <c r="B1096" s="8" t="s">
        <v>138</v>
      </c>
      <c r="C1096" s="9">
        <v>1096</v>
      </c>
      <c r="D1096" s="3">
        <v>395000</v>
      </c>
      <c r="E1096" s="1">
        <f>datos_limpios[[#This Row],[Price INR   ]]*0.011</f>
        <v>4345</v>
      </c>
      <c r="F1096" s="13">
        <v>2014</v>
      </c>
      <c r="G1096" s="2">
        <v>47884</v>
      </c>
      <c r="H1096" s="8" t="s">
        <v>12</v>
      </c>
      <c r="I1096" s="8" t="s">
        <v>40</v>
      </c>
      <c r="J1096" s="8" t="s">
        <v>30</v>
      </c>
      <c r="K1096" t="s">
        <v>69</v>
      </c>
      <c r="L1096" t="s">
        <v>70</v>
      </c>
      <c r="M1096" s="2">
        <f>VALUE(MID(L1096,1,FIND("@",L1096)-6))</f>
        <v>67</v>
      </c>
      <c r="N1096">
        <v>5</v>
      </c>
      <c r="O1096" t="str">
        <f>IF(datos_limpios[[#This Row],[Seating Capacity ]]&gt;4,"SI","NO")</f>
        <v>SI</v>
      </c>
      <c r="P1096">
        <v>35</v>
      </c>
    </row>
    <row r="1097" spans="1:16" x14ac:dyDescent="0.3">
      <c r="A1097" s="8" t="s">
        <v>17</v>
      </c>
      <c r="B1097" s="8" t="s">
        <v>219</v>
      </c>
      <c r="C1097" s="9">
        <v>1097</v>
      </c>
      <c r="D1097" s="3">
        <v>400000</v>
      </c>
      <c r="E1097" s="1">
        <f>datos_limpios[[#This Row],[Price INR   ]]*0.011</f>
        <v>4400</v>
      </c>
      <c r="F1097" s="13">
        <v>2016</v>
      </c>
      <c r="G1097" s="2">
        <v>67850</v>
      </c>
      <c r="H1097" s="8" t="s">
        <v>89</v>
      </c>
      <c r="I1097" s="8" t="s">
        <v>13</v>
      </c>
      <c r="J1097" s="8" t="s">
        <v>30</v>
      </c>
      <c r="K1097" t="s">
        <v>69</v>
      </c>
      <c r="L1097" t="s">
        <v>220</v>
      </c>
      <c r="M1097" s="2">
        <f>VALUE(MID(L1097,1,FIND("@",L1097)-6))</f>
        <v>58</v>
      </c>
      <c r="N1097">
        <v>5</v>
      </c>
      <c r="O1097" t="str">
        <f>IF(datos_limpios[[#This Row],[Seating Capacity ]]&gt;4,"SI","NO")</f>
        <v>SI</v>
      </c>
      <c r="P1097">
        <v>35</v>
      </c>
    </row>
    <row r="1098" spans="1:16" x14ac:dyDescent="0.3">
      <c r="A1098" s="8" t="s">
        <v>17</v>
      </c>
      <c r="B1098" s="8" t="s">
        <v>18</v>
      </c>
      <c r="C1098" s="9">
        <v>1098</v>
      </c>
      <c r="D1098" s="3">
        <v>400000</v>
      </c>
      <c r="E1098" s="1">
        <f>datos_limpios[[#This Row],[Price INR   ]]*0.011</f>
        <v>4400</v>
      </c>
      <c r="F1098" s="13">
        <v>2014</v>
      </c>
      <c r="G1098" s="2">
        <v>64000</v>
      </c>
      <c r="H1098" s="8" t="s">
        <v>19</v>
      </c>
      <c r="I1098" s="8" t="s">
        <v>13</v>
      </c>
      <c r="J1098" s="8" t="s">
        <v>20</v>
      </c>
      <c r="K1098" t="s">
        <v>21</v>
      </c>
      <c r="L1098" t="s">
        <v>22</v>
      </c>
      <c r="M1098" s="2">
        <f>VALUE(MID(L1098,1,FIND("@",L1098)-6))</f>
        <v>74</v>
      </c>
      <c r="N1098">
        <v>5</v>
      </c>
      <c r="O1098" t="str">
        <f>IF(datos_limpios[[#This Row],[Seating Capacity ]]&gt;4,"SI","NO")</f>
        <v>SI</v>
      </c>
      <c r="P1098">
        <v>42</v>
      </c>
    </row>
    <row r="1099" spans="1:16" x14ac:dyDescent="0.3">
      <c r="A1099" s="8" t="s">
        <v>17</v>
      </c>
      <c r="B1099" s="8" t="s">
        <v>412</v>
      </c>
      <c r="C1099" s="9">
        <v>1099</v>
      </c>
      <c r="D1099" s="3">
        <v>400000</v>
      </c>
      <c r="E1099" s="1">
        <f>datos_limpios[[#This Row],[Price INR   ]]*0.011</f>
        <v>4400</v>
      </c>
      <c r="F1099" s="13">
        <v>2019</v>
      </c>
      <c r="G1099" s="2">
        <v>22000</v>
      </c>
      <c r="H1099" s="8" t="s">
        <v>12</v>
      </c>
      <c r="I1099" s="8" t="s">
        <v>13</v>
      </c>
      <c r="J1099" s="8" t="s">
        <v>20</v>
      </c>
      <c r="K1099" t="s">
        <v>69</v>
      </c>
      <c r="L1099" t="s">
        <v>70</v>
      </c>
      <c r="M1099" s="2">
        <f>VALUE(MID(L1099,1,FIND("@",L1099)-6))</f>
        <v>67</v>
      </c>
      <c r="N1099">
        <v>5</v>
      </c>
      <c r="O1099" t="str">
        <f>IF(datos_limpios[[#This Row],[Seating Capacity ]]&gt;4,"SI","NO")</f>
        <v>SI</v>
      </c>
      <c r="P1099">
        <v>35</v>
      </c>
    </row>
    <row r="1100" spans="1:16" x14ac:dyDescent="0.3">
      <c r="A1100" s="8" t="s">
        <v>17</v>
      </c>
      <c r="B1100" s="8" t="s">
        <v>18</v>
      </c>
      <c r="C1100" s="9">
        <v>1100</v>
      </c>
      <c r="D1100" s="3">
        <v>400000</v>
      </c>
      <c r="E1100" s="1">
        <f>datos_limpios[[#This Row],[Price INR   ]]*0.011</f>
        <v>4400</v>
      </c>
      <c r="F1100" s="13">
        <v>2015</v>
      </c>
      <c r="G1100" s="2">
        <v>65000</v>
      </c>
      <c r="H1100" s="8" t="s">
        <v>19</v>
      </c>
      <c r="I1100" s="8" t="s">
        <v>13</v>
      </c>
      <c r="J1100" s="8" t="s">
        <v>77</v>
      </c>
      <c r="K1100" t="s">
        <v>21</v>
      </c>
      <c r="L1100" t="s">
        <v>22</v>
      </c>
      <c r="M1100" s="2">
        <f>VALUE(MID(L1100,1,FIND("@",L1100)-6))</f>
        <v>74</v>
      </c>
      <c r="N1100">
        <v>5</v>
      </c>
      <c r="O1100" t="str">
        <f>IF(datos_limpios[[#This Row],[Seating Capacity ]]&gt;4,"SI","NO")</f>
        <v>SI</v>
      </c>
      <c r="P1100">
        <v>42</v>
      </c>
    </row>
    <row r="1101" spans="1:16" x14ac:dyDescent="0.3">
      <c r="A1101" s="8" t="s">
        <v>17</v>
      </c>
      <c r="B1101" s="8" t="s">
        <v>219</v>
      </c>
      <c r="C1101" s="9">
        <v>1101</v>
      </c>
      <c r="D1101" s="3">
        <v>400000</v>
      </c>
      <c r="E1101" s="1">
        <f>datos_limpios[[#This Row],[Price INR   ]]*0.011</f>
        <v>4400</v>
      </c>
      <c r="F1101" s="13">
        <v>2017</v>
      </c>
      <c r="G1101" s="2">
        <v>43000</v>
      </c>
      <c r="H1101" s="8" t="s">
        <v>89</v>
      </c>
      <c r="I1101" s="8" t="s">
        <v>13</v>
      </c>
      <c r="J1101" s="8" t="s">
        <v>14</v>
      </c>
      <c r="K1101" t="s">
        <v>69</v>
      </c>
      <c r="L1101" t="s">
        <v>220</v>
      </c>
      <c r="M1101" s="2">
        <f>VALUE(MID(L1101,1,FIND("@",L1101)-6))</f>
        <v>58</v>
      </c>
      <c r="N1101">
        <v>5</v>
      </c>
      <c r="O1101" t="str">
        <f>IF(datos_limpios[[#This Row],[Seating Capacity ]]&gt;4,"SI","NO")</f>
        <v>SI</v>
      </c>
      <c r="P1101">
        <v>35</v>
      </c>
    </row>
    <row r="1102" spans="1:16" x14ac:dyDescent="0.3">
      <c r="A1102" s="8" t="s">
        <v>17</v>
      </c>
      <c r="B1102" s="8" t="s">
        <v>498</v>
      </c>
      <c r="C1102" s="9">
        <v>1102</v>
      </c>
      <c r="D1102" s="3">
        <v>409999</v>
      </c>
      <c r="E1102" s="1">
        <f>datos_limpios[[#This Row],[Price INR   ]]*0.011</f>
        <v>4509.9889999999996</v>
      </c>
      <c r="F1102" s="13">
        <v>2015</v>
      </c>
      <c r="G1102" s="2">
        <v>112000</v>
      </c>
      <c r="H1102" s="8" t="s">
        <v>19</v>
      </c>
      <c r="I1102" s="8" t="s">
        <v>13</v>
      </c>
      <c r="J1102" s="8" t="s">
        <v>20</v>
      </c>
      <c r="K1102" t="s">
        <v>21</v>
      </c>
      <c r="L1102" t="s">
        <v>22</v>
      </c>
      <c r="M1102" s="2">
        <f>VALUE(MID(L1102,1,FIND("@",L1102)-6))</f>
        <v>74</v>
      </c>
      <c r="N1102">
        <v>5</v>
      </c>
      <c r="O1102" t="str">
        <f>IF(datos_limpios[[#This Row],[Seating Capacity ]]&gt;4,"SI","NO")</f>
        <v>SI</v>
      </c>
      <c r="P1102">
        <v>42</v>
      </c>
    </row>
    <row r="1103" spans="1:16" x14ac:dyDescent="0.3">
      <c r="A1103" s="8" t="s">
        <v>17</v>
      </c>
      <c r="B1103" s="8" t="s">
        <v>494</v>
      </c>
      <c r="C1103" s="9">
        <v>1103</v>
      </c>
      <c r="D1103" s="3">
        <v>409999</v>
      </c>
      <c r="E1103" s="1">
        <f>datos_limpios[[#This Row],[Price INR   ]]*0.011</f>
        <v>4509.9889999999996</v>
      </c>
      <c r="F1103" s="13">
        <v>2014</v>
      </c>
      <c r="G1103" s="2">
        <v>55000</v>
      </c>
      <c r="H1103" s="8" t="s">
        <v>12</v>
      </c>
      <c r="I1103" s="8" t="s">
        <v>13</v>
      </c>
      <c r="J1103" s="8" t="s">
        <v>14</v>
      </c>
      <c r="K1103" t="s">
        <v>26</v>
      </c>
      <c r="L1103" t="s">
        <v>92</v>
      </c>
      <c r="M1103" s="2">
        <f>VALUE(MID(L1103,1,FIND("@",L1103)-6))</f>
        <v>85</v>
      </c>
      <c r="N1103">
        <v>5</v>
      </c>
      <c r="O1103" t="str">
        <f>IF(datos_limpios[[#This Row],[Seating Capacity ]]&gt;4,"SI","NO")</f>
        <v>SI</v>
      </c>
      <c r="P1103">
        <v>42</v>
      </c>
    </row>
    <row r="1104" spans="1:16" x14ac:dyDescent="0.3">
      <c r="A1104" s="8" t="s">
        <v>17</v>
      </c>
      <c r="B1104" s="8" t="s">
        <v>1378</v>
      </c>
      <c r="C1104" s="9">
        <v>1104</v>
      </c>
      <c r="D1104" s="3">
        <v>409999</v>
      </c>
      <c r="E1104" s="1">
        <f>datos_limpios[[#This Row],[Price INR   ]]*0.011</f>
        <v>4509.9889999999996</v>
      </c>
      <c r="F1104" s="13">
        <v>2021</v>
      </c>
      <c r="G1104" s="2">
        <v>13424</v>
      </c>
      <c r="H1104" s="8" t="s">
        <v>12</v>
      </c>
      <c r="I1104" s="8" t="s">
        <v>13</v>
      </c>
      <c r="J1104" s="8" t="s">
        <v>77</v>
      </c>
      <c r="K1104" t="s">
        <v>72</v>
      </c>
      <c r="L1104" t="s">
        <v>73</v>
      </c>
      <c r="M1104" s="2">
        <f>VALUE(MID(L1104,1,FIND("@",L1104)-6))</f>
        <v>47</v>
      </c>
      <c r="N1104">
        <v>5</v>
      </c>
      <c r="O1104" t="str">
        <f>IF(datos_limpios[[#This Row],[Seating Capacity ]]&gt;4,"SI","NO")</f>
        <v>SI</v>
      </c>
      <c r="P1104">
        <v>35</v>
      </c>
    </row>
    <row r="1105" spans="1:16" x14ac:dyDescent="0.3">
      <c r="A1105" s="8" t="s">
        <v>17</v>
      </c>
      <c r="B1105" s="8" t="s">
        <v>494</v>
      </c>
      <c r="C1105" s="9">
        <v>1105</v>
      </c>
      <c r="D1105" s="3">
        <v>409999</v>
      </c>
      <c r="E1105" s="1">
        <f>datos_limpios[[#This Row],[Price INR   ]]*0.011</f>
        <v>4509.9889999999996</v>
      </c>
      <c r="F1105" s="13">
        <v>2014</v>
      </c>
      <c r="G1105" s="2">
        <v>20000</v>
      </c>
      <c r="H1105" s="8" t="s">
        <v>12</v>
      </c>
      <c r="I1105" s="8" t="s">
        <v>13</v>
      </c>
      <c r="J1105" s="8" t="s">
        <v>14</v>
      </c>
      <c r="K1105" t="s">
        <v>26</v>
      </c>
      <c r="L1105" t="s">
        <v>92</v>
      </c>
      <c r="M1105" s="2">
        <f>VALUE(MID(L1105,1,FIND("@",L1105)-6))</f>
        <v>85</v>
      </c>
      <c r="N1105">
        <v>5</v>
      </c>
      <c r="O1105" t="str">
        <f>IF(datos_limpios[[#This Row],[Seating Capacity ]]&gt;4,"SI","NO")</f>
        <v>SI</v>
      </c>
      <c r="P1105">
        <v>42</v>
      </c>
    </row>
    <row r="1106" spans="1:16" x14ac:dyDescent="0.3">
      <c r="A1106" s="8" t="s">
        <v>17</v>
      </c>
      <c r="B1106" s="8" t="s">
        <v>138</v>
      </c>
      <c r="C1106" s="9">
        <v>1106</v>
      </c>
      <c r="D1106" s="3">
        <v>409999</v>
      </c>
      <c r="E1106" s="1">
        <f>datos_limpios[[#This Row],[Price INR   ]]*0.011</f>
        <v>4509.9889999999996</v>
      </c>
      <c r="F1106" s="13">
        <v>2015</v>
      </c>
      <c r="G1106" s="2">
        <v>54443</v>
      </c>
      <c r="H1106" s="8" t="s">
        <v>12</v>
      </c>
      <c r="I1106" s="8" t="s">
        <v>40</v>
      </c>
      <c r="J1106" s="8" t="s">
        <v>20</v>
      </c>
      <c r="K1106" t="s">
        <v>69</v>
      </c>
      <c r="L1106" t="s">
        <v>70</v>
      </c>
      <c r="M1106" s="2">
        <f>VALUE(MID(L1106,1,FIND("@",L1106)-6))</f>
        <v>67</v>
      </c>
      <c r="N1106">
        <v>5</v>
      </c>
      <c r="O1106" t="str">
        <f>IF(datos_limpios[[#This Row],[Seating Capacity ]]&gt;4,"SI","NO")</f>
        <v>SI</v>
      </c>
      <c r="P1106">
        <v>35</v>
      </c>
    </row>
    <row r="1107" spans="1:16" x14ac:dyDescent="0.3">
      <c r="A1107" s="8" t="s">
        <v>17</v>
      </c>
      <c r="B1107" s="8" t="s">
        <v>138</v>
      </c>
      <c r="C1107" s="9">
        <v>1107</v>
      </c>
      <c r="D1107" s="3">
        <v>412000</v>
      </c>
      <c r="E1107" s="1">
        <f>datos_limpios[[#This Row],[Price INR   ]]*0.011</f>
        <v>4532</v>
      </c>
      <c r="F1107" s="13">
        <v>2016</v>
      </c>
      <c r="G1107" s="2">
        <v>41058</v>
      </c>
      <c r="H1107" s="8" t="s">
        <v>12</v>
      </c>
      <c r="I1107" s="8" t="s">
        <v>40</v>
      </c>
      <c r="J1107" s="8" t="s">
        <v>77</v>
      </c>
      <c r="K1107" t="s">
        <v>69</v>
      </c>
      <c r="L1107" t="s">
        <v>70</v>
      </c>
      <c r="M1107" s="2">
        <f>VALUE(MID(L1107,1,FIND("@",L1107)-6))</f>
        <v>67</v>
      </c>
      <c r="N1107">
        <v>5</v>
      </c>
      <c r="O1107" t="str">
        <f>IF(datos_limpios[[#This Row],[Seating Capacity ]]&gt;4,"SI","NO")</f>
        <v>SI</v>
      </c>
      <c r="P1107">
        <v>35</v>
      </c>
    </row>
    <row r="1108" spans="1:16" x14ac:dyDescent="0.3">
      <c r="A1108" s="8" t="s">
        <v>17</v>
      </c>
      <c r="B1108" s="8" t="s">
        <v>219</v>
      </c>
      <c r="C1108" s="9">
        <v>1108</v>
      </c>
      <c r="D1108" s="3">
        <v>415000</v>
      </c>
      <c r="E1108" s="1">
        <f>datos_limpios[[#This Row],[Price INR   ]]*0.011</f>
        <v>4565</v>
      </c>
      <c r="F1108" s="13">
        <v>2015</v>
      </c>
      <c r="G1108" s="2">
        <v>42500</v>
      </c>
      <c r="H1108" s="8" t="s">
        <v>89</v>
      </c>
      <c r="I1108" s="8" t="s">
        <v>13</v>
      </c>
      <c r="J1108" s="8" t="s">
        <v>82</v>
      </c>
      <c r="K1108" t="s">
        <v>69</v>
      </c>
      <c r="L1108" t="s">
        <v>220</v>
      </c>
      <c r="M1108" s="2">
        <f>VALUE(MID(L1108,1,FIND("@",L1108)-6))</f>
        <v>58</v>
      </c>
      <c r="N1108">
        <v>5</v>
      </c>
      <c r="O1108" t="str">
        <f>IF(datos_limpios[[#This Row],[Seating Capacity ]]&gt;4,"SI","NO")</f>
        <v>SI</v>
      </c>
      <c r="P1108">
        <v>35</v>
      </c>
    </row>
    <row r="1109" spans="1:16" x14ac:dyDescent="0.3">
      <c r="A1109" s="8" t="s">
        <v>17</v>
      </c>
      <c r="B1109" s="8" t="s">
        <v>259</v>
      </c>
      <c r="C1109" s="9">
        <v>1109</v>
      </c>
      <c r="D1109" s="3">
        <v>415000</v>
      </c>
      <c r="E1109" s="1">
        <f>datos_limpios[[#This Row],[Price INR   ]]*0.011</f>
        <v>4565</v>
      </c>
      <c r="F1109" s="13">
        <v>2014</v>
      </c>
      <c r="G1109" s="2">
        <v>57402</v>
      </c>
      <c r="H1109" s="8" t="s">
        <v>12</v>
      </c>
      <c r="I1109" s="8" t="s">
        <v>13</v>
      </c>
      <c r="J1109" s="8" t="s">
        <v>14</v>
      </c>
      <c r="K1109" t="s">
        <v>26</v>
      </c>
      <c r="L1109" t="s">
        <v>92</v>
      </c>
      <c r="M1109" s="2">
        <f>VALUE(MID(L1109,1,FIND("@",L1109)-6))</f>
        <v>85</v>
      </c>
      <c r="N1109">
        <v>5</v>
      </c>
      <c r="O1109" t="str">
        <f>IF(datos_limpios[[#This Row],[Seating Capacity ]]&gt;4,"SI","NO")</f>
        <v>SI</v>
      </c>
      <c r="P1109">
        <v>42</v>
      </c>
    </row>
    <row r="1110" spans="1:16" x14ac:dyDescent="0.3">
      <c r="A1110" s="8" t="s">
        <v>17</v>
      </c>
      <c r="B1110" s="8" t="s">
        <v>138</v>
      </c>
      <c r="C1110" s="9">
        <v>1110</v>
      </c>
      <c r="D1110" s="3">
        <v>416000</v>
      </c>
      <c r="E1110" s="1">
        <f>datos_limpios[[#This Row],[Price INR   ]]*0.011</f>
        <v>4576</v>
      </c>
      <c r="F1110" s="13">
        <v>2014</v>
      </c>
      <c r="G1110" s="2">
        <v>60116</v>
      </c>
      <c r="H1110" s="8" t="s">
        <v>12</v>
      </c>
      <c r="I1110" s="8" t="s">
        <v>40</v>
      </c>
      <c r="J1110" s="8" t="s">
        <v>14</v>
      </c>
      <c r="K1110" t="s">
        <v>69</v>
      </c>
      <c r="L1110" t="s">
        <v>70</v>
      </c>
      <c r="M1110" s="2">
        <f>VALUE(MID(L1110,1,FIND("@",L1110)-6))</f>
        <v>67</v>
      </c>
      <c r="N1110">
        <v>5</v>
      </c>
      <c r="O1110" t="str">
        <f>IF(datos_limpios[[#This Row],[Seating Capacity ]]&gt;4,"SI","NO")</f>
        <v>SI</v>
      </c>
      <c r="P1110">
        <v>35</v>
      </c>
    </row>
    <row r="1111" spans="1:16" x14ac:dyDescent="0.3">
      <c r="A1111" s="8" t="s">
        <v>17</v>
      </c>
      <c r="B1111" s="8" t="s">
        <v>1057</v>
      </c>
      <c r="C1111" s="9">
        <v>1111</v>
      </c>
      <c r="D1111" s="3">
        <v>421000</v>
      </c>
      <c r="E1111" s="1">
        <f>datos_limpios[[#This Row],[Price INR   ]]*0.011</f>
        <v>4631</v>
      </c>
      <c r="F1111" s="13">
        <v>2017</v>
      </c>
      <c r="G1111" s="2">
        <v>69000</v>
      </c>
      <c r="H1111" s="8" t="s">
        <v>12</v>
      </c>
      <c r="I1111" s="8" t="s">
        <v>13</v>
      </c>
      <c r="J1111" s="8" t="s">
        <v>14</v>
      </c>
      <c r="K1111" t="s">
        <v>26</v>
      </c>
      <c r="L1111" t="s">
        <v>137</v>
      </c>
      <c r="M1111" s="2">
        <f>VALUE(MID(L1111,1,FIND("@",L1111)-6))</f>
        <v>83</v>
      </c>
      <c r="N1111">
        <v>5</v>
      </c>
      <c r="O1111" t="str">
        <f>IF(datos_limpios[[#This Row],[Seating Capacity ]]&gt;4,"SI","NO")</f>
        <v>SI</v>
      </c>
      <c r="P1111">
        <v>42</v>
      </c>
    </row>
    <row r="1112" spans="1:16" x14ac:dyDescent="0.3">
      <c r="A1112" s="8" t="s">
        <v>17</v>
      </c>
      <c r="B1112" s="8" t="s">
        <v>734</v>
      </c>
      <c r="C1112" s="9">
        <v>1112</v>
      </c>
      <c r="D1112" s="3">
        <v>422000</v>
      </c>
      <c r="E1112" s="1">
        <f>datos_limpios[[#This Row],[Price INR   ]]*0.011</f>
        <v>4642</v>
      </c>
      <c r="F1112" s="13">
        <v>2018</v>
      </c>
      <c r="G1112" s="2">
        <v>12768</v>
      </c>
      <c r="H1112" s="8" t="s">
        <v>12</v>
      </c>
      <c r="I1112" s="8" t="s">
        <v>13</v>
      </c>
      <c r="J1112" s="8" t="s">
        <v>20</v>
      </c>
      <c r="K1112" t="s">
        <v>171</v>
      </c>
      <c r="L1112" t="s">
        <v>172</v>
      </c>
      <c r="M1112" s="2">
        <f>VALUE(MID(L1112,1,FIND("@",L1112)-6))</f>
        <v>73</v>
      </c>
      <c r="N1112">
        <v>5</v>
      </c>
      <c r="O1112" t="str">
        <f>IF(datos_limpios[[#This Row],[Seating Capacity ]]&gt;4,"SI","NO")</f>
        <v>SI</v>
      </c>
      <c r="P1112">
        <v>40</v>
      </c>
    </row>
    <row r="1113" spans="1:16" x14ac:dyDescent="0.3">
      <c r="A1113" s="8" t="s">
        <v>17</v>
      </c>
      <c r="B1113" s="8" t="s">
        <v>252</v>
      </c>
      <c r="C1113" s="9">
        <v>1113</v>
      </c>
      <c r="D1113" s="3">
        <v>425000</v>
      </c>
      <c r="E1113" s="1">
        <f>datos_limpios[[#This Row],[Price INR   ]]*0.011</f>
        <v>4675</v>
      </c>
      <c r="F1113" s="13">
        <v>2012</v>
      </c>
      <c r="G1113" s="2">
        <v>78000</v>
      </c>
      <c r="H1113" s="8" t="s">
        <v>19</v>
      </c>
      <c r="I1113" s="8" t="s">
        <v>13</v>
      </c>
      <c r="J1113" s="8" t="s">
        <v>20</v>
      </c>
      <c r="K1113" t="s">
        <v>21</v>
      </c>
      <c r="L1113" t="s">
        <v>140</v>
      </c>
      <c r="M1113" s="2">
        <f>VALUE(MID(L1113,1,FIND("@",L1113)-6))</f>
        <v>89</v>
      </c>
      <c r="N1113">
        <v>7</v>
      </c>
      <c r="O1113" t="str">
        <f>IF(datos_limpios[[#This Row],[Seating Capacity ]]&gt;4,"SI","NO")</f>
        <v>SI</v>
      </c>
      <c r="P1113">
        <v>45</v>
      </c>
    </row>
    <row r="1114" spans="1:16" x14ac:dyDescent="0.3">
      <c r="A1114" s="8" t="s">
        <v>17</v>
      </c>
      <c r="B1114" s="8" t="s">
        <v>347</v>
      </c>
      <c r="C1114" s="9">
        <v>1114</v>
      </c>
      <c r="D1114" s="3">
        <v>425000</v>
      </c>
      <c r="E1114" s="1">
        <f>datos_limpios[[#This Row],[Price INR   ]]*0.011</f>
        <v>4675</v>
      </c>
      <c r="F1114" s="13">
        <v>2013</v>
      </c>
      <c r="G1114" s="2">
        <v>26000</v>
      </c>
      <c r="H1114" s="8" t="s">
        <v>19</v>
      </c>
      <c r="I1114" s="8" t="s">
        <v>13</v>
      </c>
      <c r="J1114" s="8" t="s">
        <v>20</v>
      </c>
      <c r="K1114" t="s">
        <v>21</v>
      </c>
      <c r="L1114" t="s">
        <v>22</v>
      </c>
      <c r="M1114" s="2">
        <f>VALUE(MID(L1114,1,FIND("@",L1114)-6))</f>
        <v>74</v>
      </c>
      <c r="N1114">
        <v>5</v>
      </c>
      <c r="O1114" t="str">
        <f>IF(datos_limpios[[#This Row],[Seating Capacity ]]&gt;4,"SI","NO")</f>
        <v>SI</v>
      </c>
      <c r="P1114">
        <v>42</v>
      </c>
    </row>
    <row r="1115" spans="1:16" x14ac:dyDescent="0.3">
      <c r="A1115" s="8" t="s">
        <v>17</v>
      </c>
      <c r="B1115" s="8" t="s">
        <v>593</v>
      </c>
      <c r="C1115" s="9">
        <v>1115</v>
      </c>
      <c r="D1115" s="3">
        <v>425000</v>
      </c>
      <c r="E1115" s="1">
        <f>datos_limpios[[#This Row],[Price INR   ]]*0.011</f>
        <v>4675</v>
      </c>
      <c r="F1115" s="13">
        <v>2017</v>
      </c>
      <c r="G1115" s="2">
        <v>41624</v>
      </c>
      <c r="H1115" s="8" t="s">
        <v>12</v>
      </c>
      <c r="I1115" s="8" t="s">
        <v>40</v>
      </c>
      <c r="J1115" s="8" t="s">
        <v>20</v>
      </c>
      <c r="K1115" t="s">
        <v>69</v>
      </c>
      <c r="L1115" t="s">
        <v>70</v>
      </c>
      <c r="M1115" s="2">
        <f>VALUE(MID(L1115,1,FIND("@",L1115)-6))</f>
        <v>67</v>
      </c>
      <c r="N1115">
        <v>5</v>
      </c>
      <c r="O1115" t="str">
        <f>IF(datos_limpios[[#This Row],[Seating Capacity ]]&gt;4,"SI","NO")</f>
        <v>SI</v>
      </c>
      <c r="P1115">
        <v>35</v>
      </c>
    </row>
    <row r="1116" spans="1:16" x14ac:dyDescent="0.3">
      <c r="A1116" s="8" t="s">
        <v>17</v>
      </c>
      <c r="B1116" s="8" t="s">
        <v>494</v>
      </c>
      <c r="C1116" s="9">
        <v>1116</v>
      </c>
      <c r="D1116" s="3">
        <v>425000</v>
      </c>
      <c r="E1116" s="1">
        <f>datos_limpios[[#This Row],[Price INR   ]]*0.011</f>
        <v>4675</v>
      </c>
      <c r="F1116" s="13">
        <v>2015</v>
      </c>
      <c r="G1116" s="2">
        <v>80000</v>
      </c>
      <c r="H1116" s="8" t="s">
        <v>12</v>
      </c>
      <c r="I1116" s="8" t="s">
        <v>13</v>
      </c>
      <c r="J1116" s="8" t="s">
        <v>20</v>
      </c>
      <c r="K1116" t="s">
        <v>26</v>
      </c>
      <c r="L1116" t="s">
        <v>92</v>
      </c>
      <c r="M1116" s="2">
        <f>VALUE(MID(L1116,1,FIND("@",L1116)-6))</f>
        <v>85</v>
      </c>
      <c r="N1116">
        <v>5</v>
      </c>
      <c r="O1116" t="str">
        <f>IF(datos_limpios[[#This Row],[Seating Capacity ]]&gt;4,"SI","NO")</f>
        <v>SI</v>
      </c>
      <c r="P1116">
        <v>42</v>
      </c>
    </row>
    <row r="1117" spans="1:16" x14ac:dyDescent="0.3">
      <c r="A1117" s="8" t="s">
        <v>17</v>
      </c>
      <c r="B1117" s="8" t="s">
        <v>1052</v>
      </c>
      <c r="C1117" s="9">
        <v>1117</v>
      </c>
      <c r="D1117" s="3">
        <v>425000</v>
      </c>
      <c r="E1117" s="1">
        <f>datos_limpios[[#This Row],[Price INR   ]]*0.011</f>
        <v>4675</v>
      </c>
      <c r="F1117" s="13">
        <v>2021</v>
      </c>
      <c r="G1117" s="2">
        <v>38848</v>
      </c>
      <c r="H1117" s="8" t="s">
        <v>12</v>
      </c>
      <c r="I1117" s="8" t="s">
        <v>13</v>
      </c>
      <c r="J1117" s="8" t="s">
        <v>77</v>
      </c>
      <c r="K1117" t="s">
        <v>69</v>
      </c>
      <c r="L1117" t="s">
        <v>55</v>
      </c>
      <c r="M1117" s="2">
        <f>VALUE(MID(L1117,1,FIND("@",L1117)-6))</f>
        <v>67</v>
      </c>
      <c r="N1117">
        <v>5</v>
      </c>
      <c r="O1117" t="str">
        <f>IF(datos_limpios[[#This Row],[Seating Capacity ]]&gt;4,"SI","NO")</f>
        <v>SI</v>
      </c>
      <c r="P1117">
        <v>27</v>
      </c>
    </row>
    <row r="1118" spans="1:16" x14ac:dyDescent="0.3">
      <c r="A1118" s="8" t="s">
        <v>17</v>
      </c>
      <c r="B1118" s="8" t="s">
        <v>1059</v>
      </c>
      <c r="C1118" s="9">
        <v>1118</v>
      </c>
      <c r="D1118" s="3">
        <v>425000</v>
      </c>
      <c r="E1118" s="1">
        <f>datos_limpios[[#This Row],[Price INR   ]]*0.011</f>
        <v>4675</v>
      </c>
      <c r="F1118" s="13">
        <v>2019</v>
      </c>
      <c r="G1118" s="2">
        <v>53241</v>
      </c>
      <c r="H1118" s="8" t="s">
        <v>12</v>
      </c>
      <c r="I1118" s="8" t="s">
        <v>13</v>
      </c>
      <c r="J1118" s="8" t="s">
        <v>14</v>
      </c>
      <c r="K1118" t="s">
        <v>69</v>
      </c>
      <c r="L1118" t="s">
        <v>55</v>
      </c>
      <c r="M1118" s="2">
        <f>VALUE(MID(L1118,1,FIND("@",L1118)-6))</f>
        <v>67</v>
      </c>
      <c r="N1118">
        <v>5</v>
      </c>
      <c r="O1118" t="str">
        <f>IF(datos_limpios[[#This Row],[Seating Capacity ]]&gt;4,"SI","NO")</f>
        <v>SI</v>
      </c>
      <c r="P1118">
        <v>27</v>
      </c>
    </row>
    <row r="1119" spans="1:16" x14ac:dyDescent="0.3">
      <c r="A1119" s="8" t="s">
        <v>17</v>
      </c>
      <c r="B1119" s="8" t="s">
        <v>569</v>
      </c>
      <c r="C1119" s="9">
        <v>1119</v>
      </c>
      <c r="D1119" s="3">
        <v>425000</v>
      </c>
      <c r="E1119" s="1">
        <f>datos_limpios[[#This Row],[Price INR   ]]*0.011</f>
        <v>4675</v>
      </c>
      <c r="F1119" s="13">
        <v>2018</v>
      </c>
      <c r="G1119" s="2">
        <v>18000</v>
      </c>
      <c r="H1119" s="8" t="s">
        <v>12</v>
      </c>
      <c r="I1119" s="8" t="s">
        <v>13</v>
      </c>
      <c r="J1119" s="8" t="s">
        <v>14</v>
      </c>
      <c r="K1119" t="s">
        <v>69</v>
      </c>
      <c r="L1119" t="s">
        <v>273</v>
      </c>
      <c r="M1119" s="2">
        <f>VALUE(MID(L1119,1,FIND("@",L1119)-6))</f>
        <v>67</v>
      </c>
      <c r="N1119">
        <v>5</v>
      </c>
      <c r="O1119" t="str">
        <f>IF(datos_limpios[[#This Row],[Seating Capacity ]]&gt;4,"SI","NO")</f>
        <v>SI</v>
      </c>
      <c r="P1119">
        <v>35</v>
      </c>
    </row>
    <row r="1120" spans="1:16" x14ac:dyDescent="0.3">
      <c r="A1120" s="8" t="s">
        <v>17</v>
      </c>
      <c r="B1120" s="8" t="s">
        <v>498</v>
      </c>
      <c r="C1120" s="9">
        <v>1120</v>
      </c>
      <c r="D1120" s="3">
        <v>425000</v>
      </c>
      <c r="E1120" s="1">
        <f>datos_limpios[[#This Row],[Price INR   ]]*0.011</f>
        <v>4675</v>
      </c>
      <c r="F1120" s="13">
        <v>2015</v>
      </c>
      <c r="G1120" s="2">
        <v>36528</v>
      </c>
      <c r="H1120" s="8" t="s">
        <v>19</v>
      </c>
      <c r="I1120" s="8" t="s">
        <v>13</v>
      </c>
      <c r="J1120" s="8" t="s">
        <v>57</v>
      </c>
      <c r="K1120" t="s">
        <v>21</v>
      </c>
      <c r="L1120" t="s">
        <v>22</v>
      </c>
      <c r="M1120" s="2">
        <f>VALUE(MID(L1120,1,FIND("@",L1120)-6))</f>
        <v>74</v>
      </c>
      <c r="N1120">
        <v>5</v>
      </c>
      <c r="O1120" t="str">
        <f>IF(datos_limpios[[#This Row],[Seating Capacity ]]&gt;4,"SI","NO")</f>
        <v>SI</v>
      </c>
      <c r="P1120">
        <v>42</v>
      </c>
    </row>
    <row r="1121" spans="1:16" x14ac:dyDescent="0.3">
      <c r="A1121" s="8" t="s">
        <v>17</v>
      </c>
      <c r="B1121" s="8" t="s">
        <v>18</v>
      </c>
      <c r="C1121" s="9">
        <v>1121</v>
      </c>
      <c r="D1121" s="3">
        <v>425000</v>
      </c>
      <c r="E1121" s="1">
        <f>datos_limpios[[#This Row],[Price INR   ]]*0.011</f>
        <v>4675</v>
      </c>
      <c r="F1121" s="13">
        <v>2014</v>
      </c>
      <c r="G1121" s="2">
        <v>89000</v>
      </c>
      <c r="H1121" s="8" t="s">
        <v>19</v>
      </c>
      <c r="I1121" s="8" t="s">
        <v>13</v>
      </c>
      <c r="J1121" s="8" t="s">
        <v>20</v>
      </c>
      <c r="K1121" t="s">
        <v>21</v>
      </c>
      <c r="L1121" t="s">
        <v>22</v>
      </c>
      <c r="M1121" s="2">
        <f>VALUE(MID(L1121,1,FIND("@",L1121)-6))</f>
        <v>74</v>
      </c>
      <c r="N1121">
        <v>5</v>
      </c>
      <c r="O1121" t="str">
        <f>IF(datos_limpios[[#This Row],[Seating Capacity ]]&gt;4,"SI","NO")</f>
        <v>SI</v>
      </c>
      <c r="P1121">
        <v>42</v>
      </c>
    </row>
    <row r="1122" spans="1:16" x14ac:dyDescent="0.3">
      <c r="A1122" s="8" t="s">
        <v>17</v>
      </c>
      <c r="B1122" s="8" t="s">
        <v>343</v>
      </c>
      <c r="C1122" s="9">
        <v>1122</v>
      </c>
      <c r="D1122" s="3">
        <v>430000</v>
      </c>
      <c r="E1122" s="1">
        <f>datos_limpios[[#This Row],[Price INR   ]]*0.011</f>
        <v>4730</v>
      </c>
      <c r="F1122" s="13">
        <v>2020</v>
      </c>
      <c r="G1122" s="2">
        <v>5790</v>
      </c>
      <c r="H1122" s="8" t="s">
        <v>12</v>
      </c>
      <c r="I1122" s="8" t="s">
        <v>13</v>
      </c>
      <c r="J1122" s="8" t="s">
        <v>77</v>
      </c>
      <c r="K1122" t="s">
        <v>69</v>
      </c>
      <c r="L1122" t="s">
        <v>55</v>
      </c>
      <c r="M1122" s="2">
        <f>VALUE(MID(L1122,1,FIND("@",L1122)-6))</f>
        <v>67</v>
      </c>
      <c r="N1122">
        <v>5</v>
      </c>
      <c r="O1122" t="str">
        <f>IF(datos_limpios[[#This Row],[Seating Capacity ]]&gt;4,"SI","NO")</f>
        <v>SI</v>
      </c>
      <c r="P1122">
        <v>27</v>
      </c>
    </row>
    <row r="1123" spans="1:16" x14ac:dyDescent="0.3">
      <c r="A1123" s="8" t="s">
        <v>17</v>
      </c>
      <c r="B1123" s="8" t="s">
        <v>475</v>
      </c>
      <c r="C1123" s="9">
        <v>1123</v>
      </c>
      <c r="D1123" s="3">
        <v>430000</v>
      </c>
      <c r="E1123" s="1">
        <f>datos_limpios[[#This Row],[Price INR   ]]*0.011</f>
        <v>4730</v>
      </c>
      <c r="F1123" s="13">
        <v>2016</v>
      </c>
      <c r="G1123" s="2">
        <v>26600</v>
      </c>
      <c r="H1123" s="8" t="s">
        <v>89</v>
      </c>
      <c r="I1123" s="8" t="s">
        <v>13</v>
      </c>
      <c r="J1123" s="8" t="s">
        <v>82</v>
      </c>
      <c r="K1123" t="s">
        <v>69</v>
      </c>
      <c r="L1123" t="s">
        <v>220</v>
      </c>
      <c r="M1123" s="2">
        <f>VALUE(MID(L1123,1,FIND("@",L1123)-6))</f>
        <v>58</v>
      </c>
      <c r="N1123">
        <v>5</v>
      </c>
      <c r="O1123" t="str">
        <f>IF(datos_limpios[[#This Row],[Seating Capacity ]]&gt;4,"SI","NO")</f>
        <v>SI</v>
      </c>
      <c r="P1123">
        <v>35</v>
      </c>
    </row>
    <row r="1124" spans="1:16" x14ac:dyDescent="0.3">
      <c r="A1124" s="8" t="s">
        <v>17</v>
      </c>
      <c r="B1124" s="8" t="s">
        <v>764</v>
      </c>
      <c r="C1124" s="9">
        <v>1124</v>
      </c>
      <c r="D1124" s="3">
        <v>430000</v>
      </c>
      <c r="E1124" s="1">
        <f>datos_limpios[[#This Row],[Price INR   ]]*0.011</f>
        <v>4730</v>
      </c>
      <c r="F1124" s="13">
        <v>2019</v>
      </c>
      <c r="G1124" s="2">
        <v>57993</v>
      </c>
      <c r="H1124" s="8" t="s">
        <v>12</v>
      </c>
      <c r="I1124" s="8" t="s">
        <v>40</v>
      </c>
      <c r="J1124" s="8" t="s">
        <v>20</v>
      </c>
      <c r="K1124" t="s">
        <v>69</v>
      </c>
      <c r="L1124" t="s">
        <v>70</v>
      </c>
      <c r="M1124" s="2">
        <f>VALUE(MID(L1124,1,FIND("@",L1124)-6))</f>
        <v>67</v>
      </c>
      <c r="N1124">
        <v>5</v>
      </c>
      <c r="O1124" t="str">
        <f>IF(datos_limpios[[#This Row],[Seating Capacity ]]&gt;4,"SI","NO")</f>
        <v>SI</v>
      </c>
      <c r="P1124">
        <v>35</v>
      </c>
    </row>
    <row r="1125" spans="1:16" x14ac:dyDescent="0.3">
      <c r="A1125" s="8" t="s">
        <v>17</v>
      </c>
      <c r="B1125" s="8" t="s">
        <v>259</v>
      </c>
      <c r="C1125" s="9">
        <v>1125</v>
      </c>
      <c r="D1125" s="3">
        <v>430000</v>
      </c>
      <c r="E1125" s="1">
        <f>datos_limpios[[#This Row],[Price INR   ]]*0.011</f>
        <v>4730</v>
      </c>
      <c r="F1125" s="13">
        <v>2014</v>
      </c>
      <c r="G1125" s="2">
        <v>59000</v>
      </c>
      <c r="H1125" s="8" t="s">
        <v>12</v>
      </c>
      <c r="I1125" s="8" t="s">
        <v>13</v>
      </c>
      <c r="J1125" s="8" t="s">
        <v>57</v>
      </c>
      <c r="K1125" t="s">
        <v>26</v>
      </c>
      <c r="L1125" t="s">
        <v>92</v>
      </c>
      <c r="M1125" s="2">
        <f>VALUE(MID(L1125,1,FIND("@",L1125)-6))</f>
        <v>85</v>
      </c>
      <c r="N1125">
        <v>5</v>
      </c>
      <c r="O1125" t="str">
        <f>IF(datos_limpios[[#This Row],[Seating Capacity ]]&gt;4,"SI","NO")</f>
        <v>SI</v>
      </c>
      <c r="P1125">
        <v>42</v>
      </c>
    </row>
    <row r="1126" spans="1:16" x14ac:dyDescent="0.3">
      <c r="A1126" s="8" t="s">
        <v>17</v>
      </c>
      <c r="B1126" s="8" t="s">
        <v>1202</v>
      </c>
      <c r="C1126" s="9">
        <v>1126</v>
      </c>
      <c r="D1126" s="3">
        <v>434000</v>
      </c>
      <c r="E1126" s="1">
        <f>datos_limpios[[#This Row],[Price INR   ]]*0.011</f>
        <v>4774</v>
      </c>
      <c r="F1126" s="13">
        <v>2017</v>
      </c>
      <c r="G1126" s="2">
        <v>50000</v>
      </c>
      <c r="H1126" s="8" t="s">
        <v>12</v>
      </c>
      <c r="I1126" s="8" t="s">
        <v>40</v>
      </c>
      <c r="J1126" s="8" t="s">
        <v>20</v>
      </c>
      <c r="K1126" t="s">
        <v>69</v>
      </c>
      <c r="L1126" t="s">
        <v>70</v>
      </c>
      <c r="M1126" s="2">
        <f>VALUE(MID(L1126,1,FIND("@",L1126)-6))</f>
        <v>67</v>
      </c>
      <c r="N1126">
        <v>5</v>
      </c>
      <c r="O1126" t="str">
        <f>IF(datos_limpios[[#This Row],[Seating Capacity ]]&gt;4,"SI","NO")</f>
        <v>SI</v>
      </c>
      <c r="P1126">
        <v>35</v>
      </c>
    </row>
    <row r="1127" spans="1:16" x14ac:dyDescent="0.3">
      <c r="A1127" s="8" t="s">
        <v>17</v>
      </c>
      <c r="B1127" s="8" t="s">
        <v>898</v>
      </c>
      <c r="C1127" s="9">
        <v>1127</v>
      </c>
      <c r="D1127" s="3">
        <v>440000</v>
      </c>
      <c r="E1127" s="1">
        <f>datos_limpios[[#This Row],[Price INR   ]]*0.011</f>
        <v>4840</v>
      </c>
      <c r="F1127" s="13">
        <v>2016</v>
      </c>
      <c r="G1127" s="2">
        <v>53807</v>
      </c>
      <c r="H1127" s="8" t="s">
        <v>12</v>
      </c>
      <c r="I1127" s="8" t="s">
        <v>13</v>
      </c>
      <c r="J1127" s="8" t="s">
        <v>20</v>
      </c>
      <c r="K1127" t="s">
        <v>26</v>
      </c>
      <c r="L1127" t="s">
        <v>137</v>
      </c>
      <c r="M1127" s="2">
        <f>VALUE(MID(L1127,1,FIND("@",L1127)-6))</f>
        <v>83</v>
      </c>
      <c r="N1127">
        <v>5</v>
      </c>
      <c r="O1127" t="str">
        <f>IF(datos_limpios[[#This Row],[Seating Capacity ]]&gt;4,"SI","NO")</f>
        <v>SI</v>
      </c>
      <c r="P1127">
        <v>42</v>
      </c>
    </row>
    <row r="1128" spans="1:16" x14ac:dyDescent="0.3">
      <c r="A1128" s="8" t="s">
        <v>17</v>
      </c>
      <c r="B1128" s="8" t="s">
        <v>392</v>
      </c>
      <c r="C1128" s="9">
        <v>1128</v>
      </c>
      <c r="D1128" s="3">
        <v>445000</v>
      </c>
      <c r="E1128" s="1">
        <f>datos_limpios[[#This Row],[Price INR   ]]*0.011</f>
        <v>4895</v>
      </c>
      <c r="F1128" s="13">
        <v>2012</v>
      </c>
      <c r="G1128" s="2">
        <v>54948</v>
      </c>
      <c r="H1128" s="8" t="s">
        <v>19</v>
      </c>
      <c r="I1128" s="8" t="s">
        <v>13</v>
      </c>
      <c r="J1128" s="8" t="s">
        <v>77</v>
      </c>
      <c r="K1128" t="s">
        <v>21</v>
      </c>
      <c r="L1128" t="s">
        <v>1520</v>
      </c>
      <c r="M1128" s="2">
        <f>VALUE(MID(L1128,1,FIND("@",L1128)-6))</f>
        <v>75</v>
      </c>
      <c r="N1128">
        <v>5</v>
      </c>
      <c r="O1128" t="str">
        <f>IF(datos_limpios[[#This Row],[Seating Capacity ]]&gt;4,"SI","NO")</f>
        <v>SI</v>
      </c>
      <c r="P1128">
        <v>43</v>
      </c>
    </row>
    <row r="1129" spans="1:16" x14ac:dyDescent="0.3">
      <c r="A1129" s="8" t="s">
        <v>17</v>
      </c>
      <c r="B1129" s="8" t="s">
        <v>475</v>
      </c>
      <c r="C1129" s="9">
        <v>1129</v>
      </c>
      <c r="D1129" s="3">
        <v>445000</v>
      </c>
      <c r="E1129" s="1">
        <f>datos_limpios[[#This Row],[Price INR   ]]*0.011</f>
        <v>4895</v>
      </c>
      <c r="F1129" s="13">
        <v>2015</v>
      </c>
      <c r="G1129" s="2">
        <v>67580</v>
      </c>
      <c r="H1129" s="8" t="s">
        <v>89</v>
      </c>
      <c r="I1129" s="8" t="s">
        <v>13</v>
      </c>
      <c r="J1129" s="8" t="s">
        <v>20</v>
      </c>
      <c r="K1129" t="s">
        <v>69</v>
      </c>
      <c r="L1129" t="s">
        <v>220</v>
      </c>
      <c r="M1129" s="2">
        <f>VALUE(MID(L1129,1,FIND("@",L1129)-6))</f>
        <v>58</v>
      </c>
      <c r="N1129">
        <v>5</v>
      </c>
      <c r="O1129" t="str">
        <f>IF(datos_limpios[[#This Row],[Seating Capacity ]]&gt;4,"SI","NO")</f>
        <v>SI</v>
      </c>
      <c r="P1129">
        <v>35</v>
      </c>
    </row>
    <row r="1130" spans="1:16" x14ac:dyDescent="0.3">
      <c r="A1130" s="8" t="s">
        <v>17</v>
      </c>
      <c r="B1130" s="8" t="s">
        <v>749</v>
      </c>
      <c r="C1130" s="9">
        <v>1130</v>
      </c>
      <c r="D1130" s="3">
        <v>445000</v>
      </c>
      <c r="E1130" s="1">
        <f>datos_limpios[[#This Row],[Price INR   ]]*0.011</f>
        <v>4895</v>
      </c>
      <c r="F1130" s="13">
        <v>2018</v>
      </c>
      <c r="G1130" s="2">
        <v>71000</v>
      </c>
      <c r="H1130" s="8" t="s">
        <v>12</v>
      </c>
      <c r="I1130" s="8" t="s">
        <v>13</v>
      </c>
      <c r="J1130" s="8" t="s">
        <v>20</v>
      </c>
      <c r="K1130" t="s">
        <v>69</v>
      </c>
      <c r="L1130" t="s">
        <v>70</v>
      </c>
      <c r="M1130" s="2">
        <f>VALUE(MID(L1130,1,FIND("@",L1130)-6))</f>
        <v>67</v>
      </c>
      <c r="N1130">
        <v>5</v>
      </c>
      <c r="O1130" t="str">
        <f>IF(datos_limpios[[#This Row],[Seating Capacity ]]&gt;4,"SI","NO")</f>
        <v>SI</v>
      </c>
      <c r="P1130">
        <v>35</v>
      </c>
    </row>
    <row r="1131" spans="1:16" x14ac:dyDescent="0.3">
      <c r="A1131" s="8" t="s">
        <v>17</v>
      </c>
      <c r="B1131" s="8" t="s">
        <v>71</v>
      </c>
      <c r="C1131" s="9">
        <v>1131</v>
      </c>
      <c r="D1131" s="3">
        <v>449000</v>
      </c>
      <c r="E1131" s="1">
        <f>datos_limpios[[#This Row],[Price INR   ]]*0.011</f>
        <v>4939</v>
      </c>
      <c r="F1131" s="13">
        <v>2019</v>
      </c>
      <c r="G1131" s="2">
        <v>3583</v>
      </c>
      <c r="H1131" s="8" t="s">
        <v>12</v>
      </c>
      <c r="I1131" s="8" t="s">
        <v>13</v>
      </c>
      <c r="J1131" s="8" t="s">
        <v>14</v>
      </c>
      <c r="K1131" t="s">
        <v>72</v>
      </c>
      <c r="L1131" t="s">
        <v>73</v>
      </c>
      <c r="M1131" s="2">
        <f>VALUE(MID(L1131,1,FIND("@",L1131)-6))</f>
        <v>47</v>
      </c>
      <c r="N1131">
        <v>5</v>
      </c>
      <c r="O1131" t="str">
        <f>IF(datos_limpios[[#This Row],[Seating Capacity ]]&gt;4,"SI","NO")</f>
        <v>SI</v>
      </c>
      <c r="P1131">
        <v>35</v>
      </c>
    </row>
    <row r="1132" spans="1:16" x14ac:dyDescent="0.3">
      <c r="A1132" s="8" t="s">
        <v>17</v>
      </c>
      <c r="B1132" s="8" t="s">
        <v>18</v>
      </c>
      <c r="C1132" s="9">
        <v>1132</v>
      </c>
      <c r="D1132" s="3">
        <v>450000</v>
      </c>
      <c r="E1132" s="1">
        <f>datos_limpios[[#This Row],[Price INR   ]]*0.011</f>
        <v>4950</v>
      </c>
      <c r="F1132" s="13">
        <v>2014</v>
      </c>
      <c r="G1132" s="2">
        <v>75000</v>
      </c>
      <c r="H1132" s="8" t="s">
        <v>19</v>
      </c>
      <c r="I1132" s="8" t="s">
        <v>13</v>
      </c>
      <c r="J1132" s="8" t="s">
        <v>20</v>
      </c>
      <c r="K1132" t="s">
        <v>21</v>
      </c>
      <c r="L1132" t="s">
        <v>22</v>
      </c>
      <c r="M1132" s="2">
        <f>VALUE(MID(L1132,1,FIND("@",L1132)-6))</f>
        <v>74</v>
      </c>
      <c r="N1132">
        <v>5</v>
      </c>
      <c r="O1132" t="str">
        <f>IF(datos_limpios[[#This Row],[Seating Capacity ]]&gt;4,"SI","NO")</f>
        <v>SI</v>
      </c>
      <c r="P1132">
        <v>42</v>
      </c>
    </row>
    <row r="1133" spans="1:16" x14ac:dyDescent="0.3">
      <c r="A1133" s="8" t="s">
        <v>17</v>
      </c>
      <c r="B1133" s="8" t="s">
        <v>518</v>
      </c>
      <c r="C1133" s="9">
        <v>1133</v>
      </c>
      <c r="D1133" s="3">
        <v>450000</v>
      </c>
      <c r="E1133" s="1">
        <f>datos_limpios[[#This Row],[Price INR   ]]*0.011</f>
        <v>4950</v>
      </c>
      <c r="F1133" s="13">
        <v>2016</v>
      </c>
      <c r="G1133" s="2">
        <v>45000</v>
      </c>
      <c r="H1133" s="8" t="s">
        <v>12</v>
      </c>
      <c r="I1133" s="8" t="s">
        <v>13</v>
      </c>
      <c r="J1133" s="8" t="s">
        <v>20</v>
      </c>
      <c r="K1133" t="s">
        <v>26</v>
      </c>
      <c r="L1133" t="s">
        <v>137</v>
      </c>
      <c r="M1133" s="2">
        <f>VALUE(MID(L1133,1,FIND("@",L1133)-6))</f>
        <v>83</v>
      </c>
      <c r="N1133">
        <v>5</v>
      </c>
      <c r="O1133" t="str">
        <f>IF(datos_limpios[[#This Row],[Seating Capacity ]]&gt;4,"SI","NO")</f>
        <v>SI</v>
      </c>
      <c r="P1133">
        <v>42</v>
      </c>
    </row>
    <row r="1134" spans="1:16" x14ac:dyDescent="0.3">
      <c r="A1134" s="8" t="s">
        <v>17</v>
      </c>
      <c r="B1134" s="8" t="s">
        <v>259</v>
      </c>
      <c r="C1134" s="9">
        <v>1134</v>
      </c>
      <c r="D1134" s="3">
        <v>450000</v>
      </c>
      <c r="E1134" s="1">
        <f>datos_limpios[[#This Row],[Price INR   ]]*0.011</f>
        <v>4950</v>
      </c>
      <c r="F1134" s="13">
        <v>2017</v>
      </c>
      <c r="G1134" s="2">
        <v>75000</v>
      </c>
      <c r="H1134" s="8" t="s">
        <v>12</v>
      </c>
      <c r="I1134" s="8" t="s">
        <v>13</v>
      </c>
      <c r="J1134" s="8" t="s">
        <v>20</v>
      </c>
      <c r="K1134" t="s">
        <v>26</v>
      </c>
      <c r="L1134" t="s">
        <v>137</v>
      </c>
      <c r="M1134" s="2">
        <f>VALUE(MID(L1134,1,FIND("@",L1134)-6))</f>
        <v>83</v>
      </c>
      <c r="N1134">
        <v>5</v>
      </c>
      <c r="O1134" t="str">
        <f>IF(datos_limpios[[#This Row],[Seating Capacity ]]&gt;4,"SI","NO")</f>
        <v>SI</v>
      </c>
      <c r="P1134">
        <v>42</v>
      </c>
    </row>
    <row r="1135" spans="1:16" x14ac:dyDescent="0.3">
      <c r="A1135" s="8" t="s">
        <v>17</v>
      </c>
      <c r="B1135" s="8" t="s">
        <v>898</v>
      </c>
      <c r="C1135" s="9">
        <v>1135</v>
      </c>
      <c r="D1135" s="3">
        <v>450000</v>
      </c>
      <c r="E1135" s="1">
        <f>datos_limpios[[#This Row],[Price INR   ]]*0.011</f>
        <v>4950</v>
      </c>
      <c r="F1135" s="13">
        <v>2017</v>
      </c>
      <c r="G1135" s="2">
        <v>65000</v>
      </c>
      <c r="H1135" s="8" t="s">
        <v>12</v>
      </c>
      <c r="I1135" s="8" t="s">
        <v>13</v>
      </c>
      <c r="J1135" s="8" t="s">
        <v>14</v>
      </c>
      <c r="K1135" t="s">
        <v>26</v>
      </c>
      <c r="L1135" t="s">
        <v>137</v>
      </c>
      <c r="M1135" s="2">
        <f>VALUE(MID(L1135,1,FIND("@",L1135)-6))</f>
        <v>83</v>
      </c>
      <c r="N1135">
        <v>5</v>
      </c>
      <c r="O1135" t="str">
        <f>IF(datos_limpios[[#This Row],[Seating Capacity ]]&gt;4,"SI","NO")</f>
        <v>SI</v>
      </c>
      <c r="P1135">
        <v>42</v>
      </c>
    </row>
    <row r="1136" spans="1:16" x14ac:dyDescent="0.3">
      <c r="A1136" s="8" t="s">
        <v>17</v>
      </c>
      <c r="B1136" s="8" t="s">
        <v>170</v>
      </c>
      <c r="C1136" s="9">
        <v>1136</v>
      </c>
      <c r="D1136" s="3">
        <v>450000</v>
      </c>
      <c r="E1136" s="1">
        <f>datos_limpios[[#This Row],[Price INR   ]]*0.011</f>
        <v>4950</v>
      </c>
      <c r="F1136" s="13">
        <v>2018</v>
      </c>
      <c r="G1136" s="2">
        <v>32000</v>
      </c>
      <c r="H1136" s="8" t="s">
        <v>12</v>
      </c>
      <c r="I1136" s="8" t="s">
        <v>13</v>
      </c>
      <c r="J1136" s="8" t="s">
        <v>20</v>
      </c>
      <c r="K1136" t="s">
        <v>171</v>
      </c>
      <c r="L1136" t="s">
        <v>172</v>
      </c>
      <c r="M1136" s="2">
        <f>VALUE(MID(L1136,1,FIND("@",L1136)-6))</f>
        <v>73</v>
      </c>
      <c r="N1136">
        <v>7</v>
      </c>
      <c r="O1136" t="str">
        <f>IF(datos_limpios[[#This Row],[Seating Capacity ]]&gt;4,"SI","NO")</f>
        <v>SI</v>
      </c>
      <c r="P1136">
        <v>40</v>
      </c>
    </row>
    <row r="1137" spans="1:16" x14ac:dyDescent="0.3">
      <c r="A1137" s="8" t="s">
        <v>17</v>
      </c>
      <c r="B1137" s="8" t="s">
        <v>520</v>
      </c>
      <c r="C1137" s="9">
        <v>1137</v>
      </c>
      <c r="D1137" s="3">
        <v>450000</v>
      </c>
      <c r="E1137" s="1">
        <f>datos_limpios[[#This Row],[Price INR   ]]*0.011</f>
        <v>4950</v>
      </c>
      <c r="F1137" s="13">
        <v>2016</v>
      </c>
      <c r="G1137" s="2">
        <v>48200</v>
      </c>
      <c r="H1137" s="8" t="s">
        <v>12</v>
      </c>
      <c r="I1137" s="8" t="s">
        <v>13</v>
      </c>
      <c r="J1137" s="8" t="s">
        <v>77</v>
      </c>
      <c r="K1137" t="s">
        <v>26</v>
      </c>
      <c r="L1137" t="s">
        <v>137</v>
      </c>
      <c r="M1137" s="2">
        <f>VALUE(MID(L1137,1,FIND("@",L1137)-6))</f>
        <v>83</v>
      </c>
      <c r="N1137">
        <v>5</v>
      </c>
      <c r="O1137" t="str">
        <f>IF(datos_limpios[[#This Row],[Seating Capacity ]]&gt;4,"SI","NO")</f>
        <v>SI</v>
      </c>
      <c r="P1137">
        <v>42</v>
      </c>
    </row>
    <row r="1138" spans="1:16" x14ac:dyDescent="0.3">
      <c r="A1138" s="8" t="s">
        <v>17</v>
      </c>
      <c r="B1138" s="8" t="s">
        <v>1315</v>
      </c>
      <c r="C1138" s="9">
        <v>1138</v>
      </c>
      <c r="D1138" s="3">
        <v>450000</v>
      </c>
      <c r="E1138" s="1">
        <f>datos_limpios[[#This Row],[Price INR   ]]*0.011</f>
        <v>4950</v>
      </c>
      <c r="F1138" s="13">
        <v>2018</v>
      </c>
      <c r="G1138" s="2">
        <v>43000</v>
      </c>
      <c r="H1138" s="8" t="s">
        <v>12</v>
      </c>
      <c r="I1138" s="8" t="s">
        <v>13</v>
      </c>
      <c r="J1138" s="8" t="s">
        <v>20</v>
      </c>
      <c r="K1138" t="s">
        <v>69</v>
      </c>
      <c r="L1138" t="s">
        <v>1546</v>
      </c>
      <c r="M1138" s="2">
        <f>VALUE(MID(L1138,1,FIND("@",L1138)-6))</f>
        <v>67</v>
      </c>
      <c r="N1138">
        <v>5</v>
      </c>
      <c r="O1138" t="str">
        <f>IF(datos_limpios[[#This Row],[Seating Capacity ]]&gt;4,"SI","NO")</f>
        <v>SI</v>
      </c>
      <c r="P1138">
        <v>35</v>
      </c>
    </row>
    <row r="1139" spans="1:16" x14ac:dyDescent="0.3">
      <c r="A1139" s="8" t="s">
        <v>17</v>
      </c>
      <c r="B1139" s="8" t="s">
        <v>259</v>
      </c>
      <c r="C1139" s="9">
        <v>1139</v>
      </c>
      <c r="D1139" s="3">
        <v>450000</v>
      </c>
      <c r="E1139" s="1">
        <f>datos_limpios[[#This Row],[Price INR   ]]*0.011</f>
        <v>4950</v>
      </c>
      <c r="F1139" s="13">
        <v>2014</v>
      </c>
      <c r="G1139" s="2">
        <v>52000</v>
      </c>
      <c r="H1139" s="8" t="s">
        <v>12</v>
      </c>
      <c r="I1139" s="8" t="s">
        <v>13</v>
      </c>
      <c r="J1139" s="8" t="s">
        <v>77</v>
      </c>
      <c r="K1139" t="s">
        <v>26</v>
      </c>
      <c r="L1139" t="s">
        <v>92</v>
      </c>
      <c r="M1139" s="2">
        <f>VALUE(MID(L1139,1,FIND("@",L1139)-6))</f>
        <v>85</v>
      </c>
      <c r="N1139">
        <v>5</v>
      </c>
      <c r="O1139" t="str">
        <f>IF(datos_limpios[[#This Row],[Seating Capacity ]]&gt;4,"SI","NO")</f>
        <v>SI</v>
      </c>
      <c r="P1139">
        <v>42</v>
      </c>
    </row>
    <row r="1140" spans="1:16" x14ac:dyDescent="0.3">
      <c r="A1140" s="8" t="s">
        <v>17</v>
      </c>
      <c r="B1140" s="8" t="s">
        <v>68</v>
      </c>
      <c r="C1140" s="9">
        <v>1140</v>
      </c>
      <c r="D1140" s="3">
        <v>450000</v>
      </c>
      <c r="E1140" s="1">
        <f>datos_limpios[[#This Row],[Price INR   ]]*0.011</f>
        <v>4950</v>
      </c>
      <c r="F1140" s="13">
        <v>2014</v>
      </c>
      <c r="G1140" s="2">
        <v>48000</v>
      </c>
      <c r="H1140" s="8" t="s">
        <v>12</v>
      </c>
      <c r="I1140" s="8" t="s">
        <v>40</v>
      </c>
      <c r="J1140" s="8" t="s">
        <v>77</v>
      </c>
      <c r="K1140" t="s">
        <v>69</v>
      </c>
      <c r="L1140" t="s">
        <v>70</v>
      </c>
      <c r="M1140" s="2">
        <f>VALUE(MID(L1140,1,FIND("@",L1140)-6))</f>
        <v>67</v>
      </c>
      <c r="N1140">
        <v>5</v>
      </c>
      <c r="O1140" t="str">
        <f>IF(datos_limpios[[#This Row],[Seating Capacity ]]&gt;4,"SI","NO")</f>
        <v>SI</v>
      </c>
      <c r="P1140">
        <v>35</v>
      </c>
    </row>
    <row r="1141" spans="1:16" x14ac:dyDescent="0.3">
      <c r="A1141" s="8" t="s">
        <v>17</v>
      </c>
      <c r="B1141" s="8" t="s">
        <v>259</v>
      </c>
      <c r="C1141" s="9">
        <v>1141</v>
      </c>
      <c r="D1141" s="3">
        <v>450000</v>
      </c>
      <c r="E1141" s="1">
        <f>datos_limpios[[#This Row],[Price INR   ]]*0.011</f>
        <v>4950</v>
      </c>
      <c r="F1141" s="13">
        <v>2015</v>
      </c>
      <c r="G1141" s="2">
        <v>52000</v>
      </c>
      <c r="H1141" s="8" t="s">
        <v>12</v>
      </c>
      <c r="I1141" s="8" t="s">
        <v>13</v>
      </c>
      <c r="J1141" s="8" t="s">
        <v>20</v>
      </c>
      <c r="K1141" t="s">
        <v>26</v>
      </c>
      <c r="L1141" t="s">
        <v>92</v>
      </c>
      <c r="M1141" s="2">
        <f>VALUE(MID(L1141,1,FIND("@",L1141)-6))</f>
        <v>85</v>
      </c>
      <c r="N1141">
        <v>5</v>
      </c>
      <c r="O1141" t="str">
        <f>IF(datos_limpios[[#This Row],[Seating Capacity ]]&gt;4,"SI","NO")</f>
        <v>SI</v>
      </c>
      <c r="P1141">
        <v>42</v>
      </c>
    </row>
    <row r="1142" spans="1:16" x14ac:dyDescent="0.3">
      <c r="A1142" s="8" t="s">
        <v>17</v>
      </c>
      <c r="B1142" s="8" t="s">
        <v>259</v>
      </c>
      <c r="C1142" s="9">
        <v>1142</v>
      </c>
      <c r="D1142" s="3">
        <v>455000</v>
      </c>
      <c r="E1142" s="1">
        <f>datos_limpios[[#This Row],[Price INR   ]]*0.011</f>
        <v>5005</v>
      </c>
      <c r="F1142" s="13">
        <v>2014</v>
      </c>
      <c r="G1142" s="2">
        <v>30183</v>
      </c>
      <c r="H1142" s="8" t="s">
        <v>12</v>
      </c>
      <c r="I1142" s="8" t="s">
        <v>13</v>
      </c>
      <c r="J1142" s="8" t="s">
        <v>14</v>
      </c>
      <c r="K1142" t="s">
        <v>26</v>
      </c>
      <c r="L1142" t="s">
        <v>92</v>
      </c>
      <c r="M1142" s="2">
        <f>VALUE(MID(L1142,1,FIND("@",L1142)-6))</f>
        <v>85</v>
      </c>
      <c r="N1142">
        <v>5</v>
      </c>
      <c r="O1142" t="str">
        <f>IF(datos_limpios[[#This Row],[Seating Capacity ]]&gt;4,"SI","NO")</f>
        <v>SI</v>
      </c>
      <c r="P1142">
        <v>42</v>
      </c>
    </row>
    <row r="1143" spans="1:16" x14ac:dyDescent="0.3">
      <c r="A1143" s="8" t="s">
        <v>17</v>
      </c>
      <c r="B1143" s="8" t="s">
        <v>252</v>
      </c>
      <c r="C1143" s="9">
        <v>1143</v>
      </c>
      <c r="D1143" s="3">
        <v>459999</v>
      </c>
      <c r="E1143" s="1">
        <f>datos_limpios[[#This Row],[Price INR   ]]*0.011</f>
        <v>5059.9889999999996</v>
      </c>
      <c r="F1143" s="13">
        <v>2013</v>
      </c>
      <c r="G1143" s="2">
        <v>77000</v>
      </c>
      <c r="H1143" s="8" t="s">
        <v>19</v>
      </c>
      <c r="I1143" s="8" t="s">
        <v>13</v>
      </c>
      <c r="J1143" s="8" t="s">
        <v>20</v>
      </c>
      <c r="K1143" t="s">
        <v>21</v>
      </c>
      <c r="L1143" t="s">
        <v>140</v>
      </c>
      <c r="M1143" s="2">
        <f>VALUE(MID(L1143,1,FIND("@",L1143)-6))</f>
        <v>89</v>
      </c>
      <c r="N1143">
        <v>7</v>
      </c>
      <c r="O1143" t="str">
        <f>IF(datos_limpios[[#This Row],[Seating Capacity ]]&gt;4,"SI","NO")</f>
        <v>SI</v>
      </c>
      <c r="P1143">
        <v>45</v>
      </c>
    </row>
    <row r="1144" spans="1:16" x14ac:dyDescent="0.3">
      <c r="A1144" s="8" t="s">
        <v>17</v>
      </c>
      <c r="B1144" s="8" t="s">
        <v>18</v>
      </c>
      <c r="C1144" s="9">
        <v>1144</v>
      </c>
      <c r="D1144" s="3">
        <v>459999</v>
      </c>
      <c r="E1144" s="1">
        <f>datos_limpios[[#This Row],[Price INR   ]]*0.011</f>
        <v>5059.9889999999996</v>
      </c>
      <c r="F1144" s="13">
        <v>2015</v>
      </c>
      <c r="G1144" s="2">
        <v>55000</v>
      </c>
      <c r="H1144" s="8" t="s">
        <v>19</v>
      </c>
      <c r="I1144" s="8" t="s">
        <v>13</v>
      </c>
      <c r="J1144" s="8" t="s">
        <v>77</v>
      </c>
      <c r="K1144" t="s">
        <v>21</v>
      </c>
      <c r="L1144" t="s">
        <v>22</v>
      </c>
      <c r="M1144" s="2">
        <f>VALUE(MID(L1144,1,FIND("@",L1144)-6))</f>
        <v>74</v>
      </c>
      <c r="N1144">
        <v>5</v>
      </c>
      <c r="O1144" t="str">
        <f>IF(datos_limpios[[#This Row],[Seating Capacity ]]&gt;4,"SI","NO")</f>
        <v>SI</v>
      </c>
      <c r="P1144">
        <v>42</v>
      </c>
    </row>
    <row r="1145" spans="1:16" x14ac:dyDescent="0.3">
      <c r="A1145" s="8" t="s">
        <v>17</v>
      </c>
      <c r="B1145" s="8" t="s">
        <v>655</v>
      </c>
      <c r="C1145" s="9">
        <v>1145</v>
      </c>
      <c r="D1145" s="3">
        <v>465000</v>
      </c>
      <c r="E1145" s="1">
        <f>datos_limpios[[#This Row],[Price INR   ]]*0.011</f>
        <v>5115</v>
      </c>
      <c r="F1145" s="13">
        <v>2014</v>
      </c>
      <c r="G1145" s="2">
        <v>25704</v>
      </c>
      <c r="H1145" s="8" t="s">
        <v>12</v>
      </c>
      <c r="I1145" s="8" t="s">
        <v>13</v>
      </c>
      <c r="J1145" s="8" t="s">
        <v>30</v>
      </c>
      <c r="K1145" t="s">
        <v>26</v>
      </c>
      <c r="L1145" t="s">
        <v>92</v>
      </c>
      <c r="M1145" s="2">
        <f>VALUE(MID(L1145,1,FIND("@",L1145)-6))</f>
        <v>85</v>
      </c>
      <c r="N1145">
        <v>5</v>
      </c>
      <c r="O1145" t="str">
        <f>IF(datos_limpios[[#This Row],[Seating Capacity ]]&gt;4,"SI","NO")</f>
        <v>SI</v>
      </c>
      <c r="P1145">
        <v>42</v>
      </c>
    </row>
    <row r="1146" spans="1:16" x14ac:dyDescent="0.3">
      <c r="A1146" s="8" t="s">
        <v>17</v>
      </c>
      <c r="B1146" s="8" t="s">
        <v>494</v>
      </c>
      <c r="C1146" s="9">
        <v>1146</v>
      </c>
      <c r="D1146" s="3">
        <v>465000</v>
      </c>
      <c r="E1146" s="1">
        <f>datos_limpios[[#This Row],[Price INR   ]]*0.011</f>
        <v>5115</v>
      </c>
      <c r="F1146" s="13">
        <v>2014</v>
      </c>
      <c r="G1146" s="2">
        <v>75000</v>
      </c>
      <c r="H1146" s="8" t="s">
        <v>12</v>
      </c>
      <c r="I1146" s="8" t="s">
        <v>13</v>
      </c>
      <c r="J1146" s="8" t="s">
        <v>20</v>
      </c>
      <c r="K1146" t="s">
        <v>26</v>
      </c>
      <c r="L1146" t="s">
        <v>92</v>
      </c>
      <c r="M1146" s="2">
        <f>VALUE(MID(L1146,1,FIND("@",L1146)-6))</f>
        <v>85</v>
      </c>
      <c r="N1146">
        <v>5</v>
      </c>
      <c r="O1146" t="str">
        <f>IF(datos_limpios[[#This Row],[Seating Capacity ]]&gt;4,"SI","NO")</f>
        <v>SI</v>
      </c>
      <c r="P1146">
        <v>42</v>
      </c>
    </row>
    <row r="1147" spans="1:16" x14ac:dyDescent="0.3">
      <c r="A1147" s="8" t="s">
        <v>17</v>
      </c>
      <c r="B1147" s="8" t="s">
        <v>259</v>
      </c>
      <c r="C1147" s="9">
        <v>1147</v>
      </c>
      <c r="D1147" s="3">
        <v>465000</v>
      </c>
      <c r="E1147" s="1">
        <f>datos_limpios[[#This Row],[Price INR   ]]*0.011</f>
        <v>5115</v>
      </c>
      <c r="F1147" s="13">
        <v>2014</v>
      </c>
      <c r="G1147" s="2">
        <v>65000</v>
      </c>
      <c r="H1147" s="8" t="s">
        <v>12</v>
      </c>
      <c r="I1147" s="8" t="s">
        <v>13</v>
      </c>
      <c r="J1147" s="8" t="s">
        <v>20</v>
      </c>
      <c r="K1147" t="s">
        <v>26</v>
      </c>
      <c r="L1147" t="s">
        <v>92</v>
      </c>
      <c r="M1147" s="2">
        <f>VALUE(MID(L1147,1,FIND("@",L1147)-6))</f>
        <v>85</v>
      </c>
      <c r="N1147">
        <v>5</v>
      </c>
      <c r="O1147" t="str">
        <f>IF(datos_limpios[[#This Row],[Seating Capacity ]]&gt;4,"SI","NO")</f>
        <v>SI</v>
      </c>
      <c r="P1147">
        <v>42</v>
      </c>
    </row>
    <row r="1148" spans="1:16" x14ac:dyDescent="0.3">
      <c r="A1148" s="8" t="s">
        <v>17</v>
      </c>
      <c r="B1148" s="8" t="s">
        <v>80</v>
      </c>
      <c r="C1148" s="9">
        <v>1148</v>
      </c>
      <c r="D1148" s="3">
        <v>470000</v>
      </c>
      <c r="E1148" s="1">
        <f>datos_limpios[[#This Row],[Price INR   ]]*0.011</f>
        <v>5170</v>
      </c>
      <c r="F1148" s="13">
        <v>2020</v>
      </c>
      <c r="G1148" s="2">
        <v>2169</v>
      </c>
      <c r="H1148" s="8" t="s">
        <v>12</v>
      </c>
      <c r="I1148" s="8" t="s">
        <v>40</v>
      </c>
      <c r="J1148" s="8" t="s">
        <v>14</v>
      </c>
      <c r="K1148" t="s">
        <v>69</v>
      </c>
      <c r="L1148" t="s">
        <v>55</v>
      </c>
      <c r="M1148" s="2">
        <f>VALUE(MID(L1148,1,FIND("@",L1148)-6))</f>
        <v>67</v>
      </c>
      <c r="N1148">
        <v>5</v>
      </c>
      <c r="O1148" t="str">
        <f>IF(datos_limpios[[#This Row],[Seating Capacity ]]&gt;4,"SI","NO")</f>
        <v>SI</v>
      </c>
      <c r="P1148">
        <v>27</v>
      </c>
    </row>
    <row r="1149" spans="1:16" x14ac:dyDescent="0.3">
      <c r="A1149" s="8" t="s">
        <v>17</v>
      </c>
      <c r="B1149" s="8" t="s">
        <v>259</v>
      </c>
      <c r="C1149" s="9">
        <v>1149</v>
      </c>
      <c r="D1149" s="3">
        <v>470000</v>
      </c>
      <c r="E1149" s="1">
        <f>datos_limpios[[#This Row],[Price INR   ]]*0.011</f>
        <v>5170</v>
      </c>
      <c r="F1149" s="13">
        <v>2016</v>
      </c>
      <c r="G1149" s="2">
        <v>74000</v>
      </c>
      <c r="H1149" s="8" t="s">
        <v>12</v>
      </c>
      <c r="I1149" s="8" t="s">
        <v>13</v>
      </c>
      <c r="J1149" s="8" t="s">
        <v>20</v>
      </c>
      <c r="K1149" t="s">
        <v>26</v>
      </c>
      <c r="L1149" t="s">
        <v>137</v>
      </c>
      <c r="M1149" s="2">
        <f>VALUE(MID(L1149,1,FIND("@",L1149)-6))</f>
        <v>83</v>
      </c>
      <c r="N1149">
        <v>5</v>
      </c>
      <c r="O1149" t="str">
        <f>IF(datos_limpios[[#This Row],[Seating Capacity ]]&gt;4,"SI","NO")</f>
        <v>SI</v>
      </c>
      <c r="P1149">
        <v>42</v>
      </c>
    </row>
    <row r="1150" spans="1:16" x14ac:dyDescent="0.3">
      <c r="A1150" s="8" t="s">
        <v>17</v>
      </c>
      <c r="B1150" s="8" t="s">
        <v>18</v>
      </c>
      <c r="C1150" s="9">
        <v>1150</v>
      </c>
      <c r="D1150" s="3">
        <v>475000</v>
      </c>
      <c r="E1150" s="1">
        <f>datos_limpios[[#This Row],[Price INR   ]]*0.011</f>
        <v>5225</v>
      </c>
      <c r="F1150" s="13">
        <v>2016</v>
      </c>
      <c r="G1150" s="2">
        <v>55353</v>
      </c>
      <c r="H1150" s="8" t="s">
        <v>19</v>
      </c>
      <c r="I1150" s="8" t="s">
        <v>13</v>
      </c>
      <c r="J1150" s="8" t="s">
        <v>14</v>
      </c>
      <c r="K1150" t="s">
        <v>21</v>
      </c>
      <c r="L1150" t="s">
        <v>22</v>
      </c>
      <c r="M1150" s="2">
        <f>VALUE(MID(L1150,1,FIND("@",L1150)-6))</f>
        <v>74</v>
      </c>
      <c r="N1150">
        <v>5</v>
      </c>
      <c r="O1150" t="str">
        <f>IF(datos_limpios[[#This Row],[Seating Capacity ]]&gt;4,"SI","NO")</f>
        <v>SI</v>
      </c>
      <c r="P1150">
        <v>42</v>
      </c>
    </row>
    <row r="1151" spans="1:16" x14ac:dyDescent="0.3">
      <c r="A1151" s="8" t="s">
        <v>17</v>
      </c>
      <c r="B1151" s="8" t="s">
        <v>965</v>
      </c>
      <c r="C1151" s="9">
        <v>1151</v>
      </c>
      <c r="D1151" s="3">
        <v>475000</v>
      </c>
      <c r="E1151" s="1">
        <f>datos_limpios[[#This Row],[Price INR   ]]*0.011</f>
        <v>5225</v>
      </c>
      <c r="F1151" s="13">
        <v>2019</v>
      </c>
      <c r="G1151" s="2">
        <v>25000</v>
      </c>
      <c r="H1151" s="8" t="s">
        <v>12</v>
      </c>
      <c r="I1151" s="8" t="s">
        <v>13</v>
      </c>
      <c r="J1151" s="8" t="s">
        <v>14</v>
      </c>
      <c r="K1151" t="s">
        <v>69</v>
      </c>
      <c r="L1151" t="s">
        <v>70</v>
      </c>
      <c r="M1151" s="2">
        <f>VALUE(MID(L1151,1,FIND("@",L1151)-6))</f>
        <v>67</v>
      </c>
      <c r="N1151">
        <v>5</v>
      </c>
      <c r="O1151" t="str">
        <f>IF(datos_limpios[[#This Row],[Seating Capacity ]]&gt;4,"SI","NO")</f>
        <v>SI</v>
      </c>
      <c r="P1151">
        <v>35</v>
      </c>
    </row>
    <row r="1152" spans="1:16" x14ac:dyDescent="0.3">
      <c r="A1152" s="8" t="s">
        <v>17</v>
      </c>
      <c r="B1152" s="8" t="s">
        <v>343</v>
      </c>
      <c r="C1152" s="9">
        <v>1152</v>
      </c>
      <c r="D1152" s="3">
        <v>475000</v>
      </c>
      <c r="E1152" s="1">
        <f>datos_limpios[[#This Row],[Price INR   ]]*0.011</f>
        <v>5225</v>
      </c>
      <c r="F1152" s="13">
        <v>2021</v>
      </c>
      <c r="G1152" s="2">
        <v>7942</v>
      </c>
      <c r="H1152" s="8" t="s">
        <v>12</v>
      </c>
      <c r="I1152" s="8" t="s">
        <v>13</v>
      </c>
      <c r="J1152" s="8" t="s">
        <v>30</v>
      </c>
      <c r="K1152" t="s">
        <v>69</v>
      </c>
      <c r="L1152" t="s">
        <v>55</v>
      </c>
      <c r="M1152" s="2">
        <f>VALUE(MID(L1152,1,FIND("@",L1152)-6))</f>
        <v>67</v>
      </c>
      <c r="N1152">
        <v>5</v>
      </c>
      <c r="O1152" t="str">
        <f>IF(datos_limpios[[#This Row],[Seating Capacity ]]&gt;4,"SI","NO")</f>
        <v>SI</v>
      </c>
      <c r="P1152">
        <v>27</v>
      </c>
    </row>
    <row r="1153" spans="1:16" x14ac:dyDescent="0.3">
      <c r="A1153" s="8" t="s">
        <v>17</v>
      </c>
      <c r="B1153" s="8" t="s">
        <v>206</v>
      </c>
      <c r="C1153" s="9">
        <v>1153</v>
      </c>
      <c r="D1153" s="3">
        <v>475000</v>
      </c>
      <c r="E1153" s="1">
        <f>datos_limpios[[#This Row],[Price INR   ]]*0.011</f>
        <v>5225</v>
      </c>
      <c r="F1153" s="13">
        <v>2015</v>
      </c>
      <c r="G1153" s="2">
        <v>48000</v>
      </c>
      <c r="H1153" s="8" t="s">
        <v>12</v>
      </c>
      <c r="I1153" s="8" t="s">
        <v>13</v>
      </c>
      <c r="J1153" s="8" t="s">
        <v>14</v>
      </c>
      <c r="K1153" t="s">
        <v>26</v>
      </c>
      <c r="L1153" t="s">
        <v>137</v>
      </c>
      <c r="M1153" s="2">
        <f>VALUE(MID(L1153,1,FIND("@",L1153)-6))</f>
        <v>83</v>
      </c>
      <c r="N1153">
        <v>5</v>
      </c>
      <c r="O1153" t="str">
        <f>IF(datos_limpios[[#This Row],[Seating Capacity ]]&gt;4,"SI","NO")</f>
        <v>SI</v>
      </c>
      <c r="P1153">
        <v>37</v>
      </c>
    </row>
    <row r="1154" spans="1:16" x14ac:dyDescent="0.3">
      <c r="A1154" s="8" t="s">
        <v>17</v>
      </c>
      <c r="B1154" s="8" t="s">
        <v>981</v>
      </c>
      <c r="C1154" s="9">
        <v>1154</v>
      </c>
      <c r="D1154" s="3">
        <v>480000</v>
      </c>
      <c r="E1154" s="1">
        <f>datos_limpios[[#This Row],[Price INR   ]]*0.011</f>
        <v>5280</v>
      </c>
      <c r="F1154" s="13">
        <v>2016</v>
      </c>
      <c r="G1154" s="2">
        <v>85000</v>
      </c>
      <c r="H1154" s="8" t="s">
        <v>19</v>
      </c>
      <c r="I1154" s="8" t="s">
        <v>13</v>
      </c>
      <c r="J1154" s="8" t="s">
        <v>20</v>
      </c>
      <c r="K1154" t="s">
        <v>21</v>
      </c>
      <c r="L1154" t="s">
        <v>22</v>
      </c>
      <c r="M1154" s="2">
        <f>VALUE(MID(L1154,1,FIND("@",L1154)-6))</f>
        <v>74</v>
      </c>
      <c r="N1154">
        <v>5</v>
      </c>
      <c r="O1154" t="str">
        <f>IF(datos_limpios[[#This Row],[Seating Capacity ]]&gt;4,"SI","NO")</f>
        <v>SI</v>
      </c>
      <c r="P1154">
        <v>42</v>
      </c>
    </row>
    <row r="1155" spans="1:16" x14ac:dyDescent="0.3">
      <c r="A1155" s="8" t="s">
        <v>17</v>
      </c>
      <c r="B1155" s="8" t="s">
        <v>589</v>
      </c>
      <c r="C1155" s="9">
        <v>1155</v>
      </c>
      <c r="D1155" s="3">
        <v>480000</v>
      </c>
      <c r="E1155" s="1">
        <f>datos_limpios[[#This Row],[Price INR   ]]*0.011</f>
        <v>5280</v>
      </c>
      <c r="F1155" s="13">
        <v>2021</v>
      </c>
      <c r="G1155" s="2">
        <v>14000</v>
      </c>
      <c r="H1155" s="8" t="s">
        <v>89</v>
      </c>
      <c r="I1155" s="8" t="s">
        <v>13</v>
      </c>
      <c r="J1155" s="8" t="s">
        <v>14</v>
      </c>
      <c r="K1155" t="s">
        <v>72</v>
      </c>
      <c r="L1155" t="s">
        <v>73</v>
      </c>
      <c r="M1155" s="2">
        <f>VALUE(MID(L1155,1,FIND("@",L1155)-6))</f>
        <v>47</v>
      </c>
      <c r="N1155">
        <v>5</v>
      </c>
      <c r="O1155" t="str">
        <f>IF(datos_limpios[[#This Row],[Seating Capacity ]]&gt;4,"SI","NO")</f>
        <v>SI</v>
      </c>
      <c r="P1155">
        <v>35</v>
      </c>
    </row>
    <row r="1156" spans="1:16" x14ac:dyDescent="0.3">
      <c r="A1156" s="8" t="s">
        <v>17</v>
      </c>
      <c r="B1156" s="8" t="s">
        <v>136</v>
      </c>
      <c r="C1156" s="9">
        <v>1156</v>
      </c>
      <c r="D1156" s="3">
        <v>484999</v>
      </c>
      <c r="E1156" s="1">
        <f>datos_limpios[[#This Row],[Price INR   ]]*0.011</f>
        <v>5334.9889999999996</v>
      </c>
      <c r="F1156" s="13">
        <v>2018</v>
      </c>
      <c r="G1156" s="2">
        <v>62000</v>
      </c>
      <c r="H1156" s="8" t="s">
        <v>12</v>
      </c>
      <c r="I1156" s="8" t="s">
        <v>13</v>
      </c>
      <c r="J1156" s="8" t="s">
        <v>77</v>
      </c>
      <c r="K1156" t="s">
        <v>26</v>
      </c>
      <c r="L1156" t="s">
        <v>137</v>
      </c>
      <c r="M1156" s="2">
        <f>VALUE(MID(L1156,1,FIND("@",L1156)-6))</f>
        <v>83</v>
      </c>
      <c r="N1156">
        <v>5</v>
      </c>
      <c r="O1156" t="str">
        <f>IF(datos_limpios[[#This Row],[Seating Capacity ]]&gt;4,"SI","NO")</f>
        <v>SI</v>
      </c>
      <c r="P1156">
        <v>37</v>
      </c>
    </row>
    <row r="1157" spans="1:16" x14ac:dyDescent="0.3">
      <c r="A1157" s="8" t="s">
        <v>17</v>
      </c>
      <c r="B1157" s="8" t="s">
        <v>568</v>
      </c>
      <c r="C1157" s="9">
        <v>1157</v>
      </c>
      <c r="D1157" s="3">
        <v>484999</v>
      </c>
      <c r="E1157" s="1">
        <f>datos_limpios[[#This Row],[Price INR   ]]*0.011</f>
        <v>5334.9889999999996</v>
      </c>
      <c r="F1157" s="13">
        <v>2018</v>
      </c>
      <c r="G1157" s="2">
        <v>44000</v>
      </c>
      <c r="H1157" s="8" t="s">
        <v>12</v>
      </c>
      <c r="I1157" s="8" t="s">
        <v>40</v>
      </c>
      <c r="J1157" s="8" t="s">
        <v>14</v>
      </c>
      <c r="K1157" t="s">
        <v>69</v>
      </c>
      <c r="L1157" t="s">
        <v>70</v>
      </c>
      <c r="M1157" s="2">
        <f>VALUE(MID(L1157,1,FIND("@",L1157)-6))</f>
        <v>67</v>
      </c>
      <c r="N1157">
        <v>5</v>
      </c>
      <c r="O1157" t="str">
        <f>IF(datos_limpios[[#This Row],[Seating Capacity ]]&gt;4,"SI","NO")</f>
        <v>SI</v>
      </c>
      <c r="P1157">
        <v>35</v>
      </c>
    </row>
    <row r="1158" spans="1:16" x14ac:dyDescent="0.3">
      <c r="A1158" s="8" t="s">
        <v>17</v>
      </c>
      <c r="B1158" s="8" t="s">
        <v>206</v>
      </c>
      <c r="C1158" s="9">
        <v>1158</v>
      </c>
      <c r="D1158" s="3">
        <v>490000</v>
      </c>
      <c r="E1158" s="1">
        <f>datos_limpios[[#This Row],[Price INR   ]]*0.011</f>
        <v>5390</v>
      </c>
      <c r="F1158" s="13">
        <v>2017</v>
      </c>
      <c r="G1158" s="2">
        <v>82000</v>
      </c>
      <c r="H1158" s="8" t="s">
        <v>12</v>
      </c>
      <c r="I1158" s="8" t="s">
        <v>13</v>
      </c>
      <c r="J1158" s="8" t="s">
        <v>20</v>
      </c>
      <c r="K1158" t="s">
        <v>26</v>
      </c>
      <c r="L1158" t="s">
        <v>137</v>
      </c>
      <c r="M1158" s="2">
        <f>VALUE(MID(L1158,1,FIND("@",L1158)-6))</f>
        <v>83</v>
      </c>
      <c r="N1158">
        <v>5</v>
      </c>
      <c r="O1158" t="str">
        <f>IF(datos_limpios[[#This Row],[Seating Capacity ]]&gt;4,"SI","NO")</f>
        <v>SI</v>
      </c>
      <c r="P1158">
        <v>37</v>
      </c>
    </row>
    <row r="1159" spans="1:16" x14ac:dyDescent="0.3">
      <c r="A1159" s="8" t="s">
        <v>17</v>
      </c>
      <c r="B1159" s="8" t="s">
        <v>347</v>
      </c>
      <c r="C1159" s="9">
        <v>1159</v>
      </c>
      <c r="D1159" s="3">
        <v>495000</v>
      </c>
      <c r="E1159" s="1">
        <f>datos_limpios[[#This Row],[Price INR   ]]*0.011</f>
        <v>5445</v>
      </c>
      <c r="F1159" s="13">
        <v>2017</v>
      </c>
      <c r="G1159" s="2">
        <v>38258</v>
      </c>
      <c r="H1159" s="8" t="s">
        <v>19</v>
      </c>
      <c r="I1159" s="8" t="s">
        <v>13</v>
      </c>
      <c r="J1159" s="8" t="s">
        <v>20</v>
      </c>
      <c r="K1159" t="s">
        <v>21</v>
      </c>
      <c r="L1159" t="s">
        <v>22</v>
      </c>
      <c r="M1159" s="2">
        <f>VALUE(MID(L1159,1,FIND("@",L1159)-6))</f>
        <v>74</v>
      </c>
      <c r="N1159">
        <v>5</v>
      </c>
      <c r="O1159" t="str">
        <f>IF(datos_limpios[[#This Row],[Seating Capacity ]]&gt;4,"SI","NO")</f>
        <v>SI</v>
      </c>
      <c r="P1159">
        <v>37</v>
      </c>
    </row>
    <row r="1160" spans="1:16" x14ac:dyDescent="0.3">
      <c r="A1160" s="8" t="s">
        <v>17</v>
      </c>
      <c r="B1160" s="8" t="s">
        <v>259</v>
      </c>
      <c r="C1160" s="9">
        <v>1160</v>
      </c>
      <c r="D1160" s="3">
        <v>495000</v>
      </c>
      <c r="E1160" s="1">
        <f>datos_limpios[[#This Row],[Price INR   ]]*0.011</f>
        <v>5445</v>
      </c>
      <c r="F1160" s="13">
        <v>2015</v>
      </c>
      <c r="G1160" s="2">
        <v>13716</v>
      </c>
      <c r="H1160" s="8" t="s">
        <v>12</v>
      </c>
      <c r="I1160" s="8" t="s">
        <v>13</v>
      </c>
      <c r="J1160" s="8" t="s">
        <v>77</v>
      </c>
      <c r="K1160" t="s">
        <v>26</v>
      </c>
      <c r="L1160" t="s">
        <v>92</v>
      </c>
      <c r="M1160" s="2">
        <f>VALUE(MID(L1160,1,FIND("@",L1160)-6))</f>
        <v>85</v>
      </c>
      <c r="N1160">
        <v>5</v>
      </c>
      <c r="O1160" t="str">
        <f>IF(datos_limpios[[#This Row],[Seating Capacity ]]&gt;4,"SI","NO")</f>
        <v>SI</v>
      </c>
      <c r="P1160">
        <v>42</v>
      </c>
    </row>
    <row r="1161" spans="1:16" x14ac:dyDescent="0.3">
      <c r="A1161" s="8" t="s">
        <v>17</v>
      </c>
      <c r="B1161" s="8" t="s">
        <v>498</v>
      </c>
      <c r="C1161" s="9">
        <v>1161</v>
      </c>
      <c r="D1161" s="3">
        <v>500000</v>
      </c>
      <c r="E1161" s="1">
        <f>datos_limpios[[#This Row],[Price INR   ]]*0.011</f>
        <v>5500</v>
      </c>
      <c r="F1161" s="13">
        <v>2017</v>
      </c>
      <c r="G1161" s="2">
        <v>140000</v>
      </c>
      <c r="H1161" s="8" t="s">
        <v>19</v>
      </c>
      <c r="I1161" s="8" t="s">
        <v>13</v>
      </c>
      <c r="J1161" s="8" t="s">
        <v>14</v>
      </c>
      <c r="K1161" t="s">
        <v>21</v>
      </c>
      <c r="L1161" t="s">
        <v>22</v>
      </c>
      <c r="M1161" s="2">
        <f>VALUE(MID(L1161,1,FIND("@",L1161)-6))</f>
        <v>74</v>
      </c>
      <c r="N1161">
        <v>5</v>
      </c>
      <c r="O1161" t="str">
        <f>IF(datos_limpios[[#This Row],[Seating Capacity ]]&gt;4,"SI","NO")</f>
        <v>SI</v>
      </c>
      <c r="P1161">
        <v>42</v>
      </c>
    </row>
    <row r="1162" spans="1:16" x14ac:dyDescent="0.3">
      <c r="A1162" s="8" t="s">
        <v>17</v>
      </c>
      <c r="B1162" s="8" t="s">
        <v>568</v>
      </c>
      <c r="C1162" s="9">
        <v>1162</v>
      </c>
      <c r="D1162" s="3">
        <v>500000</v>
      </c>
      <c r="E1162" s="1">
        <f>datos_limpios[[#This Row],[Price INR   ]]*0.011</f>
        <v>5500</v>
      </c>
      <c r="F1162" s="13">
        <v>2017</v>
      </c>
      <c r="G1162" s="2">
        <v>32000</v>
      </c>
      <c r="H1162" s="8" t="s">
        <v>12</v>
      </c>
      <c r="I1162" s="8" t="s">
        <v>40</v>
      </c>
      <c r="J1162" s="8" t="s">
        <v>62</v>
      </c>
      <c r="K1162" t="s">
        <v>69</v>
      </c>
      <c r="L1162" t="s">
        <v>70</v>
      </c>
      <c r="M1162" s="2">
        <f>VALUE(MID(L1162,1,FIND("@",L1162)-6))</f>
        <v>67</v>
      </c>
      <c r="N1162">
        <v>5</v>
      </c>
      <c r="O1162" t="str">
        <f>IF(datos_limpios[[#This Row],[Seating Capacity ]]&gt;4,"SI","NO")</f>
        <v>SI</v>
      </c>
      <c r="P1162">
        <v>35</v>
      </c>
    </row>
    <row r="1163" spans="1:16" x14ac:dyDescent="0.3">
      <c r="A1163" s="8" t="s">
        <v>17</v>
      </c>
      <c r="B1163" s="8" t="s">
        <v>259</v>
      </c>
      <c r="C1163" s="9">
        <v>1163</v>
      </c>
      <c r="D1163" s="3">
        <v>500000</v>
      </c>
      <c r="E1163" s="1">
        <f>datos_limpios[[#This Row],[Price INR   ]]*0.011</f>
        <v>5500</v>
      </c>
      <c r="F1163" s="13">
        <v>2016</v>
      </c>
      <c r="G1163" s="2">
        <v>26000</v>
      </c>
      <c r="H1163" s="8" t="s">
        <v>12</v>
      </c>
      <c r="I1163" s="8" t="s">
        <v>13</v>
      </c>
      <c r="J1163" s="8" t="s">
        <v>20</v>
      </c>
      <c r="K1163" t="s">
        <v>26</v>
      </c>
      <c r="L1163" t="s">
        <v>137</v>
      </c>
      <c r="M1163" s="2">
        <f>VALUE(MID(L1163,1,FIND("@",L1163)-6))</f>
        <v>83</v>
      </c>
      <c r="N1163">
        <v>5</v>
      </c>
      <c r="O1163" t="str">
        <f>IF(datos_limpios[[#This Row],[Seating Capacity ]]&gt;4,"SI","NO")</f>
        <v>SI</v>
      </c>
      <c r="P1163">
        <v>42</v>
      </c>
    </row>
    <row r="1164" spans="1:16" x14ac:dyDescent="0.3">
      <c r="A1164" s="8" t="s">
        <v>17</v>
      </c>
      <c r="B1164" s="8" t="s">
        <v>18</v>
      </c>
      <c r="C1164" s="9">
        <v>1164</v>
      </c>
      <c r="D1164" s="3">
        <v>500000</v>
      </c>
      <c r="E1164" s="1">
        <f>datos_limpios[[#This Row],[Price INR   ]]*0.011</f>
        <v>5500</v>
      </c>
      <c r="F1164" s="13">
        <v>2015</v>
      </c>
      <c r="G1164" s="2">
        <v>50000</v>
      </c>
      <c r="H1164" s="8" t="s">
        <v>19</v>
      </c>
      <c r="I1164" s="8" t="s">
        <v>13</v>
      </c>
      <c r="J1164" s="8" t="s">
        <v>77</v>
      </c>
      <c r="K1164" t="s">
        <v>21</v>
      </c>
      <c r="L1164" t="s">
        <v>22</v>
      </c>
      <c r="M1164" s="2">
        <f>VALUE(MID(L1164,1,FIND("@",L1164)-6))</f>
        <v>74</v>
      </c>
      <c r="N1164">
        <v>5</v>
      </c>
      <c r="O1164" t="str">
        <f>IF(datos_limpios[[#This Row],[Seating Capacity ]]&gt;4,"SI","NO")</f>
        <v>SI</v>
      </c>
      <c r="P1164">
        <v>42</v>
      </c>
    </row>
    <row r="1165" spans="1:16" x14ac:dyDescent="0.3">
      <c r="A1165" s="8" t="s">
        <v>17</v>
      </c>
      <c r="B1165" s="8" t="s">
        <v>18</v>
      </c>
      <c r="C1165" s="9">
        <v>1165</v>
      </c>
      <c r="D1165" s="3">
        <v>500000</v>
      </c>
      <c r="E1165" s="1">
        <f>datos_limpios[[#This Row],[Price INR   ]]*0.011</f>
        <v>5500</v>
      </c>
      <c r="F1165" s="13">
        <v>2015</v>
      </c>
      <c r="G1165" s="2">
        <v>90000</v>
      </c>
      <c r="H1165" s="8" t="s">
        <v>19</v>
      </c>
      <c r="I1165" s="8" t="s">
        <v>13</v>
      </c>
      <c r="J1165" s="8" t="s">
        <v>20</v>
      </c>
      <c r="K1165" t="s">
        <v>21</v>
      </c>
      <c r="L1165" t="s">
        <v>22</v>
      </c>
      <c r="M1165" s="2">
        <f>VALUE(MID(L1165,1,FIND("@",L1165)-6))</f>
        <v>74</v>
      </c>
      <c r="N1165">
        <v>5</v>
      </c>
      <c r="O1165" t="str">
        <f>IF(datos_limpios[[#This Row],[Seating Capacity ]]&gt;4,"SI","NO")</f>
        <v>SI</v>
      </c>
      <c r="P1165">
        <v>42</v>
      </c>
    </row>
    <row r="1166" spans="1:16" x14ac:dyDescent="0.3">
      <c r="A1166" s="8" t="s">
        <v>17</v>
      </c>
      <c r="B1166" s="8" t="s">
        <v>170</v>
      </c>
      <c r="C1166" s="9">
        <v>1166</v>
      </c>
      <c r="D1166" s="3">
        <v>509999</v>
      </c>
      <c r="E1166" s="1">
        <f>datos_limpios[[#This Row],[Price INR   ]]*0.011</f>
        <v>5609.9889999999996</v>
      </c>
      <c r="F1166" s="13">
        <v>2019</v>
      </c>
      <c r="G1166" s="2">
        <v>40000</v>
      </c>
      <c r="H1166" s="8" t="s">
        <v>12</v>
      </c>
      <c r="I1166" s="8" t="s">
        <v>13</v>
      </c>
      <c r="J1166" s="8" t="s">
        <v>77</v>
      </c>
      <c r="K1166" t="s">
        <v>171</v>
      </c>
      <c r="L1166" t="s">
        <v>172</v>
      </c>
      <c r="M1166" s="2">
        <f>VALUE(MID(L1166,1,FIND("@",L1166)-6))</f>
        <v>73</v>
      </c>
      <c r="N1166">
        <v>7</v>
      </c>
      <c r="O1166" t="str">
        <f>IF(datos_limpios[[#This Row],[Seating Capacity ]]&gt;4,"SI","NO")</f>
        <v>SI</v>
      </c>
      <c r="P1166">
        <v>40</v>
      </c>
    </row>
    <row r="1167" spans="1:16" x14ac:dyDescent="0.3">
      <c r="A1167" s="8" t="s">
        <v>17</v>
      </c>
      <c r="B1167" s="8" t="s">
        <v>1085</v>
      </c>
      <c r="C1167" s="9">
        <v>1167</v>
      </c>
      <c r="D1167" s="3">
        <v>509999</v>
      </c>
      <c r="E1167" s="1">
        <f>datos_limpios[[#This Row],[Price INR   ]]*0.011</f>
        <v>5609.9889999999996</v>
      </c>
      <c r="F1167" s="13">
        <v>2015</v>
      </c>
      <c r="G1167" s="2">
        <v>42000</v>
      </c>
      <c r="H1167" s="8" t="s">
        <v>12</v>
      </c>
      <c r="I1167" s="8" t="s">
        <v>13</v>
      </c>
      <c r="J1167" s="8" t="s">
        <v>20</v>
      </c>
      <c r="K1167" t="s">
        <v>69</v>
      </c>
      <c r="L1167" t="s">
        <v>70</v>
      </c>
      <c r="M1167" s="2">
        <f>VALUE(MID(L1167,1,FIND("@",L1167)-6))</f>
        <v>67</v>
      </c>
      <c r="N1167">
        <v>5</v>
      </c>
      <c r="O1167" t="str">
        <f>IF(datos_limpios[[#This Row],[Seating Capacity ]]&gt;4,"SI","NO")</f>
        <v>SI</v>
      </c>
      <c r="P1167">
        <v>35</v>
      </c>
    </row>
    <row r="1168" spans="1:16" x14ac:dyDescent="0.3">
      <c r="A1168" s="8" t="s">
        <v>17</v>
      </c>
      <c r="B1168" s="8" t="s">
        <v>1341</v>
      </c>
      <c r="C1168" s="9">
        <v>1168</v>
      </c>
      <c r="D1168" s="3">
        <v>509999</v>
      </c>
      <c r="E1168" s="1">
        <f>datos_limpios[[#This Row],[Price INR   ]]*0.011</f>
        <v>5609.9889999999996</v>
      </c>
      <c r="F1168" s="13">
        <v>2019</v>
      </c>
      <c r="G1168" s="2">
        <v>48000</v>
      </c>
      <c r="H1168" s="8" t="s">
        <v>12</v>
      </c>
      <c r="I1168" s="8" t="s">
        <v>13</v>
      </c>
      <c r="J1168" s="8" t="s">
        <v>20</v>
      </c>
      <c r="K1168" t="s">
        <v>69</v>
      </c>
      <c r="L1168" t="s">
        <v>70</v>
      </c>
      <c r="M1168" s="2">
        <f>VALUE(MID(L1168,1,FIND("@",L1168)-6))</f>
        <v>67</v>
      </c>
      <c r="N1168">
        <v>5</v>
      </c>
      <c r="O1168" t="str">
        <f>IF(datos_limpios[[#This Row],[Seating Capacity ]]&gt;4,"SI","NO")</f>
        <v>SI</v>
      </c>
      <c r="P1168">
        <v>35</v>
      </c>
    </row>
    <row r="1169" spans="1:16" x14ac:dyDescent="0.3">
      <c r="A1169" s="8" t="s">
        <v>17</v>
      </c>
      <c r="B1169" s="8" t="s">
        <v>141</v>
      </c>
      <c r="C1169" s="9">
        <v>1169</v>
      </c>
      <c r="D1169" s="3">
        <v>511000</v>
      </c>
      <c r="E1169" s="1">
        <f>datos_limpios[[#This Row],[Price INR   ]]*0.011</f>
        <v>5621</v>
      </c>
      <c r="F1169" s="13">
        <v>2015</v>
      </c>
      <c r="G1169" s="2">
        <v>45969</v>
      </c>
      <c r="H1169" s="8" t="s">
        <v>12</v>
      </c>
      <c r="I1169" s="8" t="s">
        <v>13</v>
      </c>
      <c r="J1169" s="8" t="s">
        <v>77</v>
      </c>
      <c r="K1169" t="s">
        <v>36</v>
      </c>
      <c r="L1169" t="s">
        <v>37</v>
      </c>
      <c r="M1169" s="2">
        <f>VALUE(MID(L1169,1,FIND("@",L1169)-6))</f>
        <v>91</v>
      </c>
      <c r="N1169">
        <v>5</v>
      </c>
      <c r="O1169" t="str">
        <f>IF(datos_limpios[[#This Row],[Seating Capacity ]]&gt;4,"SI","NO")</f>
        <v>SI</v>
      </c>
      <c r="P1169">
        <v>43</v>
      </c>
    </row>
    <row r="1170" spans="1:16" x14ac:dyDescent="0.3">
      <c r="A1170" s="8" t="s">
        <v>17</v>
      </c>
      <c r="B1170" s="8" t="s">
        <v>170</v>
      </c>
      <c r="C1170" s="9">
        <v>1170</v>
      </c>
      <c r="D1170" s="3">
        <v>515000</v>
      </c>
      <c r="E1170" s="1">
        <f>datos_limpios[[#This Row],[Price INR   ]]*0.011</f>
        <v>5665</v>
      </c>
      <c r="F1170" s="13">
        <v>2019</v>
      </c>
      <c r="G1170" s="2">
        <v>40310</v>
      </c>
      <c r="H1170" s="8" t="s">
        <v>12</v>
      </c>
      <c r="I1170" s="8" t="s">
        <v>13</v>
      </c>
      <c r="J1170" s="8" t="s">
        <v>14</v>
      </c>
      <c r="K1170" t="s">
        <v>171</v>
      </c>
      <c r="L1170" t="s">
        <v>172</v>
      </c>
      <c r="M1170" s="2">
        <f>VALUE(MID(L1170,1,FIND("@",L1170)-6))</f>
        <v>73</v>
      </c>
      <c r="N1170">
        <v>7</v>
      </c>
      <c r="O1170" t="str">
        <f>IF(datos_limpios[[#This Row],[Seating Capacity ]]&gt;4,"SI","NO")</f>
        <v>SI</v>
      </c>
      <c r="P1170">
        <v>40</v>
      </c>
    </row>
    <row r="1171" spans="1:16" x14ac:dyDescent="0.3">
      <c r="A1171" s="8" t="s">
        <v>17</v>
      </c>
      <c r="B1171" s="8" t="s">
        <v>498</v>
      </c>
      <c r="C1171" s="9">
        <v>1171</v>
      </c>
      <c r="D1171" s="3">
        <v>515000</v>
      </c>
      <c r="E1171" s="1">
        <f>datos_limpios[[#This Row],[Price INR   ]]*0.011</f>
        <v>5665</v>
      </c>
      <c r="F1171" s="13">
        <v>2014</v>
      </c>
      <c r="G1171" s="2">
        <v>141334</v>
      </c>
      <c r="H1171" s="8" t="s">
        <v>19</v>
      </c>
      <c r="I1171" s="8" t="s">
        <v>13</v>
      </c>
      <c r="J1171" s="8" t="s">
        <v>20</v>
      </c>
      <c r="K1171" t="s">
        <v>21</v>
      </c>
      <c r="L1171" t="s">
        <v>22</v>
      </c>
      <c r="M1171" s="2">
        <f>VALUE(MID(L1171,1,FIND("@",L1171)-6))</f>
        <v>74</v>
      </c>
      <c r="N1171">
        <v>5</v>
      </c>
      <c r="O1171" t="str">
        <f>IF(datos_limpios[[#This Row],[Seating Capacity ]]&gt;4,"SI","NO")</f>
        <v>SI</v>
      </c>
      <c r="P1171">
        <v>42</v>
      </c>
    </row>
    <row r="1172" spans="1:16" x14ac:dyDescent="0.3">
      <c r="A1172" s="8" t="s">
        <v>17</v>
      </c>
      <c r="B1172" s="8" t="s">
        <v>410</v>
      </c>
      <c r="C1172" s="9">
        <v>1172</v>
      </c>
      <c r="D1172" s="3">
        <v>520000</v>
      </c>
      <c r="E1172" s="1">
        <f>datos_limpios[[#This Row],[Price INR   ]]*0.011</f>
        <v>5720</v>
      </c>
      <c r="F1172" s="13">
        <v>2019</v>
      </c>
      <c r="G1172" s="2">
        <v>76000</v>
      </c>
      <c r="H1172" s="8" t="s">
        <v>89</v>
      </c>
      <c r="I1172" s="8" t="s">
        <v>13</v>
      </c>
      <c r="J1172" s="8" t="s">
        <v>20</v>
      </c>
      <c r="K1172" t="s">
        <v>69</v>
      </c>
      <c r="L1172" t="s">
        <v>411</v>
      </c>
      <c r="M1172" s="2">
        <f>VALUE(MID(L1172,1,FIND("@",L1172)-6))</f>
        <v>58</v>
      </c>
      <c r="N1172">
        <v>5</v>
      </c>
      <c r="O1172" t="str">
        <f>IF(datos_limpios[[#This Row],[Seating Capacity ]]&gt;4,"SI","NO")</f>
        <v>SI</v>
      </c>
      <c r="P1172">
        <v>60</v>
      </c>
    </row>
    <row r="1173" spans="1:16" x14ac:dyDescent="0.3">
      <c r="A1173" s="8" t="s">
        <v>17</v>
      </c>
      <c r="B1173" s="8" t="s">
        <v>981</v>
      </c>
      <c r="C1173" s="9">
        <v>1173</v>
      </c>
      <c r="D1173" s="3">
        <v>520000</v>
      </c>
      <c r="E1173" s="1">
        <f>datos_limpios[[#This Row],[Price INR   ]]*0.011</f>
        <v>5720</v>
      </c>
      <c r="F1173" s="13">
        <v>2018</v>
      </c>
      <c r="G1173" s="2">
        <v>46000</v>
      </c>
      <c r="H1173" s="8" t="s">
        <v>19</v>
      </c>
      <c r="I1173" s="8" t="s">
        <v>13</v>
      </c>
      <c r="J1173" s="8" t="s">
        <v>20</v>
      </c>
      <c r="K1173" t="s">
        <v>21</v>
      </c>
      <c r="L1173" t="s">
        <v>22</v>
      </c>
      <c r="M1173" s="2">
        <f>VALUE(MID(L1173,1,FIND("@",L1173)-6))</f>
        <v>74</v>
      </c>
      <c r="N1173">
        <v>5</v>
      </c>
      <c r="O1173" t="str">
        <f>IF(datos_limpios[[#This Row],[Seating Capacity ]]&gt;4,"SI","NO")</f>
        <v>SI</v>
      </c>
      <c r="P1173">
        <v>42</v>
      </c>
    </row>
    <row r="1174" spans="1:16" x14ac:dyDescent="0.3">
      <c r="A1174" s="8" t="s">
        <v>17</v>
      </c>
      <c r="B1174" s="8" t="s">
        <v>520</v>
      </c>
      <c r="C1174" s="9">
        <v>1174</v>
      </c>
      <c r="D1174" s="3">
        <v>520000</v>
      </c>
      <c r="E1174" s="1">
        <f>datos_limpios[[#This Row],[Price INR   ]]*0.011</f>
        <v>5720</v>
      </c>
      <c r="F1174" s="13">
        <v>2018</v>
      </c>
      <c r="G1174" s="2">
        <v>40000</v>
      </c>
      <c r="H1174" s="8" t="s">
        <v>12</v>
      </c>
      <c r="I1174" s="8" t="s">
        <v>13</v>
      </c>
      <c r="J1174" s="8" t="s">
        <v>14</v>
      </c>
      <c r="K1174" t="s">
        <v>26</v>
      </c>
      <c r="L1174" t="s">
        <v>137</v>
      </c>
      <c r="M1174" s="2">
        <f>VALUE(MID(L1174,1,FIND("@",L1174)-6))</f>
        <v>83</v>
      </c>
      <c r="N1174">
        <v>5</v>
      </c>
      <c r="O1174" t="str">
        <f>IF(datos_limpios[[#This Row],[Seating Capacity ]]&gt;4,"SI","NO")</f>
        <v>SI</v>
      </c>
      <c r="P1174">
        <v>42</v>
      </c>
    </row>
    <row r="1175" spans="1:16" x14ac:dyDescent="0.3">
      <c r="A1175" s="8" t="s">
        <v>17</v>
      </c>
      <c r="B1175" s="8" t="s">
        <v>969</v>
      </c>
      <c r="C1175" s="9">
        <v>1175</v>
      </c>
      <c r="D1175" s="3">
        <v>521000</v>
      </c>
      <c r="E1175" s="1">
        <f>datos_limpios[[#This Row],[Price INR   ]]*0.011</f>
        <v>5731</v>
      </c>
      <c r="F1175" s="13">
        <v>2017</v>
      </c>
      <c r="G1175" s="2">
        <v>40879</v>
      </c>
      <c r="H1175" s="8" t="s">
        <v>12</v>
      </c>
      <c r="I1175" s="8" t="s">
        <v>40</v>
      </c>
      <c r="J1175" s="8" t="s">
        <v>30</v>
      </c>
      <c r="K1175" t="s">
        <v>26</v>
      </c>
      <c r="L1175" t="s">
        <v>31</v>
      </c>
      <c r="M1175" s="2">
        <f>VALUE(MID(L1175,1,FIND("@",L1175)-6))</f>
        <v>82</v>
      </c>
      <c r="N1175">
        <v>5</v>
      </c>
      <c r="O1175" t="str">
        <f>IF(datos_limpios[[#This Row],[Seating Capacity ]]&gt;4,"SI","NO")</f>
        <v>SI</v>
      </c>
      <c r="P1175">
        <v>32</v>
      </c>
    </row>
    <row r="1176" spans="1:16" x14ac:dyDescent="0.3">
      <c r="A1176" s="8" t="s">
        <v>17</v>
      </c>
      <c r="B1176" s="8" t="s">
        <v>520</v>
      </c>
      <c r="C1176" s="9">
        <v>1176</v>
      </c>
      <c r="D1176" s="3">
        <v>525000</v>
      </c>
      <c r="E1176" s="1">
        <f>datos_limpios[[#This Row],[Price INR   ]]*0.011</f>
        <v>5775</v>
      </c>
      <c r="F1176" s="13">
        <v>2016</v>
      </c>
      <c r="G1176" s="2">
        <v>64928</v>
      </c>
      <c r="H1176" s="8" t="s">
        <v>12</v>
      </c>
      <c r="I1176" s="8" t="s">
        <v>13</v>
      </c>
      <c r="J1176" s="8" t="s">
        <v>30</v>
      </c>
      <c r="K1176" t="s">
        <v>26</v>
      </c>
      <c r="L1176" t="s">
        <v>137</v>
      </c>
      <c r="M1176" s="2">
        <f>VALUE(MID(L1176,1,FIND("@",L1176)-6))</f>
        <v>83</v>
      </c>
      <c r="N1176">
        <v>5</v>
      </c>
      <c r="O1176" t="str">
        <f>IF(datos_limpios[[#This Row],[Seating Capacity ]]&gt;4,"SI","NO")</f>
        <v>SI</v>
      </c>
      <c r="P1176">
        <v>42</v>
      </c>
    </row>
    <row r="1177" spans="1:16" x14ac:dyDescent="0.3">
      <c r="A1177" s="8" t="s">
        <v>17</v>
      </c>
      <c r="B1177" s="8" t="s">
        <v>755</v>
      </c>
      <c r="C1177" s="9">
        <v>1177</v>
      </c>
      <c r="D1177" s="3">
        <v>525000</v>
      </c>
      <c r="E1177" s="1">
        <f>datos_limpios[[#This Row],[Price INR   ]]*0.011</f>
        <v>5775</v>
      </c>
      <c r="F1177" s="13">
        <v>2019</v>
      </c>
      <c r="G1177" s="2">
        <v>50000</v>
      </c>
      <c r="H1177" s="8" t="s">
        <v>89</v>
      </c>
      <c r="I1177" s="8" t="s">
        <v>13</v>
      </c>
      <c r="J1177" s="8" t="s">
        <v>14</v>
      </c>
      <c r="K1177" t="s">
        <v>69</v>
      </c>
      <c r="L1177" t="s">
        <v>411</v>
      </c>
      <c r="M1177" s="2">
        <f>VALUE(MID(L1177,1,FIND("@",L1177)-6))</f>
        <v>58</v>
      </c>
      <c r="N1177">
        <v>5</v>
      </c>
      <c r="O1177" t="str">
        <f>IF(datos_limpios[[#This Row],[Seating Capacity ]]&gt;4,"SI","NO")</f>
        <v>SI</v>
      </c>
      <c r="P1177">
        <v>60</v>
      </c>
    </row>
    <row r="1178" spans="1:16" x14ac:dyDescent="0.3">
      <c r="A1178" s="8" t="s">
        <v>17</v>
      </c>
      <c r="B1178" s="8" t="s">
        <v>259</v>
      </c>
      <c r="C1178" s="9">
        <v>1178</v>
      </c>
      <c r="D1178" s="3">
        <v>525000</v>
      </c>
      <c r="E1178" s="1">
        <f>datos_limpios[[#This Row],[Price INR   ]]*0.011</f>
        <v>5775</v>
      </c>
      <c r="F1178" s="13">
        <v>2014</v>
      </c>
      <c r="G1178" s="2">
        <v>102000</v>
      </c>
      <c r="H1178" s="8" t="s">
        <v>12</v>
      </c>
      <c r="I1178" s="8" t="s">
        <v>13</v>
      </c>
      <c r="J1178" s="8" t="s">
        <v>14</v>
      </c>
      <c r="K1178" t="s">
        <v>26</v>
      </c>
      <c r="L1178" t="s">
        <v>92</v>
      </c>
      <c r="M1178" s="2">
        <f>VALUE(MID(L1178,1,FIND("@",L1178)-6))</f>
        <v>85</v>
      </c>
      <c r="N1178">
        <v>5</v>
      </c>
      <c r="O1178" t="str">
        <f>IF(datos_limpios[[#This Row],[Seating Capacity ]]&gt;4,"SI","NO")</f>
        <v>SI</v>
      </c>
      <c r="P1178">
        <v>42</v>
      </c>
    </row>
    <row r="1179" spans="1:16" x14ac:dyDescent="0.3">
      <c r="A1179" s="8" t="s">
        <v>17</v>
      </c>
      <c r="B1179" s="8" t="s">
        <v>523</v>
      </c>
      <c r="C1179" s="9">
        <v>1179</v>
      </c>
      <c r="D1179" s="3">
        <v>535000</v>
      </c>
      <c r="E1179" s="1">
        <f>datos_limpios[[#This Row],[Price INR   ]]*0.011</f>
        <v>5885</v>
      </c>
      <c r="F1179" s="13">
        <v>2020</v>
      </c>
      <c r="G1179" s="2">
        <v>4295</v>
      </c>
      <c r="H1179" s="8" t="s">
        <v>12</v>
      </c>
      <c r="I1179" s="8" t="s">
        <v>13</v>
      </c>
      <c r="J1179" s="8" t="s">
        <v>77</v>
      </c>
      <c r="K1179" t="s">
        <v>69</v>
      </c>
      <c r="L1179" t="s">
        <v>273</v>
      </c>
      <c r="M1179" s="2">
        <f>VALUE(MID(L1179,1,FIND("@",L1179)-6))</f>
        <v>67</v>
      </c>
      <c r="N1179">
        <v>5</v>
      </c>
      <c r="O1179" t="str">
        <f>IF(datos_limpios[[#This Row],[Seating Capacity ]]&gt;4,"SI","NO")</f>
        <v>SI</v>
      </c>
      <c r="P1179">
        <v>35</v>
      </c>
    </row>
    <row r="1180" spans="1:16" x14ac:dyDescent="0.3">
      <c r="A1180" s="8" t="s">
        <v>17</v>
      </c>
      <c r="B1180" s="8" t="s">
        <v>734</v>
      </c>
      <c r="C1180" s="9">
        <v>1180</v>
      </c>
      <c r="D1180" s="3">
        <v>535000</v>
      </c>
      <c r="E1180" s="1">
        <f>datos_limpios[[#This Row],[Price INR   ]]*0.011</f>
        <v>5885</v>
      </c>
      <c r="F1180" s="13">
        <v>2020</v>
      </c>
      <c r="G1180" s="2">
        <v>41441</v>
      </c>
      <c r="H1180" s="8" t="s">
        <v>12</v>
      </c>
      <c r="I1180" s="8" t="s">
        <v>13</v>
      </c>
      <c r="J1180" s="8" t="s">
        <v>77</v>
      </c>
      <c r="K1180" t="s">
        <v>171</v>
      </c>
      <c r="L1180" t="s">
        <v>172</v>
      </c>
      <c r="M1180" s="2">
        <f>VALUE(MID(L1180,1,FIND("@",L1180)-6))</f>
        <v>73</v>
      </c>
      <c r="N1180">
        <v>5</v>
      </c>
      <c r="O1180" t="str">
        <f>IF(datos_limpios[[#This Row],[Seating Capacity ]]&gt;4,"SI","NO")</f>
        <v>SI</v>
      </c>
      <c r="P1180">
        <v>40</v>
      </c>
    </row>
    <row r="1181" spans="1:16" x14ac:dyDescent="0.3">
      <c r="A1181" s="8" t="s">
        <v>17</v>
      </c>
      <c r="B1181" s="8" t="s">
        <v>136</v>
      </c>
      <c r="C1181" s="9">
        <v>1181</v>
      </c>
      <c r="D1181" s="3">
        <v>535000</v>
      </c>
      <c r="E1181" s="1">
        <f>datos_limpios[[#This Row],[Price INR   ]]*0.011</f>
        <v>5885</v>
      </c>
      <c r="F1181" s="13">
        <v>2017</v>
      </c>
      <c r="G1181" s="2">
        <v>34908</v>
      </c>
      <c r="H1181" s="8" t="s">
        <v>12</v>
      </c>
      <c r="I1181" s="8" t="s">
        <v>13</v>
      </c>
      <c r="J1181" s="8" t="s">
        <v>14</v>
      </c>
      <c r="K1181" t="s">
        <v>26</v>
      </c>
      <c r="L1181" t="s">
        <v>137</v>
      </c>
      <c r="M1181" s="2">
        <f>VALUE(MID(L1181,1,FIND("@",L1181)-6))</f>
        <v>83</v>
      </c>
      <c r="N1181">
        <v>5</v>
      </c>
      <c r="O1181" t="str">
        <f>IF(datos_limpios[[#This Row],[Seating Capacity ]]&gt;4,"SI","NO")</f>
        <v>SI</v>
      </c>
      <c r="P1181">
        <v>37</v>
      </c>
    </row>
    <row r="1182" spans="1:16" x14ac:dyDescent="0.3">
      <c r="A1182" s="8" t="s">
        <v>17</v>
      </c>
      <c r="B1182" s="8" t="s">
        <v>413</v>
      </c>
      <c r="C1182" s="9">
        <v>1182</v>
      </c>
      <c r="D1182" s="3">
        <v>540000</v>
      </c>
      <c r="E1182" s="1">
        <f>datos_limpios[[#This Row],[Price INR   ]]*0.011</f>
        <v>5940</v>
      </c>
      <c r="F1182" s="13">
        <v>2015</v>
      </c>
      <c r="G1182" s="2">
        <v>38000</v>
      </c>
      <c r="H1182" s="8" t="s">
        <v>12</v>
      </c>
      <c r="I1182" s="8" t="s">
        <v>13</v>
      </c>
      <c r="J1182" s="8" t="s">
        <v>131</v>
      </c>
      <c r="K1182" t="s">
        <v>36</v>
      </c>
      <c r="L1182" t="s">
        <v>37</v>
      </c>
      <c r="M1182" s="2">
        <f>VALUE(MID(L1182,1,FIND("@",L1182)-6))</f>
        <v>91</v>
      </c>
      <c r="N1182">
        <v>5</v>
      </c>
      <c r="O1182" t="str">
        <f>IF(datos_limpios[[#This Row],[Seating Capacity ]]&gt;4,"SI","NO")</f>
        <v>SI</v>
      </c>
      <c r="P1182">
        <v>43</v>
      </c>
    </row>
    <row r="1183" spans="1:16" x14ac:dyDescent="0.3">
      <c r="A1183" s="8" t="s">
        <v>17</v>
      </c>
      <c r="B1183" s="8" t="s">
        <v>1088</v>
      </c>
      <c r="C1183" s="9">
        <v>1183</v>
      </c>
      <c r="D1183" s="3">
        <v>540000</v>
      </c>
      <c r="E1183" s="1">
        <f>datos_limpios[[#This Row],[Price INR   ]]*0.011</f>
        <v>5940</v>
      </c>
      <c r="F1183" s="13">
        <v>2019</v>
      </c>
      <c r="G1183" s="2">
        <v>34000</v>
      </c>
      <c r="H1183" s="8" t="s">
        <v>12</v>
      </c>
      <c r="I1183" s="8" t="s">
        <v>13</v>
      </c>
      <c r="J1183" s="8" t="s">
        <v>20</v>
      </c>
      <c r="K1183" t="s">
        <v>69</v>
      </c>
      <c r="L1183" t="s">
        <v>70</v>
      </c>
      <c r="M1183" s="2">
        <f>VALUE(MID(L1183,1,FIND("@",L1183)-6))</f>
        <v>67</v>
      </c>
      <c r="N1183">
        <v>5</v>
      </c>
      <c r="O1183" t="str">
        <f>IF(datos_limpios[[#This Row],[Seating Capacity ]]&gt;4,"SI","NO")</f>
        <v>SI</v>
      </c>
      <c r="P1183">
        <v>35</v>
      </c>
    </row>
    <row r="1184" spans="1:16" x14ac:dyDescent="0.3">
      <c r="A1184" s="8" t="s">
        <v>17</v>
      </c>
      <c r="B1184" s="8" t="s">
        <v>206</v>
      </c>
      <c r="C1184" s="9">
        <v>1184</v>
      </c>
      <c r="D1184" s="3">
        <v>545000</v>
      </c>
      <c r="E1184" s="1">
        <f>datos_limpios[[#This Row],[Price INR   ]]*0.011</f>
        <v>5995</v>
      </c>
      <c r="F1184" s="13">
        <v>2017</v>
      </c>
      <c r="G1184" s="2">
        <v>61518</v>
      </c>
      <c r="H1184" s="8" t="s">
        <v>12</v>
      </c>
      <c r="I1184" s="8" t="s">
        <v>13</v>
      </c>
      <c r="J1184" s="8" t="s">
        <v>30</v>
      </c>
      <c r="K1184" t="s">
        <v>26</v>
      </c>
      <c r="L1184" t="s">
        <v>137</v>
      </c>
      <c r="M1184" s="2">
        <f>VALUE(MID(L1184,1,FIND("@",L1184)-6))</f>
        <v>83</v>
      </c>
      <c r="N1184">
        <v>5</v>
      </c>
      <c r="O1184" t="str">
        <f>IF(datos_limpios[[#This Row],[Seating Capacity ]]&gt;4,"SI","NO")</f>
        <v>SI</v>
      </c>
      <c r="P1184">
        <v>37</v>
      </c>
    </row>
    <row r="1185" spans="1:16" x14ac:dyDescent="0.3">
      <c r="A1185" s="8" t="s">
        <v>17</v>
      </c>
      <c r="B1185" s="8" t="s">
        <v>272</v>
      </c>
      <c r="C1185" s="9">
        <v>1185</v>
      </c>
      <c r="D1185" s="3">
        <v>545000</v>
      </c>
      <c r="E1185" s="1">
        <f>datos_limpios[[#This Row],[Price INR   ]]*0.011</f>
        <v>5995</v>
      </c>
      <c r="F1185" s="13">
        <v>2019</v>
      </c>
      <c r="G1185" s="2">
        <v>10340</v>
      </c>
      <c r="H1185" s="8" t="s">
        <v>12</v>
      </c>
      <c r="I1185" s="8" t="s">
        <v>13</v>
      </c>
      <c r="J1185" s="8" t="s">
        <v>20</v>
      </c>
      <c r="K1185" t="s">
        <v>69</v>
      </c>
      <c r="L1185" t="s">
        <v>273</v>
      </c>
      <c r="M1185" s="2">
        <f>VALUE(MID(L1185,1,FIND("@",L1185)-6))</f>
        <v>67</v>
      </c>
      <c r="N1185">
        <v>5</v>
      </c>
      <c r="O1185" t="str">
        <f>IF(datos_limpios[[#This Row],[Seating Capacity ]]&gt;4,"SI","NO")</f>
        <v>SI</v>
      </c>
      <c r="P1185">
        <v>35</v>
      </c>
    </row>
    <row r="1186" spans="1:16" x14ac:dyDescent="0.3">
      <c r="A1186" s="8" t="s">
        <v>17</v>
      </c>
      <c r="B1186" s="8" t="s">
        <v>206</v>
      </c>
      <c r="C1186" s="9">
        <v>1186</v>
      </c>
      <c r="D1186" s="3">
        <v>545000</v>
      </c>
      <c r="E1186" s="1">
        <f>datos_limpios[[#This Row],[Price INR   ]]*0.011</f>
        <v>5995</v>
      </c>
      <c r="F1186" s="13">
        <v>2016</v>
      </c>
      <c r="G1186" s="2">
        <v>53000</v>
      </c>
      <c r="H1186" s="8" t="s">
        <v>12</v>
      </c>
      <c r="I1186" s="8" t="s">
        <v>13</v>
      </c>
      <c r="J1186" s="8" t="s">
        <v>20</v>
      </c>
      <c r="K1186" t="s">
        <v>26</v>
      </c>
      <c r="L1186" t="s">
        <v>137</v>
      </c>
      <c r="M1186" s="2">
        <f>VALUE(MID(L1186,1,FIND("@",L1186)-6))</f>
        <v>83</v>
      </c>
      <c r="N1186">
        <v>5</v>
      </c>
      <c r="O1186" t="str">
        <f>IF(datos_limpios[[#This Row],[Seating Capacity ]]&gt;4,"SI","NO")</f>
        <v>SI</v>
      </c>
      <c r="P1186">
        <v>37</v>
      </c>
    </row>
    <row r="1187" spans="1:16" x14ac:dyDescent="0.3">
      <c r="A1187" s="8" t="s">
        <v>17</v>
      </c>
      <c r="B1187" s="8" t="s">
        <v>930</v>
      </c>
      <c r="C1187" s="9">
        <v>1187</v>
      </c>
      <c r="D1187" s="3">
        <v>545000</v>
      </c>
      <c r="E1187" s="1">
        <f>datos_limpios[[#This Row],[Price INR   ]]*0.011</f>
        <v>5995</v>
      </c>
      <c r="F1187" s="13">
        <v>2015</v>
      </c>
      <c r="G1187" s="2">
        <v>70000</v>
      </c>
      <c r="H1187" s="8" t="s">
        <v>12</v>
      </c>
      <c r="I1187" s="8" t="s">
        <v>13</v>
      </c>
      <c r="J1187" s="8" t="s">
        <v>77</v>
      </c>
      <c r="K1187" t="s">
        <v>26</v>
      </c>
      <c r="L1187" t="s">
        <v>92</v>
      </c>
      <c r="M1187" s="2">
        <f>VALUE(MID(L1187,1,FIND("@",L1187)-6))</f>
        <v>85</v>
      </c>
      <c r="N1187">
        <v>5</v>
      </c>
      <c r="O1187" t="str">
        <f>IF(datos_limpios[[#This Row],[Seating Capacity ]]&gt;4,"SI","NO")</f>
        <v>SI</v>
      </c>
      <c r="P1187">
        <v>42</v>
      </c>
    </row>
    <row r="1188" spans="1:16" x14ac:dyDescent="0.3">
      <c r="A1188" s="8" t="s">
        <v>17</v>
      </c>
      <c r="B1188" s="8" t="s">
        <v>969</v>
      </c>
      <c r="C1188" s="9">
        <v>1188</v>
      </c>
      <c r="D1188" s="3">
        <v>545000</v>
      </c>
      <c r="E1188" s="1">
        <f>datos_limpios[[#This Row],[Price INR   ]]*0.011</f>
        <v>5995</v>
      </c>
      <c r="F1188" s="13">
        <v>2017</v>
      </c>
      <c r="G1188" s="2">
        <v>22000</v>
      </c>
      <c r="H1188" s="8" t="s">
        <v>12</v>
      </c>
      <c r="I1188" s="8" t="s">
        <v>40</v>
      </c>
      <c r="J1188" s="8" t="s">
        <v>57</v>
      </c>
      <c r="K1188" t="s">
        <v>26</v>
      </c>
      <c r="L1188" t="s">
        <v>31</v>
      </c>
      <c r="M1188" s="2">
        <f>VALUE(MID(L1188,1,FIND("@",L1188)-6))</f>
        <v>82</v>
      </c>
      <c r="N1188">
        <v>5</v>
      </c>
      <c r="O1188" t="str">
        <f>IF(datos_limpios[[#This Row],[Seating Capacity ]]&gt;4,"SI","NO")</f>
        <v>SI</v>
      </c>
      <c r="P1188">
        <v>32</v>
      </c>
    </row>
    <row r="1189" spans="1:16" x14ac:dyDescent="0.3">
      <c r="A1189" s="8" t="s">
        <v>17</v>
      </c>
      <c r="B1189" s="8" t="s">
        <v>374</v>
      </c>
      <c r="C1189" s="9">
        <v>1189</v>
      </c>
      <c r="D1189" s="3">
        <v>550000</v>
      </c>
      <c r="E1189" s="1">
        <f>datos_limpios[[#This Row],[Price INR   ]]*0.011</f>
        <v>6050</v>
      </c>
      <c r="F1189" s="13">
        <v>2014</v>
      </c>
      <c r="G1189" s="2">
        <v>89000</v>
      </c>
      <c r="H1189" s="8" t="s">
        <v>19</v>
      </c>
      <c r="I1189" s="8" t="s">
        <v>13</v>
      </c>
      <c r="J1189" s="8" t="s">
        <v>20</v>
      </c>
      <c r="K1189" t="s">
        <v>21</v>
      </c>
      <c r="L1189" t="s">
        <v>22</v>
      </c>
      <c r="M1189" s="2">
        <f>VALUE(MID(L1189,1,FIND("@",L1189)-6))</f>
        <v>74</v>
      </c>
      <c r="N1189">
        <v>5</v>
      </c>
      <c r="O1189" t="str">
        <f>IF(datos_limpios[[#This Row],[Seating Capacity ]]&gt;4,"SI","NO")</f>
        <v>SI</v>
      </c>
      <c r="P1189">
        <v>42</v>
      </c>
    </row>
    <row r="1190" spans="1:16" x14ac:dyDescent="0.3">
      <c r="A1190" s="8" t="s">
        <v>17</v>
      </c>
      <c r="B1190" s="8" t="s">
        <v>520</v>
      </c>
      <c r="C1190" s="9">
        <v>1190</v>
      </c>
      <c r="D1190" s="3">
        <v>550000</v>
      </c>
      <c r="E1190" s="1">
        <f>datos_limpios[[#This Row],[Price INR   ]]*0.011</f>
        <v>6050</v>
      </c>
      <c r="F1190" s="13">
        <v>2019</v>
      </c>
      <c r="G1190" s="2">
        <v>29000</v>
      </c>
      <c r="H1190" s="8" t="s">
        <v>12</v>
      </c>
      <c r="I1190" s="8" t="s">
        <v>13</v>
      </c>
      <c r="J1190" s="8" t="s">
        <v>14</v>
      </c>
      <c r="K1190" t="s">
        <v>26</v>
      </c>
      <c r="L1190" t="s">
        <v>137</v>
      </c>
      <c r="M1190" s="2">
        <f>VALUE(MID(L1190,1,FIND("@",L1190)-6))</f>
        <v>83</v>
      </c>
      <c r="N1190">
        <v>5</v>
      </c>
      <c r="O1190" t="str">
        <f>IF(datos_limpios[[#This Row],[Seating Capacity ]]&gt;4,"SI","NO")</f>
        <v>SI</v>
      </c>
      <c r="P1190">
        <v>42</v>
      </c>
    </row>
    <row r="1191" spans="1:16" x14ac:dyDescent="0.3">
      <c r="A1191" s="8" t="s">
        <v>17</v>
      </c>
      <c r="B1191" s="8" t="s">
        <v>410</v>
      </c>
      <c r="C1191" s="9">
        <v>1191</v>
      </c>
      <c r="D1191" s="3">
        <v>550000</v>
      </c>
      <c r="E1191" s="1">
        <f>datos_limpios[[#This Row],[Price INR   ]]*0.011</f>
        <v>6050</v>
      </c>
      <c r="F1191" s="13">
        <v>2019</v>
      </c>
      <c r="G1191" s="2">
        <v>48000</v>
      </c>
      <c r="H1191" s="8" t="s">
        <v>89</v>
      </c>
      <c r="I1191" s="8" t="s">
        <v>13</v>
      </c>
      <c r="J1191" s="8" t="s">
        <v>77</v>
      </c>
      <c r="K1191" t="s">
        <v>69</v>
      </c>
      <c r="L1191" t="s">
        <v>411</v>
      </c>
      <c r="M1191" s="2">
        <f>VALUE(MID(L1191,1,FIND("@",L1191)-6))</f>
        <v>58</v>
      </c>
      <c r="N1191">
        <v>5</v>
      </c>
      <c r="O1191" t="str">
        <f>IF(datos_limpios[[#This Row],[Seating Capacity ]]&gt;4,"SI","NO")</f>
        <v>SI</v>
      </c>
      <c r="P1191">
        <v>60</v>
      </c>
    </row>
    <row r="1192" spans="1:16" x14ac:dyDescent="0.3">
      <c r="A1192" s="8" t="s">
        <v>17</v>
      </c>
      <c r="B1192" s="8" t="s">
        <v>1004</v>
      </c>
      <c r="C1192" s="9">
        <v>1192</v>
      </c>
      <c r="D1192" s="3">
        <v>550000</v>
      </c>
      <c r="E1192" s="1">
        <f>datos_limpios[[#This Row],[Price INR   ]]*0.011</f>
        <v>6050</v>
      </c>
      <c r="F1192" s="13">
        <v>2020</v>
      </c>
      <c r="G1192" s="2">
        <v>19000</v>
      </c>
      <c r="H1192" s="8" t="s">
        <v>12</v>
      </c>
      <c r="I1192" s="8" t="s">
        <v>13</v>
      </c>
      <c r="J1192" s="8" t="s">
        <v>57</v>
      </c>
      <c r="K1192" t="s">
        <v>26</v>
      </c>
      <c r="L1192" t="s">
        <v>31</v>
      </c>
      <c r="M1192" s="2">
        <f>VALUE(MID(L1192,1,FIND("@",L1192)-6))</f>
        <v>82</v>
      </c>
      <c r="N1192">
        <v>5</v>
      </c>
      <c r="O1192" t="str">
        <f>IF(datos_limpios[[#This Row],[Seating Capacity ]]&gt;4,"SI","NO")</f>
        <v>SI</v>
      </c>
      <c r="P1192">
        <v>32</v>
      </c>
    </row>
    <row r="1193" spans="1:16" x14ac:dyDescent="0.3">
      <c r="A1193" s="8" t="s">
        <v>17</v>
      </c>
      <c r="B1193" s="8" t="s">
        <v>1118</v>
      </c>
      <c r="C1193" s="9">
        <v>1193</v>
      </c>
      <c r="D1193" s="3">
        <v>550000</v>
      </c>
      <c r="E1193" s="1">
        <f>datos_limpios[[#This Row],[Price INR   ]]*0.011</f>
        <v>6050</v>
      </c>
      <c r="F1193" s="13">
        <v>2016</v>
      </c>
      <c r="G1193" s="2">
        <v>88000</v>
      </c>
      <c r="H1193" s="8" t="s">
        <v>19</v>
      </c>
      <c r="I1193" s="8" t="s">
        <v>13</v>
      </c>
      <c r="J1193" s="8" t="s">
        <v>57</v>
      </c>
      <c r="K1193" t="s">
        <v>21</v>
      </c>
      <c r="L1193" t="s">
        <v>22</v>
      </c>
      <c r="M1193" s="2">
        <f>VALUE(MID(L1193,1,FIND("@",L1193)-6))</f>
        <v>74</v>
      </c>
      <c r="N1193">
        <v>5</v>
      </c>
      <c r="O1193" t="str">
        <f>IF(datos_limpios[[#This Row],[Seating Capacity ]]&gt;4,"SI","NO")</f>
        <v>SI</v>
      </c>
      <c r="P1193">
        <v>37</v>
      </c>
    </row>
    <row r="1194" spans="1:16" x14ac:dyDescent="0.3">
      <c r="A1194" s="8" t="s">
        <v>17</v>
      </c>
      <c r="B1194" s="8" t="s">
        <v>520</v>
      </c>
      <c r="C1194" s="9">
        <v>1194</v>
      </c>
      <c r="D1194" s="3">
        <v>550000</v>
      </c>
      <c r="E1194" s="1">
        <f>datos_limpios[[#This Row],[Price INR   ]]*0.011</f>
        <v>6050</v>
      </c>
      <c r="F1194" s="13">
        <v>2018</v>
      </c>
      <c r="G1194" s="2">
        <v>50000</v>
      </c>
      <c r="H1194" s="8" t="s">
        <v>12</v>
      </c>
      <c r="I1194" s="8" t="s">
        <v>13</v>
      </c>
      <c r="J1194" s="8" t="s">
        <v>20</v>
      </c>
      <c r="K1194" t="s">
        <v>26</v>
      </c>
      <c r="L1194" t="s">
        <v>137</v>
      </c>
      <c r="M1194" s="2">
        <f>VALUE(MID(L1194,1,FIND("@",L1194)-6))</f>
        <v>83</v>
      </c>
      <c r="N1194">
        <v>5</v>
      </c>
      <c r="O1194" t="str">
        <f>IF(datos_limpios[[#This Row],[Seating Capacity ]]&gt;4,"SI","NO")</f>
        <v>SI</v>
      </c>
      <c r="P1194">
        <v>42</v>
      </c>
    </row>
    <row r="1195" spans="1:16" x14ac:dyDescent="0.3">
      <c r="A1195" s="8" t="s">
        <v>17</v>
      </c>
      <c r="B1195" s="8" t="s">
        <v>18</v>
      </c>
      <c r="C1195" s="9">
        <v>1195</v>
      </c>
      <c r="D1195" s="3">
        <v>560000</v>
      </c>
      <c r="E1195" s="1">
        <f>datos_limpios[[#This Row],[Price INR   ]]*0.011</f>
        <v>6160</v>
      </c>
      <c r="F1195" s="13">
        <v>2013</v>
      </c>
      <c r="G1195" s="2">
        <v>37000</v>
      </c>
      <c r="H1195" s="8" t="s">
        <v>19</v>
      </c>
      <c r="I1195" s="8" t="s">
        <v>13</v>
      </c>
      <c r="J1195" s="8" t="s">
        <v>131</v>
      </c>
      <c r="K1195" t="s">
        <v>21</v>
      </c>
      <c r="L1195" t="s">
        <v>22</v>
      </c>
      <c r="M1195" s="2">
        <f>VALUE(MID(L1195,1,FIND("@",L1195)-6))</f>
        <v>74</v>
      </c>
      <c r="N1195">
        <v>5</v>
      </c>
      <c r="O1195" t="str">
        <f>IF(datos_limpios[[#This Row],[Seating Capacity ]]&gt;4,"SI","NO")</f>
        <v>SI</v>
      </c>
      <c r="P1195">
        <v>42</v>
      </c>
    </row>
    <row r="1196" spans="1:16" x14ac:dyDescent="0.3">
      <c r="A1196" s="8" t="s">
        <v>17</v>
      </c>
      <c r="B1196" s="8" t="s">
        <v>1221</v>
      </c>
      <c r="C1196" s="9">
        <v>1196</v>
      </c>
      <c r="D1196" s="3">
        <v>560000</v>
      </c>
      <c r="E1196" s="1">
        <f>datos_limpios[[#This Row],[Price INR   ]]*0.011</f>
        <v>6160</v>
      </c>
      <c r="F1196" s="13">
        <v>2017</v>
      </c>
      <c r="G1196" s="2">
        <v>36000</v>
      </c>
      <c r="H1196" s="8" t="s">
        <v>12</v>
      </c>
      <c r="I1196" s="8" t="s">
        <v>40</v>
      </c>
      <c r="J1196" s="8" t="s">
        <v>77</v>
      </c>
      <c r="K1196" t="s">
        <v>26</v>
      </c>
      <c r="L1196" t="s">
        <v>31</v>
      </c>
      <c r="M1196" s="2">
        <f>VALUE(MID(L1196,1,FIND("@",L1196)-6))</f>
        <v>82</v>
      </c>
      <c r="N1196">
        <v>5</v>
      </c>
      <c r="O1196" t="str">
        <f>IF(datos_limpios[[#This Row],[Seating Capacity ]]&gt;4,"SI","NO")</f>
        <v>SI</v>
      </c>
      <c r="P1196">
        <v>32</v>
      </c>
    </row>
    <row r="1197" spans="1:16" x14ac:dyDescent="0.3">
      <c r="A1197" s="8" t="s">
        <v>17</v>
      </c>
      <c r="B1197" s="8" t="s">
        <v>1325</v>
      </c>
      <c r="C1197" s="9">
        <v>1197</v>
      </c>
      <c r="D1197" s="3">
        <v>560000</v>
      </c>
      <c r="E1197" s="1">
        <f>datos_limpios[[#This Row],[Price INR   ]]*0.011</f>
        <v>6160</v>
      </c>
      <c r="F1197" s="13">
        <v>2018</v>
      </c>
      <c r="G1197" s="2">
        <v>84500</v>
      </c>
      <c r="H1197" s="8" t="s">
        <v>19</v>
      </c>
      <c r="I1197" s="8" t="s">
        <v>13</v>
      </c>
      <c r="J1197" s="8" t="s">
        <v>20</v>
      </c>
      <c r="K1197" t="s">
        <v>21</v>
      </c>
      <c r="L1197" t="s">
        <v>22</v>
      </c>
      <c r="M1197" s="2">
        <f>VALUE(MID(L1197,1,FIND("@",L1197)-6))</f>
        <v>74</v>
      </c>
      <c r="N1197">
        <v>5</v>
      </c>
      <c r="O1197" t="str">
        <f>IF(datos_limpios[[#This Row],[Seating Capacity ]]&gt;4,"SI","NO")</f>
        <v>SI</v>
      </c>
      <c r="P1197">
        <v>37</v>
      </c>
    </row>
    <row r="1198" spans="1:16" x14ac:dyDescent="0.3">
      <c r="A1198" s="8" t="s">
        <v>17</v>
      </c>
      <c r="B1198" s="8" t="s">
        <v>208</v>
      </c>
      <c r="C1198" s="9">
        <v>1198</v>
      </c>
      <c r="D1198" s="3">
        <v>561000</v>
      </c>
      <c r="E1198" s="1">
        <f>datos_limpios[[#This Row],[Price INR   ]]*0.011</f>
        <v>6171</v>
      </c>
      <c r="F1198" s="13">
        <v>2017</v>
      </c>
      <c r="G1198" s="2">
        <v>68000</v>
      </c>
      <c r="H1198" s="8" t="s">
        <v>12</v>
      </c>
      <c r="I1198" s="8" t="s">
        <v>13</v>
      </c>
      <c r="J1198" s="8" t="s">
        <v>82</v>
      </c>
      <c r="K1198" t="s">
        <v>26</v>
      </c>
      <c r="L1198" t="s">
        <v>137</v>
      </c>
      <c r="M1198" s="2">
        <f>VALUE(MID(L1198,1,FIND("@",L1198)-6))</f>
        <v>83</v>
      </c>
      <c r="N1198">
        <v>5</v>
      </c>
      <c r="O1198" t="str">
        <f>IF(datos_limpios[[#This Row],[Seating Capacity ]]&gt;4,"SI","NO")</f>
        <v>SI</v>
      </c>
      <c r="P1198">
        <v>37</v>
      </c>
    </row>
    <row r="1199" spans="1:16" x14ac:dyDescent="0.3">
      <c r="A1199" s="8" t="s">
        <v>17</v>
      </c>
      <c r="B1199" s="8" t="s">
        <v>818</v>
      </c>
      <c r="C1199" s="9">
        <v>1199</v>
      </c>
      <c r="D1199" s="3">
        <v>565000</v>
      </c>
      <c r="E1199" s="1">
        <f>datos_limpios[[#This Row],[Price INR   ]]*0.011</f>
        <v>6215</v>
      </c>
      <c r="F1199" s="13">
        <v>2020</v>
      </c>
      <c r="G1199" s="2">
        <v>47000</v>
      </c>
      <c r="H1199" s="8" t="s">
        <v>12</v>
      </c>
      <c r="I1199" s="8" t="s">
        <v>13</v>
      </c>
      <c r="J1199" s="8" t="s">
        <v>20</v>
      </c>
      <c r="K1199" t="s">
        <v>69</v>
      </c>
      <c r="L1199" t="s">
        <v>70</v>
      </c>
      <c r="M1199" s="2">
        <f>VALUE(MID(L1199,1,FIND("@",L1199)-6))</f>
        <v>67</v>
      </c>
      <c r="N1199">
        <v>5</v>
      </c>
      <c r="O1199" t="str">
        <f>IF(datos_limpios[[#This Row],[Seating Capacity ]]&gt;4,"SI","NO")</f>
        <v>SI</v>
      </c>
      <c r="P1199">
        <v>35</v>
      </c>
    </row>
    <row r="1200" spans="1:16" x14ac:dyDescent="0.3">
      <c r="A1200" s="8" t="s">
        <v>17</v>
      </c>
      <c r="B1200" s="8" t="s">
        <v>899</v>
      </c>
      <c r="C1200" s="9">
        <v>1200</v>
      </c>
      <c r="D1200" s="3">
        <v>565000</v>
      </c>
      <c r="E1200" s="1">
        <f>datos_limpios[[#This Row],[Price INR   ]]*0.011</f>
        <v>6215</v>
      </c>
      <c r="F1200" s="13">
        <v>2017</v>
      </c>
      <c r="G1200" s="2">
        <v>64000</v>
      </c>
      <c r="H1200" s="8" t="s">
        <v>12</v>
      </c>
      <c r="I1200" s="8" t="s">
        <v>13</v>
      </c>
      <c r="J1200" s="8" t="s">
        <v>82</v>
      </c>
      <c r="K1200" t="s">
        <v>36</v>
      </c>
      <c r="L1200" t="s">
        <v>37</v>
      </c>
      <c r="M1200" s="2">
        <f>VALUE(MID(L1200,1,FIND("@",L1200)-6))</f>
        <v>91</v>
      </c>
      <c r="N1200">
        <v>5</v>
      </c>
      <c r="O1200" t="str">
        <f>IF(datos_limpios[[#This Row],[Seating Capacity ]]&gt;4,"SI","NO")</f>
        <v>SI</v>
      </c>
      <c r="P1200">
        <v>43</v>
      </c>
    </row>
    <row r="1201" spans="1:16" x14ac:dyDescent="0.3">
      <c r="A1201" s="8" t="s">
        <v>17</v>
      </c>
      <c r="B1201" s="8" t="s">
        <v>68</v>
      </c>
      <c r="C1201" s="9">
        <v>1201</v>
      </c>
      <c r="D1201" s="3">
        <v>569000</v>
      </c>
      <c r="E1201" s="1">
        <f>datos_limpios[[#This Row],[Price INR   ]]*0.011</f>
        <v>6259</v>
      </c>
      <c r="F1201" s="13">
        <v>2016</v>
      </c>
      <c r="G1201" s="2">
        <v>11471</v>
      </c>
      <c r="H1201" s="8" t="s">
        <v>12</v>
      </c>
      <c r="I1201" s="8" t="s">
        <v>40</v>
      </c>
      <c r="J1201" s="8" t="s">
        <v>30</v>
      </c>
      <c r="K1201" t="s">
        <v>69</v>
      </c>
      <c r="L1201" t="s">
        <v>70</v>
      </c>
      <c r="M1201" s="2">
        <f>VALUE(MID(L1201,1,FIND("@",L1201)-6))</f>
        <v>67</v>
      </c>
      <c r="N1201">
        <v>5</v>
      </c>
      <c r="O1201" t="str">
        <f>IF(datos_limpios[[#This Row],[Seating Capacity ]]&gt;4,"SI","NO")</f>
        <v>SI</v>
      </c>
      <c r="P1201">
        <v>35</v>
      </c>
    </row>
    <row r="1202" spans="1:16" x14ac:dyDescent="0.3">
      <c r="A1202" s="8" t="s">
        <v>17</v>
      </c>
      <c r="B1202" s="8" t="s">
        <v>570</v>
      </c>
      <c r="C1202" s="9">
        <v>1202</v>
      </c>
      <c r="D1202" s="3">
        <v>570000</v>
      </c>
      <c r="E1202" s="1">
        <f>datos_limpios[[#This Row],[Price INR   ]]*0.011</f>
        <v>6270</v>
      </c>
      <c r="F1202" s="13">
        <v>2017</v>
      </c>
      <c r="G1202" s="2">
        <v>36000</v>
      </c>
      <c r="H1202" s="8" t="s">
        <v>12</v>
      </c>
      <c r="I1202" s="8" t="s">
        <v>40</v>
      </c>
      <c r="J1202" s="8" t="s">
        <v>20</v>
      </c>
      <c r="K1202" t="s">
        <v>26</v>
      </c>
      <c r="L1202" t="s">
        <v>137</v>
      </c>
      <c r="M1202" s="2">
        <f>VALUE(MID(L1202,1,FIND("@",L1202)-6))</f>
        <v>83</v>
      </c>
      <c r="N1202">
        <v>5</v>
      </c>
      <c r="O1202" t="str">
        <f>IF(datos_limpios[[#This Row],[Seating Capacity ]]&gt;4,"SI","NO")</f>
        <v>SI</v>
      </c>
      <c r="P1202">
        <v>37</v>
      </c>
    </row>
    <row r="1203" spans="1:16" x14ac:dyDescent="0.3">
      <c r="A1203" s="8" t="s">
        <v>17</v>
      </c>
      <c r="B1203" s="8" t="s">
        <v>941</v>
      </c>
      <c r="C1203" s="9">
        <v>1203</v>
      </c>
      <c r="D1203" s="3">
        <v>570000</v>
      </c>
      <c r="E1203" s="1">
        <f>datos_limpios[[#This Row],[Price INR   ]]*0.011</f>
        <v>6270</v>
      </c>
      <c r="F1203" s="13">
        <v>2015</v>
      </c>
      <c r="G1203" s="2">
        <v>60798</v>
      </c>
      <c r="H1203" s="8" t="s">
        <v>12</v>
      </c>
      <c r="I1203" s="8" t="s">
        <v>13</v>
      </c>
      <c r="J1203" s="8" t="s">
        <v>20</v>
      </c>
      <c r="K1203" t="s">
        <v>36</v>
      </c>
      <c r="L1203" t="s">
        <v>37</v>
      </c>
      <c r="M1203" s="2">
        <f>VALUE(MID(L1203,1,FIND("@",L1203)-6))</f>
        <v>91</v>
      </c>
      <c r="N1203">
        <v>5</v>
      </c>
      <c r="O1203" t="str">
        <f>IF(datos_limpios[[#This Row],[Seating Capacity ]]&gt;4,"SI","NO")</f>
        <v>SI</v>
      </c>
      <c r="P1203">
        <v>43</v>
      </c>
    </row>
    <row r="1204" spans="1:16" x14ac:dyDescent="0.3">
      <c r="A1204" s="8" t="s">
        <v>17</v>
      </c>
      <c r="B1204" s="8" t="s">
        <v>518</v>
      </c>
      <c r="C1204" s="9">
        <v>1204</v>
      </c>
      <c r="D1204" s="3">
        <v>570000</v>
      </c>
      <c r="E1204" s="1">
        <f>datos_limpios[[#This Row],[Price INR   ]]*0.011</f>
        <v>6270</v>
      </c>
      <c r="F1204" s="13">
        <v>2019</v>
      </c>
      <c r="G1204" s="2">
        <v>13000</v>
      </c>
      <c r="H1204" s="8" t="s">
        <v>12</v>
      </c>
      <c r="I1204" s="8" t="s">
        <v>13</v>
      </c>
      <c r="J1204" s="8" t="s">
        <v>77</v>
      </c>
      <c r="K1204" t="s">
        <v>26</v>
      </c>
      <c r="L1204" t="s">
        <v>137</v>
      </c>
      <c r="M1204" s="2">
        <f>VALUE(MID(L1204,1,FIND("@",L1204)-6))</f>
        <v>83</v>
      </c>
      <c r="N1204">
        <v>5</v>
      </c>
      <c r="O1204" t="str">
        <f>IF(datos_limpios[[#This Row],[Seating Capacity ]]&gt;4,"SI","NO")</f>
        <v>SI</v>
      </c>
      <c r="P1204">
        <v>42</v>
      </c>
    </row>
    <row r="1205" spans="1:16" x14ac:dyDescent="0.3">
      <c r="A1205" s="8" t="s">
        <v>17</v>
      </c>
      <c r="B1205" s="8" t="s">
        <v>1118</v>
      </c>
      <c r="C1205" s="9">
        <v>1205</v>
      </c>
      <c r="D1205" s="3">
        <v>575000</v>
      </c>
      <c r="E1205" s="1">
        <f>datos_limpios[[#This Row],[Price INR   ]]*0.011</f>
        <v>6325</v>
      </c>
      <c r="F1205" s="13">
        <v>2016</v>
      </c>
      <c r="G1205" s="2">
        <v>62000</v>
      </c>
      <c r="H1205" s="8" t="s">
        <v>19</v>
      </c>
      <c r="I1205" s="8" t="s">
        <v>13</v>
      </c>
      <c r="J1205" s="8" t="s">
        <v>57</v>
      </c>
      <c r="K1205" t="s">
        <v>21</v>
      </c>
      <c r="L1205" t="s">
        <v>22</v>
      </c>
      <c r="M1205" s="2">
        <f>VALUE(MID(L1205,1,FIND("@",L1205)-6))</f>
        <v>74</v>
      </c>
      <c r="N1205">
        <v>5</v>
      </c>
      <c r="O1205" t="str">
        <f>IF(datos_limpios[[#This Row],[Seating Capacity ]]&gt;4,"SI","NO")</f>
        <v>SI</v>
      </c>
      <c r="P1205">
        <v>37</v>
      </c>
    </row>
    <row r="1206" spans="1:16" x14ac:dyDescent="0.3">
      <c r="A1206" s="8" t="s">
        <v>17</v>
      </c>
      <c r="B1206" s="8" t="s">
        <v>410</v>
      </c>
      <c r="C1206" s="9">
        <v>1206</v>
      </c>
      <c r="D1206" s="3">
        <v>575000</v>
      </c>
      <c r="E1206" s="1">
        <f>datos_limpios[[#This Row],[Price INR   ]]*0.011</f>
        <v>6325</v>
      </c>
      <c r="F1206" s="13">
        <v>2019</v>
      </c>
      <c r="G1206" s="2">
        <v>31000</v>
      </c>
      <c r="H1206" s="8" t="s">
        <v>89</v>
      </c>
      <c r="I1206" s="8" t="s">
        <v>13</v>
      </c>
      <c r="J1206" s="8" t="s">
        <v>14</v>
      </c>
      <c r="K1206" t="s">
        <v>69</v>
      </c>
      <c r="L1206" t="s">
        <v>411</v>
      </c>
      <c r="M1206" s="2">
        <f>VALUE(MID(L1206,1,FIND("@",L1206)-6))</f>
        <v>58</v>
      </c>
      <c r="N1206">
        <v>5</v>
      </c>
      <c r="O1206" t="str">
        <f>IF(datos_limpios[[#This Row],[Seating Capacity ]]&gt;4,"SI","NO")</f>
        <v>SI</v>
      </c>
      <c r="P1206">
        <v>60</v>
      </c>
    </row>
    <row r="1207" spans="1:16" x14ac:dyDescent="0.3">
      <c r="A1207" s="8" t="s">
        <v>17</v>
      </c>
      <c r="B1207" s="8" t="s">
        <v>141</v>
      </c>
      <c r="C1207" s="9">
        <v>1207</v>
      </c>
      <c r="D1207" s="3">
        <v>575000</v>
      </c>
      <c r="E1207" s="1">
        <f>datos_limpios[[#This Row],[Price INR   ]]*0.011</f>
        <v>6325</v>
      </c>
      <c r="F1207" s="13">
        <v>2015</v>
      </c>
      <c r="G1207" s="2">
        <v>48000</v>
      </c>
      <c r="H1207" s="8" t="s">
        <v>12</v>
      </c>
      <c r="I1207" s="8" t="s">
        <v>13</v>
      </c>
      <c r="J1207" s="8" t="s">
        <v>30</v>
      </c>
      <c r="K1207" t="s">
        <v>36</v>
      </c>
      <c r="L1207" t="s">
        <v>37</v>
      </c>
      <c r="M1207" s="2">
        <f>VALUE(MID(L1207,1,FIND("@",L1207)-6))</f>
        <v>91</v>
      </c>
      <c r="N1207">
        <v>5</v>
      </c>
      <c r="O1207" t="str">
        <f>IF(datos_limpios[[#This Row],[Seating Capacity ]]&gt;4,"SI","NO")</f>
        <v>SI</v>
      </c>
      <c r="P1207">
        <v>43</v>
      </c>
    </row>
    <row r="1208" spans="1:16" x14ac:dyDescent="0.3">
      <c r="A1208" s="8" t="s">
        <v>17</v>
      </c>
      <c r="B1208" s="8" t="s">
        <v>655</v>
      </c>
      <c r="C1208" s="9">
        <v>1209</v>
      </c>
      <c r="D1208" s="3">
        <v>575000</v>
      </c>
      <c r="E1208" s="1">
        <f>datos_limpios[[#This Row],[Price INR   ]]*0.011</f>
        <v>6325</v>
      </c>
      <c r="F1208" s="13">
        <v>2015</v>
      </c>
      <c r="G1208" s="2">
        <v>50599</v>
      </c>
      <c r="H1208" s="8" t="s">
        <v>12</v>
      </c>
      <c r="I1208" s="8" t="s">
        <v>13</v>
      </c>
      <c r="J1208" s="8" t="s">
        <v>20</v>
      </c>
      <c r="K1208" t="s">
        <v>26</v>
      </c>
      <c r="L1208" t="s">
        <v>92</v>
      </c>
      <c r="M1208" s="2">
        <f>VALUE(MID(L1208,1,FIND("@",L1208)-6))</f>
        <v>85</v>
      </c>
      <c r="N1208">
        <v>5</v>
      </c>
      <c r="O1208" t="str">
        <f>IF(datos_limpios[[#This Row],[Seating Capacity ]]&gt;4,"SI","NO")</f>
        <v>SI</v>
      </c>
      <c r="P1208">
        <v>42</v>
      </c>
    </row>
    <row r="1209" spans="1:16" x14ac:dyDescent="0.3">
      <c r="A1209" s="8" t="s">
        <v>17</v>
      </c>
      <c r="B1209" s="8" t="s">
        <v>1389</v>
      </c>
      <c r="C1209" s="9">
        <v>1210</v>
      </c>
      <c r="D1209" s="3">
        <v>575000</v>
      </c>
      <c r="E1209" s="1">
        <f>datos_limpios[[#This Row],[Price INR   ]]*0.011</f>
        <v>6325</v>
      </c>
      <c r="F1209" s="13">
        <v>2018</v>
      </c>
      <c r="G1209" s="2">
        <v>27239</v>
      </c>
      <c r="H1209" s="8" t="s">
        <v>12</v>
      </c>
      <c r="I1209" s="8" t="s">
        <v>40</v>
      </c>
      <c r="J1209" s="8" t="s">
        <v>62</v>
      </c>
      <c r="K1209" t="s">
        <v>69</v>
      </c>
      <c r="L1209" t="s">
        <v>70</v>
      </c>
      <c r="M1209" s="2">
        <f>VALUE(MID(L1209,1,FIND("@",L1209)-6))</f>
        <v>67</v>
      </c>
      <c r="N1209">
        <v>5</v>
      </c>
      <c r="O1209" t="str">
        <f>IF(datos_limpios[[#This Row],[Seating Capacity ]]&gt;4,"SI","NO")</f>
        <v>SI</v>
      </c>
      <c r="P1209">
        <v>35</v>
      </c>
    </row>
    <row r="1210" spans="1:16" x14ac:dyDescent="0.3">
      <c r="A1210" s="8" t="s">
        <v>17</v>
      </c>
      <c r="B1210" s="8" t="s">
        <v>18</v>
      </c>
      <c r="C1210" s="9">
        <v>1211</v>
      </c>
      <c r="D1210" s="3">
        <v>575000</v>
      </c>
      <c r="E1210" s="1">
        <f>datos_limpios[[#This Row],[Price INR   ]]*0.011</f>
        <v>6325</v>
      </c>
      <c r="F1210" s="13">
        <v>2017</v>
      </c>
      <c r="G1210" s="2">
        <v>35000</v>
      </c>
      <c r="H1210" s="8" t="s">
        <v>19</v>
      </c>
      <c r="I1210" s="8" t="s">
        <v>13</v>
      </c>
      <c r="J1210" s="8" t="s">
        <v>20</v>
      </c>
      <c r="K1210" t="s">
        <v>21</v>
      </c>
      <c r="L1210" t="s">
        <v>22</v>
      </c>
      <c r="M1210" s="2">
        <f>VALUE(MID(L1210,1,FIND("@",L1210)-6))</f>
        <v>74</v>
      </c>
      <c r="N1210">
        <v>5</v>
      </c>
      <c r="O1210" t="str">
        <f>IF(datos_limpios[[#This Row],[Seating Capacity ]]&gt;4,"SI","NO")</f>
        <v>SI</v>
      </c>
      <c r="P1210">
        <v>42</v>
      </c>
    </row>
    <row r="1211" spans="1:16" x14ac:dyDescent="0.3">
      <c r="A1211" s="8" t="s">
        <v>17</v>
      </c>
      <c r="B1211" s="8" t="s">
        <v>1004</v>
      </c>
      <c r="C1211" s="9">
        <v>1212</v>
      </c>
      <c r="D1211" s="3">
        <v>579000</v>
      </c>
      <c r="E1211" s="1">
        <f>datos_limpios[[#This Row],[Price INR   ]]*0.011</f>
        <v>6369</v>
      </c>
      <c r="F1211" s="13">
        <v>2019</v>
      </c>
      <c r="G1211" s="2">
        <v>50860</v>
      </c>
      <c r="H1211" s="8" t="s">
        <v>12</v>
      </c>
      <c r="I1211" s="8" t="s">
        <v>13</v>
      </c>
      <c r="J1211" s="8" t="s">
        <v>14</v>
      </c>
      <c r="K1211" t="s">
        <v>26</v>
      </c>
      <c r="L1211" t="s">
        <v>31</v>
      </c>
      <c r="M1211" s="2">
        <f>VALUE(MID(L1211,1,FIND("@",L1211)-6))</f>
        <v>82</v>
      </c>
      <c r="N1211">
        <v>5</v>
      </c>
      <c r="O1211" t="str">
        <f>IF(datos_limpios[[#This Row],[Seating Capacity ]]&gt;4,"SI","NO")</f>
        <v>SI</v>
      </c>
      <c r="P1211">
        <v>32</v>
      </c>
    </row>
    <row r="1212" spans="1:16" x14ac:dyDescent="0.3">
      <c r="A1212" s="8" t="s">
        <v>17</v>
      </c>
      <c r="B1212" s="8" t="s">
        <v>239</v>
      </c>
      <c r="C1212" s="9">
        <v>1213</v>
      </c>
      <c r="D1212" s="3">
        <v>580000</v>
      </c>
      <c r="E1212" s="1">
        <f>datos_limpios[[#This Row],[Price INR   ]]*0.011</f>
        <v>6380</v>
      </c>
      <c r="F1212" s="13">
        <v>2018</v>
      </c>
      <c r="G1212" s="2">
        <v>28851</v>
      </c>
      <c r="H1212" s="8" t="s">
        <v>19</v>
      </c>
      <c r="I1212" s="8" t="s">
        <v>13</v>
      </c>
      <c r="J1212" s="8" t="s">
        <v>57</v>
      </c>
      <c r="K1212" t="s">
        <v>21</v>
      </c>
      <c r="L1212" t="s">
        <v>22</v>
      </c>
      <c r="M1212" s="2">
        <f>VALUE(MID(L1212,1,FIND("@",L1212)-6))</f>
        <v>74</v>
      </c>
      <c r="N1212">
        <v>5</v>
      </c>
      <c r="O1212" t="str">
        <f>IF(datos_limpios[[#This Row],[Seating Capacity ]]&gt;4,"SI","NO")</f>
        <v>SI</v>
      </c>
      <c r="P1212">
        <v>37</v>
      </c>
    </row>
    <row r="1213" spans="1:16" x14ac:dyDescent="0.3">
      <c r="A1213" s="8" t="s">
        <v>17</v>
      </c>
      <c r="B1213" s="8" t="s">
        <v>520</v>
      </c>
      <c r="C1213" s="9">
        <v>1214</v>
      </c>
      <c r="D1213" s="3">
        <v>580000</v>
      </c>
      <c r="E1213" s="1">
        <f>datos_limpios[[#This Row],[Price INR   ]]*0.011</f>
        <v>6380</v>
      </c>
      <c r="F1213" s="13">
        <v>2019</v>
      </c>
      <c r="G1213" s="2">
        <v>17881</v>
      </c>
      <c r="H1213" s="8" t="s">
        <v>12</v>
      </c>
      <c r="I1213" s="8" t="s">
        <v>13</v>
      </c>
      <c r="J1213" s="8" t="s">
        <v>14</v>
      </c>
      <c r="K1213" t="s">
        <v>26</v>
      </c>
      <c r="L1213" t="s">
        <v>137</v>
      </c>
      <c r="M1213" s="2">
        <f>VALUE(MID(L1213,1,FIND("@",L1213)-6))</f>
        <v>83</v>
      </c>
      <c r="N1213">
        <v>5</v>
      </c>
      <c r="O1213" t="str">
        <f>IF(datos_limpios[[#This Row],[Seating Capacity ]]&gt;4,"SI","NO")</f>
        <v>SI</v>
      </c>
      <c r="P1213">
        <v>42</v>
      </c>
    </row>
    <row r="1214" spans="1:16" x14ac:dyDescent="0.3">
      <c r="A1214" s="8" t="s">
        <v>17</v>
      </c>
      <c r="B1214" s="8" t="s">
        <v>1280</v>
      </c>
      <c r="C1214" s="9">
        <v>1215</v>
      </c>
      <c r="D1214" s="3">
        <v>585000</v>
      </c>
      <c r="E1214" s="1">
        <f>datos_limpios[[#This Row],[Price INR   ]]*0.011</f>
        <v>6435</v>
      </c>
      <c r="F1214" s="13">
        <v>2018</v>
      </c>
      <c r="G1214" s="2">
        <v>31000</v>
      </c>
      <c r="H1214" s="8" t="s">
        <v>12</v>
      </c>
      <c r="I1214" s="8" t="s">
        <v>13</v>
      </c>
      <c r="J1214" s="8" t="s">
        <v>82</v>
      </c>
      <c r="K1214" t="s">
        <v>36</v>
      </c>
      <c r="L1214" t="s">
        <v>37</v>
      </c>
      <c r="M1214" s="2">
        <f>VALUE(MID(L1214,1,FIND("@",L1214)-6))</f>
        <v>91</v>
      </c>
      <c r="N1214">
        <v>5</v>
      </c>
      <c r="O1214" t="str">
        <f>IF(datos_limpios[[#This Row],[Seating Capacity ]]&gt;4,"SI","NO")</f>
        <v>SI</v>
      </c>
      <c r="P1214">
        <v>43</v>
      </c>
    </row>
    <row r="1215" spans="1:16" x14ac:dyDescent="0.3">
      <c r="A1215" s="8" t="s">
        <v>17</v>
      </c>
      <c r="B1215" s="8" t="s">
        <v>521</v>
      </c>
      <c r="C1215" s="9">
        <v>1216</v>
      </c>
      <c r="D1215" s="3">
        <v>590000</v>
      </c>
      <c r="E1215" s="1">
        <f>datos_limpios[[#This Row],[Price INR   ]]*0.011</f>
        <v>6490</v>
      </c>
      <c r="F1215" s="13">
        <v>2018</v>
      </c>
      <c r="G1215" s="2">
        <v>68500</v>
      </c>
      <c r="H1215" s="8" t="s">
        <v>19</v>
      </c>
      <c r="I1215" s="8" t="s">
        <v>13</v>
      </c>
      <c r="J1215" s="8" t="s">
        <v>14</v>
      </c>
      <c r="K1215" t="s">
        <v>21</v>
      </c>
      <c r="L1215" t="s">
        <v>22</v>
      </c>
      <c r="M1215" s="2">
        <f>VALUE(MID(L1215,1,FIND("@",L1215)-6))</f>
        <v>74</v>
      </c>
      <c r="N1215">
        <v>5</v>
      </c>
      <c r="O1215" t="str">
        <f>IF(datos_limpios[[#This Row],[Seating Capacity ]]&gt;4,"SI","NO")</f>
        <v>SI</v>
      </c>
      <c r="P1215">
        <v>37</v>
      </c>
    </row>
    <row r="1216" spans="1:16" x14ac:dyDescent="0.3">
      <c r="A1216" s="8" t="s">
        <v>17</v>
      </c>
      <c r="B1216" s="8" t="s">
        <v>520</v>
      </c>
      <c r="C1216" s="9">
        <v>1217</v>
      </c>
      <c r="D1216" s="3">
        <v>590000</v>
      </c>
      <c r="E1216" s="1">
        <f>datos_limpios[[#This Row],[Price INR   ]]*0.011</f>
        <v>6490</v>
      </c>
      <c r="F1216" s="13">
        <v>2019</v>
      </c>
      <c r="G1216" s="2">
        <v>26000</v>
      </c>
      <c r="H1216" s="8" t="s">
        <v>12</v>
      </c>
      <c r="I1216" s="8" t="s">
        <v>13</v>
      </c>
      <c r="J1216" s="8" t="s">
        <v>57</v>
      </c>
      <c r="K1216" t="s">
        <v>26</v>
      </c>
      <c r="L1216" t="s">
        <v>137</v>
      </c>
      <c r="M1216" s="2">
        <f>VALUE(MID(L1216,1,FIND("@",L1216)-6))</f>
        <v>83</v>
      </c>
      <c r="N1216">
        <v>5</v>
      </c>
      <c r="O1216" t="str">
        <f>IF(datos_limpios[[#This Row],[Seating Capacity ]]&gt;4,"SI","NO")</f>
        <v>SI</v>
      </c>
      <c r="P1216">
        <v>42</v>
      </c>
    </row>
    <row r="1217" spans="1:16" x14ac:dyDescent="0.3">
      <c r="A1217" s="8" t="s">
        <v>17</v>
      </c>
      <c r="B1217" s="8" t="s">
        <v>141</v>
      </c>
      <c r="C1217" s="9">
        <v>1218</v>
      </c>
      <c r="D1217" s="3">
        <v>590000</v>
      </c>
      <c r="E1217" s="1">
        <f>datos_limpios[[#This Row],[Price INR   ]]*0.011</f>
        <v>6490</v>
      </c>
      <c r="F1217" s="13">
        <v>2015</v>
      </c>
      <c r="G1217" s="2">
        <v>39000</v>
      </c>
      <c r="H1217" s="8" t="s">
        <v>12</v>
      </c>
      <c r="I1217" s="8" t="s">
        <v>13</v>
      </c>
      <c r="J1217" s="8" t="s">
        <v>20</v>
      </c>
      <c r="K1217" t="s">
        <v>36</v>
      </c>
      <c r="L1217" t="s">
        <v>37</v>
      </c>
      <c r="M1217" s="2">
        <f>VALUE(MID(L1217,1,FIND("@",L1217)-6))</f>
        <v>91</v>
      </c>
      <c r="N1217">
        <v>5</v>
      </c>
      <c r="O1217" t="str">
        <f>IF(datos_limpios[[#This Row],[Seating Capacity ]]&gt;4,"SI","NO")</f>
        <v>SI</v>
      </c>
      <c r="P1217">
        <v>43</v>
      </c>
    </row>
    <row r="1218" spans="1:16" x14ac:dyDescent="0.3">
      <c r="A1218" s="8" t="s">
        <v>17</v>
      </c>
      <c r="B1218" s="8" t="s">
        <v>888</v>
      </c>
      <c r="C1218" s="9">
        <v>1219</v>
      </c>
      <c r="D1218" s="3">
        <v>590000</v>
      </c>
      <c r="E1218" s="1">
        <f>datos_limpios[[#This Row],[Price INR   ]]*0.011</f>
        <v>6490</v>
      </c>
      <c r="F1218" s="13">
        <v>2021</v>
      </c>
      <c r="G1218" s="2">
        <v>8640</v>
      </c>
      <c r="H1218" s="8" t="s">
        <v>89</v>
      </c>
      <c r="I1218" s="8" t="s">
        <v>13</v>
      </c>
      <c r="J1218" s="8" t="s">
        <v>20</v>
      </c>
      <c r="K1218" t="s">
        <v>171</v>
      </c>
      <c r="L1218" t="s">
        <v>172</v>
      </c>
      <c r="M1218" s="2">
        <f>VALUE(MID(L1218,1,FIND("@",L1218)-6))</f>
        <v>73</v>
      </c>
      <c r="N1218">
        <v>5</v>
      </c>
      <c r="O1218" t="str">
        <f>IF(datos_limpios[[#This Row],[Seating Capacity ]]&gt;4,"SI","NO")</f>
        <v>SI</v>
      </c>
      <c r="P1218">
        <v>40</v>
      </c>
    </row>
    <row r="1219" spans="1:16" x14ac:dyDescent="0.3">
      <c r="A1219" s="8" t="s">
        <v>17</v>
      </c>
      <c r="B1219" s="8" t="s">
        <v>687</v>
      </c>
      <c r="C1219" s="9">
        <v>1220</v>
      </c>
      <c r="D1219" s="3">
        <v>590000</v>
      </c>
      <c r="E1219" s="1">
        <f>datos_limpios[[#This Row],[Price INR   ]]*0.011</f>
        <v>6490</v>
      </c>
      <c r="F1219" s="13">
        <v>2016</v>
      </c>
      <c r="G1219" s="2">
        <v>77000</v>
      </c>
      <c r="H1219" s="8" t="s">
        <v>19</v>
      </c>
      <c r="I1219" s="8" t="s">
        <v>13</v>
      </c>
      <c r="J1219" s="8" t="s">
        <v>77</v>
      </c>
      <c r="K1219" t="s">
        <v>210</v>
      </c>
      <c r="L1219" t="s">
        <v>688</v>
      </c>
      <c r="M1219" s="2">
        <f>VALUE(MID(L1219,1,FIND("@",L1219)-6))</f>
        <v>118</v>
      </c>
      <c r="N1219">
        <v>5</v>
      </c>
      <c r="O1219" t="str">
        <f>IF(datos_limpios[[#This Row],[Seating Capacity ]]&gt;4,"SI","NO")</f>
        <v>SI</v>
      </c>
      <c r="P1219">
        <v>48</v>
      </c>
    </row>
    <row r="1220" spans="1:16" x14ac:dyDescent="0.3">
      <c r="A1220" s="8" t="s">
        <v>17</v>
      </c>
      <c r="B1220" s="8" t="s">
        <v>498</v>
      </c>
      <c r="C1220" s="9">
        <v>1221</v>
      </c>
      <c r="D1220" s="3">
        <v>590000</v>
      </c>
      <c r="E1220" s="1">
        <f>datos_limpios[[#This Row],[Price INR   ]]*0.011</f>
        <v>6490</v>
      </c>
      <c r="F1220" s="13">
        <v>2014</v>
      </c>
      <c r="G1220" s="2">
        <v>86000</v>
      </c>
      <c r="H1220" s="8" t="s">
        <v>19</v>
      </c>
      <c r="I1220" s="8" t="s">
        <v>13</v>
      </c>
      <c r="J1220" s="8" t="s">
        <v>20</v>
      </c>
      <c r="K1220" t="s">
        <v>21</v>
      </c>
      <c r="L1220" t="s">
        <v>22</v>
      </c>
      <c r="M1220" s="2">
        <f>VALUE(MID(L1220,1,FIND("@",L1220)-6))</f>
        <v>74</v>
      </c>
      <c r="N1220">
        <v>5</v>
      </c>
      <c r="O1220" t="str">
        <f>IF(datos_limpios[[#This Row],[Seating Capacity ]]&gt;4,"SI","NO")</f>
        <v>SI</v>
      </c>
      <c r="P1220">
        <v>42</v>
      </c>
    </row>
    <row r="1221" spans="1:16" x14ac:dyDescent="0.3">
      <c r="A1221" s="8" t="s">
        <v>17</v>
      </c>
      <c r="B1221" s="8" t="s">
        <v>1128</v>
      </c>
      <c r="C1221" s="9">
        <v>1222</v>
      </c>
      <c r="D1221" s="3">
        <v>591000</v>
      </c>
      <c r="E1221" s="1">
        <f>datos_limpios[[#This Row],[Price INR   ]]*0.011</f>
        <v>6501</v>
      </c>
      <c r="F1221" s="13">
        <v>2015</v>
      </c>
      <c r="G1221" s="2">
        <v>65000</v>
      </c>
      <c r="H1221" s="8" t="s">
        <v>19</v>
      </c>
      <c r="I1221" s="8" t="s">
        <v>13</v>
      </c>
      <c r="J1221" s="8" t="s">
        <v>20</v>
      </c>
      <c r="K1221" t="s">
        <v>21</v>
      </c>
      <c r="L1221" t="s">
        <v>140</v>
      </c>
      <c r="M1221" s="2">
        <f>VALUE(MID(L1221,1,FIND("@",L1221)-6))</f>
        <v>89</v>
      </c>
      <c r="N1221">
        <v>5</v>
      </c>
      <c r="O1221" t="str">
        <f>IF(datos_limpios[[#This Row],[Seating Capacity ]]&gt;4,"SI","NO")</f>
        <v>SI</v>
      </c>
      <c r="P1221">
        <v>43</v>
      </c>
    </row>
    <row r="1222" spans="1:16" x14ac:dyDescent="0.3">
      <c r="A1222" s="8" t="s">
        <v>17</v>
      </c>
      <c r="B1222" s="8" t="s">
        <v>567</v>
      </c>
      <c r="C1222" s="9">
        <v>1223</v>
      </c>
      <c r="D1222" s="3">
        <v>595000</v>
      </c>
      <c r="E1222" s="1">
        <f>datos_limpios[[#This Row],[Price INR   ]]*0.011</f>
        <v>6545</v>
      </c>
      <c r="F1222" s="13">
        <v>2017</v>
      </c>
      <c r="G1222" s="2">
        <v>35000</v>
      </c>
      <c r="H1222" s="8" t="s">
        <v>12</v>
      </c>
      <c r="I1222" s="8" t="s">
        <v>40</v>
      </c>
      <c r="J1222" s="8" t="s">
        <v>57</v>
      </c>
      <c r="K1222" t="s">
        <v>26</v>
      </c>
      <c r="L1222" t="s">
        <v>137</v>
      </c>
      <c r="M1222" s="2">
        <f>VALUE(MID(L1222,1,FIND("@",L1222)-6))</f>
        <v>83</v>
      </c>
      <c r="N1222">
        <v>5</v>
      </c>
      <c r="O1222" t="str">
        <f>IF(datos_limpios[[#This Row],[Seating Capacity ]]&gt;4,"SI","NO")</f>
        <v>SI</v>
      </c>
      <c r="P1222">
        <v>37</v>
      </c>
    </row>
    <row r="1223" spans="1:16" x14ac:dyDescent="0.3">
      <c r="A1223" s="8" t="s">
        <v>17</v>
      </c>
      <c r="B1223" s="8" t="s">
        <v>1042</v>
      </c>
      <c r="C1223" s="9">
        <v>1224</v>
      </c>
      <c r="D1223" s="3">
        <v>595000</v>
      </c>
      <c r="E1223" s="1">
        <f>datos_limpios[[#This Row],[Price INR   ]]*0.011</f>
        <v>6545</v>
      </c>
      <c r="F1223" s="13">
        <v>2017</v>
      </c>
      <c r="G1223" s="2">
        <v>44100</v>
      </c>
      <c r="H1223" s="8" t="s">
        <v>12</v>
      </c>
      <c r="I1223" s="8" t="s">
        <v>40</v>
      </c>
      <c r="J1223" s="8" t="s">
        <v>77</v>
      </c>
      <c r="K1223" t="s">
        <v>26</v>
      </c>
      <c r="L1223" t="s">
        <v>137</v>
      </c>
      <c r="M1223" s="2">
        <f>VALUE(MID(L1223,1,FIND("@",L1223)-6))</f>
        <v>83</v>
      </c>
      <c r="N1223">
        <v>5</v>
      </c>
      <c r="O1223" t="str">
        <f>IF(datos_limpios[[#This Row],[Seating Capacity ]]&gt;4,"SI","NO")</f>
        <v>SI</v>
      </c>
      <c r="P1223">
        <v>42</v>
      </c>
    </row>
    <row r="1224" spans="1:16" x14ac:dyDescent="0.3">
      <c r="A1224" s="8" t="s">
        <v>17</v>
      </c>
      <c r="B1224" s="8" t="s">
        <v>898</v>
      </c>
      <c r="C1224" s="9">
        <v>1225</v>
      </c>
      <c r="D1224" s="3">
        <v>595000</v>
      </c>
      <c r="E1224" s="1">
        <f>datos_limpios[[#This Row],[Price INR   ]]*0.011</f>
        <v>6545</v>
      </c>
      <c r="F1224" s="13">
        <v>2016</v>
      </c>
      <c r="G1224" s="2">
        <v>26357</v>
      </c>
      <c r="H1224" s="8" t="s">
        <v>12</v>
      </c>
      <c r="I1224" s="8" t="s">
        <v>13</v>
      </c>
      <c r="J1224" s="8" t="s">
        <v>14</v>
      </c>
      <c r="K1224" t="s">
        <v>26</v>
      </c>
      <c r="L1224" t="s">
        <v>137</v>
      </c>
      <c r="M1224" s="2">
        <f>VALUE(MID(L1224,1,FIND("@",L1224)-6))</f>
        <v>83</v>
      </c>
      <c r="N1224">
        <v>5</v>
      </c>
      <c r="O1224" t="str">
        <f>IF(datos_limpios[[#This Row],[Seating Capacity ]]&gt;4,"SI","NO")</f>
        <v>SI</v>
      </c>
      <c r="P1224">
        <v>42</v>
      </c>
    </row>
    <row r="1225" spans="1:16" x14ac:dyDescent="0.3">
      <c r="A1225" s="8" t="s">
        <v>17</v>
      </c>
      <c r="B1225" s="8" t="s">
        <v>252</v>
      </c>
      <c r="C1225" s="9">
        <v>1226</v>
      </c>
      <c r="D1225" s="3">
        <v>599000</v>
      </c>
      <c r="E1225" s="1">
        <f>datos_limpios[[#This Row],[Price INR   ]]*0.011</f>
        <v>6589</v>
      </c>
      <c r="F1225" s="13">
        <v>2015</v>
      </c>
      <c r="G1225" s="2">
        <v>72000</v>
      </c>
      <c r="H1225" s="8" t="s">
        <v>19</v>
      </c>
      <c r="I1225" s="8" t="s">
        <v>13</v>
      </c>
      <c r="J1225" s="8" t="s">
        <v>77</v>
      </c>
      <c r="K1225" t="s">
        <v>21</v>
      </c>
      <c r="L1225" t="s">
        <v>140</v>
      </c>
      <c r="M1225" s="2">
        <f>VALUE(MID(L1225,1,FIND("@",L1225)-6))</f>
        <v>89</v>
      </c>
      <c r="N1225">
        <v>7</v>
      </c>
      <c r="O1225" t="str">
        <f>IF(datos_limpios[[#This Row],[Seating Capacity ]]&gt;4,"SI","NO")</f>
        <v>SI</v>
      </c>
      <c r="P1225">
        <v>45</v>
      </c>
    </row>
    <row r="1226" spans="1:16" x14ac:dyDescent="0.3">
      <c r="A1226" s="8" t="s">
        <v>17</v>
      </c>
      <c r="B1226" s="8" t="s">
        <v>476</v>
      </c>
      <c r="C1226" s="9">
        <v>1227</v>
      </c>
      <c r="D1226" s="3">
        <v>600000</v>
      </c>
      <c r="E1226" s="1">
        <f>datos_limpios[[#This Row],[Price INR   ]]*0.011</f>
        <v>6600</v>
      </c>
      <c r="F1226" s="13">
        <v>2017</v>
      </c>
      <c r="G1226" s="2">
        <v>86000</v>
      </c>
      <c r="H1226" s="8" t="s">
        <v>19</v>
      </c>
      <c r="I1226" s="8" t="s">
        <v>13</v>
      </c>
      <c r="J1226" s="8" t="s">
        <v>82</v>
      </c>
      <c r="K1226" t="s">
        <v>21</v>
      </c>
      <c r="L1226" t="s">
        <v>140</v>
      </c>
      <c r="M1226" s="2">
        <f>VALUE(MID(L1226,1,FIND("@",L1226)-6))</f>
        <v>89</v>
      </c>
      <c r="N1226">
        <v>5</v>
      </c>
      <c r="O1226" t="str">
        <f>IF(datos_limpios[[#This Row],[Seating Capacity ]]&gt;4,"SI","NO")</f>
        <v>SI</v>
      </c>
      <c r="P1226">
        <v>43</v>
      </c>
    </row>
    <row r="1227" spans="1:16" x14ac:dyDescent="0.3">
      <c r="A1227" s="8" t="s">
        <v>17</v>
      </c>
      <c r="B1227" s="8" t="s">
        <v>520</v>
      </c>
      <c r="C1227" s="9">
        <v>1228</v>
      </c>
      <c r="D1227" s="3">
        <v>600000</v>
      </c>
      <c r="E1227" s="1">
        <f>datos_limpios[[#This Row],[Price INR   ]]*0.011</f>
        <v>6600</v>
      </c>
      <c r="F1227" s="13">
        <v>2020</v>
      </c>
      <c r="G1227" s="2">
        <v>10000</v>
      </c>
      <c r="H1227" s="8" t="s">
        <v>12</v>
      </c>
      <c r="I1227" s="8" t="s">
        <v>13</v>
      </c>
      <c r="J1227" s="8" t="s">
        <v>20</v>
      </c>
      <c r="K1227" t="s">
        <v>26</v>
      </c>
      <c r="L1227" t="s">
        <v>137</v>
      </c>
      <c r="M1227" s="2">
        <f>VALUE(MID(L1227,1,FIND("@",L1227)-6))</f>
        <v>83</v>
      </c>
      <c r="N1227">
        <v>5</v>
      </c>
      <c r="O1227" t="str">
        <f>IF(datos_limpios[[#This Row],[Seating Capacity ]]&gt;4,"SI","NO")</f>
        <v>SI</v>
      </c>
      <c r="P1227">
        <v>42</v>
      </c>
    </row>
    <row r="1228" spans="1:16" x14ac:dyDescent="0.3">
      <c r="A1228" s="8" t="s">
        <v>17</v>
      </c>
      <c r="B1228" s="8" t="s">
        <v>136</v>
      </c>
      <c r="C1228" s="9">
        <v>1229</v>
      </c>
      <c r="D1228" s="3">
        <v>600000</v>
      </c>
      <c r="E1228" s="1">
        <f>datos_limpios[[#This Row],[Price INR   ]]*0.011</f>
        <v>6600</v>
      </c>
      <c r="F1228" s="13">
        <v>2018</v>
      </c>
      <c r="G1228" s="2">
        <v>32000</v>
      </c>
      <c r="H1228" s="8" t="s">
        <v>12</v>
      </c>
      <c r="I1228" s="8" t="s">
        <v>13</v>
      </c>
      <c r="J1228" s="8" t="s">
        <v>77</v>
      </c>
      <c r="K1228" t="s">
        <v>26</v>
      </c>
      <c r="L1228" t="s">
        <v>137</v>
      </c>
      <c r="M1228" s="2">
        <f>VALUE(MID(L1228,1,FIND("@",L1228)-6))</f>
        <v>83</v>
      </c>
      <c r="N1228">
        <v>5</v>
      </c>
      <c r="O1228" t="str">
        <f>IF(datos_limpios[[#This Row],[Seating Capacity ]]&gt;4,"SI","NO")</f>
        <v>SI</v>
      </c>
      <c r="P1228">
        <v>37</v>
      </c>
    </row>
    <row r="1229" spans="1:16" x14ac:dyDescent="0.3">
      <c r="A1229" s="8" t="s">
        <v>17</v>
      </c>
      <c r="B1229" s="8" t="s">
        <v>520</v>
      </c>
      <c r="C1229" s="9">
        <v>1230</v>
      </c>
      <c r="D1229" s="3">
        <v>600000</v>
      </c>
      <c r="E1229" s="1">
        <f>datos_limpios[[#This Row],[Price INR   ]]*0.011</f>
        <v>6600</v>
      </c>
      <c r="F1229" s="13">
        <v>2018</v>
      </c>
      <c r="G1229" s="2">
        <v>54000</v>
      </c>
      <c r="H1229" s="8" t="s">
        <v>12</v>
      </c>
      <c r="I1229" s="8" t="s">
        <v>13</v>
      </c>
      <c r="J1229" s="8" t="s">
        <v>20</v>
      </c>
      <c r="K1229" t="s">
        <v>26</v>
      </c>
      <c r="L1229" t="s">
        <v>137</v>
      </c>
      <c r="M1229" s="2">
        <f>VALUE(MID(L1229,1,FIND("@",L1229)-6))</f>
        <v>83</v>
      </c>
      <c r="N1229">
        <v>5</v>
      </c>
      <c r="O1229" t="str">
        <f>IF(datos_limpios[[#This Row],[Seating Capacity ]]&gt;4,"SI","NO")</f>
        <v>SI</v>
      </c>
      <c r="P1229">
        <v>42</v>
      </c>
    </row>
    <row r="1230" spans="1:16" x14ac:dyDescent="0.3">
      <c r="A1230" s="8" t="s">
        <v>17</v>
      </c>
      <c r="B1230" s="8" t="s">
        <v>252</v>
      </c>
      <c r="C1230" s="9">
        <v>1231</v>
      </c>
      <c r="D1230" s="3">
        <v>600000</v>
      </c>
      <c r="E1230" s="1">
        <f>datos_limpios[[#This Row],[Price INR   ]]*0.011</f>
        <v>6600</v>
      </c>
      <c r="F1230" s="13">
        <v>2014</v>
      </c>
      <c r="G1230" s="2">
        <v>53213</v>
      </c>
      <c r="H1230" s="8" t="s">
        <v>19</v>
      </c>
      <c r="I1230" s="8" t="s">
        <v>13</v>
      </c>
      <c r="J1230" s="8" t="s">
        <v>20</v>
      </c>
      <c r="K1230" t="s">
        <v>21</v>
      </c>
      <c r="L1230" t="s">
        <v>140</v>
      </c>
      <c r="M1230" s="2">
        <f>VALUE(MID(L1230,1,FIND("@",L1230)-6))</f>
        <v>89</v>
      </c>
      <c r="N1230">
        <v>7</v>
      </c>
      <c r="O1230" t="str">
        <f>IF(datos_limpios[[#This Row],[Seating Capacity ]]&gt;4,"SI","NO")</f>
        <v>SI</v>
      </c>
      <c r="P1230">
        <v>45</v>
      </c>
    </row>
    <row r="1231" spans="1:16" x14ac:dyDescent="0.3">
      <c r="A1231" s="8" t="s">
        <v>17</v>
      </c>
      <c r="B1231" s="8" t="s">
        <v>136</v>
      </c>
      <c r="C1231" s="9">
        <v>1232</v>
      </c>
      <c r="D1231" s="3">
        <v>605000</v>
      </c>
      <c r="E1231" s="1">
        <f>datos_limpios[[#This Row],[Price INR   ]]*0.011</f>
        <v>6655</v>
      </c>
      <c r="F1231" s="13">
        <v>2019</v>
      </c>
      <c r="G1231" s="2">
        <v>27469</v>
      </c>
      <c r="H1231" s="8" t="s">
        <v>12</v>
      </c>
      <c r="I1231" s="8" t="s">
        <v>13</v>
      </c>
      <c r="J1231" s="8" t="s">
        <v>77</v>
      </c>
      <c r="K1231" t="s">
        <v>26</v>
      </c>
      <c r="L1231" t="s">
        <v>137</v>
      </c>
      <c r="M1231" s="2">
        <f>VALUE(MID(L1231,1,FIND("@",L1231)-6))</f>
        <v>83</v>
      </c>
      <c r="N1231">
        <v>5</v>
      </c>
      <c r="O1231" t="str">
        <f>IF(datos_limpios[[#This Row],[Seating Capacity ]]&gt;4,"SI","NO")</f>
        <v>SI</v>
      </c>
      <c r="P1231">
        <v>37</v>
      </c>
    </row>
    <row r="1232" spans="1:16" x14ac:dyDescent="0.3">
      <c r="A1232" s="8" t="s">
        <v>17</v>
      </c>
      <c r="B1232" s="8" t="s">
        <v>578</v>
      </c>
      <c r="C1232" s="9">
        <v>1233</v>
      </c>
      <c r="D1232" s="3">
        <v>610000</v>
      </c>
      <c r="E1232" s="1">
        <f>datos_limpios[[#This Row],[Price INR   ]]*0.011</f>
        <v>6710</v>
      </c>
      <c r="F1232" s="13">
        <v>2022</v>
      </c>
      <c r="G1232" s="2">
        <v>3800</v>
      </c>
      <c r="H1232" s="8" t="s">
        <v>89</v>
      </c>
      <c r="I1232" s="8" t="s">
        <v>13</v>
      </c>
      <c r="J1232" s="8" t="s">
        <v>20</v>
      </c>
      <c r="K1232" t="s">
        <v>69</v>
      </c>
      <c r="L1232" t="s">
        <v>411</v>
      </c>
      <c r="M1232" s="2">
        <f>VALUE(MID(L1232,1,FIND("@",L1232)-6))</f>
        <v>58</v>
      </c>
      <c r="N1232">
        <v>4</v>
      </c>
      <c r="O1232" t="str">
        <f>IF(datos_limpios[[#This Row],[Seating Capacity ]]&gt;4,"SI","NO")</f>
        <v>NO</v>
      </c>
      <c r="P1232">
        <v>55</v>
      </c>
    </row>
    <row r="1233" spans="1:16" x14ac:dyDescent="0.3">
      <c r="A1233" s="8" t="s">
        <v>17</v>
      </c>
      <c r="B1233" s="8" t="s">
        <v>498</v>
      </c>
      <c r="C1233" s="9">
        <v>1234</v>
      </c>
      <c r="D1233" s="3">
        <v>610000</v>
      </c>
      <c r="E1233" s="1">
        <f>datos_limpios[[#This Row],[Price INR   ]]*0.011</f>
        <v>6710</v>
      </c>
      <c r="F1233" s="13">
        <v>2017</v>
      </c>
      <c r="G1233" s="2">
        <v>105000</v>
      </c>
      <c r="H1233" s="8" t="s">
        <v>19</v>
      </c>
      <c r="I1233" s="8" t="s">
        <v>13</v>
      </c>
      <c r="J1233" s="8" t="s">
        <v>77</v>
      </c>
      <c r="K1233" t="s">
        <v>21</v>
      </c>
      <c r="L1233" t="s">
        <v>22</v>
      </c>
      <c r="M1233" s="2">
        <f>VALUE(MID(L1233,1,FIND("@",L1233)-6))</f>
        <v>74</v>
      </c>
      <c r="N1233">
        <v>5</v>
      </c>
      <c r="O1233" t="str">
        <f>IF(datos_limpios[[#This Row],[Seating Capacity ]]&gt;4,"SI","NO")</f>
        <v>SI</v>
      </c>
      <c r="P1233">
        <v>42</v>
      </c>
    </row>
    <row r="1234" spans="1:16" x14ac:dyDescent="0.3">
      <c r="A1234" s="8" t="s">
        <v>17</v>
      </c>
      <c r="B1234" s="8" t="s">
        <v>1396</v>
      </c>
      <c r="C1234" s="9">
        <v>1235</v>
      </c>
      <c r="D1234" s="3">
        <v>610000</v>
      </c>
      <c r="E1234" s="1">
        <f>datos_limpios[[#This Row],[Price INR   ]]*0.011</f>
        <v>6710</v>
      </c>
      <c r="F1234" s="13">
        <v>2017</v>
      </c>
      <c r="G1234" s="2">
        <v>38674</v>
      </c>
      <c r="H1234" s="8" t="s">
        <v>12</v>
      </c>
      <c r="I1234" s="8" t="s">
        <v>13</v>
      </c>
      <c r="J1234" s="8" t="s">
        <v>30</v>
      </c>
      <c r="K1234" t="s">
        <v>26</v>
      </c>
      <c r="L1234" t="s">
        <v>137</v>
      </c>
      <c r="M1234" s="2">
        <f>VALUE(MID(L1234,1,FIND("@",L1234)-6))</f>
        <v>83</v>
      </c>
      <c r="N1234">
        <v>5</v>
      </c>
      <c r="O1234" t="str">
        <f>IF(datos_limpios[[#This Row],[Seating Capacity ]]&gt;4,"SI","NO")</f>
        <v>SI</v>
      </c>
      <c r="P1234">
        <v>42</v>
      </c>
    </row>
    <row r="1235" spans="1:16" x14ac:dyDescent="0.3">
      <c r="A1235" s="8" t="s">
        <v>17</v>
      </c>
      <c r="B1235" s="8" t="s">
        <v>208</v>
      </c>
      <c r="C1235" s="9">
        <v>1236</v>
      </c>
      <c r="D1235" s="3">
        <v>615000</v>
      </c>
      <c r="E1235" s="1">
        <f>datos_limpios[[#This Row],[Price INR   ]]*0.011</f>
        <v>6765</v>
      </c>
      <c r="F1235" s="13">
        <v>2017</v>
      </c>
      <c r="G1235" s="2">
        <v>36058</v>
      </c>
      <c r="H1235" s="8" t="s">
        <v>12</v>
      </c>
      <c r="I1235" s="8" t="s">
        <v>13</v>
      </c>
      <c r="J1235" s="8" t="s">
        <v>77</v>
      </c>
      <c r="K1235" t="s">
        <v>26</v>
      </c>
      <c r="L1235" t="s">
        <v>137</v>
      </c>
      <c r="M1235" s="2">
        <f>VALUE(MID(L1235,1,FIND("@",L1235)-6))</f>
        <v>83</v>
      </c>
      <c r="N1235">
        <v>5</v>
      </c>
      <c r="O1235" t="str">
        <f>IF(datos_limpios[[#This Row],[Seating Capacity ]]&gt;4,"SI","NO")</f>
        <v>SI</v>
      </c>
      <c r="P1235">
        <v>37</v>
      </c>
    </row>
    <row r="1236" spans="1:16" x14ac:dyDescent="0.3">
      <c r="A1236" s="8" t="s">
        <v>17</v>
      </c>
      <c r="B1236" s="8" t="s">
        <v>1136</v>
      </c>
      <c r="C1236" s="9">
        <v>1237</v>
      </c>
      <c r="D1236" s="3">
        <v>620000</v>
      </c>
      <c r="E1236" s="1">
        <f>datos_limpios[[#This Row],[Price INR   ]]*0.011</f>
        <v>6820</v>
      </c>
      <c r="F1236" s="13">
        <v>2016</v>
      </c>
      <c r="G1236" s="2">
        <v>85000</v>
      </c>
      <c r="H1236" s="8" t="s">
        <v>19</v>
      </c>
      <c r="I1236" s="8" t="s">
        <v>13</v>
      </c>
      <c r="J1236" s="8" t="s">
        <v>20</v>
      </c>
      <c r="K1236" t="s">
        <v>210</v>
      </c>
      <c r="L1236" t="s">
        <v>688</v>
      </c>
      <c r="M1236" s="2">
        <f>VALUE(MID(L1236,1,FIND("@",L1236)-6))</f>
        <v>118</v>
      </c>
      <c r="N1236">
        <v>5</v>
      </c>
      <c r="O1236" t="str">
        <f>IF(datos_limpios[[#This Row],[Seating Capacity ]]&gt;4,"SI","NO")</f>
        <v>SI</v>
      </c>
      <c r="P1236">
        <v>48</v>
      </c>
    </row>
    <row r="1237" spans="1:16" x14ac:dyDescent="0.3">
      <c r="A1237" s="8" t="s">
        <v>17</v>
      </c>
      <c r="B1237" s="8" t="s">
        <v>293</v>
      </c>
      <c r="C1237" s="9">
        <v>1238</v>
      </c>
      <c r="D1237" s="3">
        <v>620000</v>
      </c>
      <c r="E1237" s="1">
        <f>datos_limpios[[#This Row],[Price INR   ]]*0.011</f>
        <v>6820</v>
      </c>
      <c r="F1237" s="13">
        <v>2019</v>
      </c>
      <c r="G1237" s="2">
        <v>42356</v>
      </c>
      <c r="H1237" s="8" t="s">
        <v>12</v>
      </c>
      <c r="I1237" s="8" t="s">
        <v>13</v>
      </c>
      <c r="J1237" s="8" t="s">
        <v>30</v>
      </c>
      <c r="K1237" t="s">
        <v>26</v>
      </c>
      <c r="L1237" t="s">
        <v>137</v>
      </c>
      <c r="M1237" s="2">
        <f>VALUE(MID(L1237,1,FIND("@",L1237)-6))</f>
        <v>83</v>
      </c>
      <c r="N1237">
        <v>5</v>
      </c>
      <c r="O1237" t="str">
        <f>IF(datos_limpios[[#This Row],[Seating Capacity ]]&gt;4,"SI","NO")</f>
        <v>SI</v>
      </c>
      <c r="P1237">
        <v>37</v>
      </c>
    </row>
    <row r="1238" spans="1:16" x14ac:dyDescent="0.3">
      <c r="A1238" s="8" t="s">
        <v>17</v>
      </c>
      <c r="B1238" s="8" t="s">
        <v>808</v>
      </c>
      <c r="C1238" s="9">
        <v>1239</v>
      </c>
      <c r="D1238" s="3">
        <v>620000</v>
      </c>
      <c r="E1238" s="1">
        <f>datos_limpios[[#This Row],[Price INR   ]]*0.011</f>
        <v>6820</v>
      </c>
      <c r="F1238" s="13">
        <v>2016</v>
      </c>
      <c r="G1238" s="2">
        <v>64906</v>
      </c>
      <c r="H1238" s="8" t="s">
        <v>19</v>
      </c>
      <c r="I1238" s="8" t="s">
        <v>13</v>
      </c>
      <c r="J1238" s="8" t="s">
        <v>14</v>
      </c>
      <c r="K1238" t="s">
        <v>21</v>
      </c>
      <c r="L1238" t="s">
        <v>140</v>
      </c>
      <c r="M1238" s="2">
        <f>VALUE(MID(L1238,1,FIND("@",L1238)-6))</f>
        <v>89</v>
      </c>
      <c r="N1238">
        <v>7</v>
      </c>
      <c r="O1238" t="str">
        <f>IF(datos_limpios[[#This Row],[Seating Capacity ]]&gt;4,"SI","NO")</f>
        <v>SI</v>
      </c>
      <c r="P1238">
        <v>45</v>
      </c>
    </row>
    <row r="1239" spans="1:16" x14ac:dyDescent="0.3">
      <c r="A1239" s="8" t="s">
        <v>17</v>
      </c>
      <c r="B1239" s="8" t="s">
        <v>1338</v>
      </c>
      <c r="C1239" s="9">
        <v>1240</v>
      </c>
      <c r="D1239" s="3">
        <v>621000</v>
      </c>
      <c r="E1239" s="1">
        <f>datos_limpios[[#This Row],[Price INR   ]]*0.011</f>
        <v>6831</v>
      </c>
      <c r="F1239" s="13">
        <v>2013</v>
      </c>
      <c r="G1239" s="2">
        <v>72000</v>
      </c>
      <c r="H1239" s="8" t="s">
        <v>19</v>
      </c>
      <c r="I1239" s="8" t="s">
        <v>13</v>
      </c>
      <c r="J1239" s="8" t="s">
        <v>57</v>
      </c>
      <c r="K1239" t="s">
        <v>21</v>
      </c>
      <c r="L1239" t="s">
        <v>140</v>
      </c>
      <c r="M1239" s="2">
        <f>VALUE(MID(L1239,1,FIND("@",L1239)-6))</f>
        <v>89</v>
      </c>
      <c r="N1239">
        <v>7</v>
      </c>
      <c r="O1239" t="str">
        <f>IF(datos_limpios[[#This Row],[Seating Capacity ]]&gt;4,"SI","NO")</f>
        <v>SI</v>
      </c>
      <c r="P1239">
        <v>45</v>
      </c>
    </row>
    <row r="1240" spans="1:16" x14ac:dyDescent="0.3">
      <c r="A1240" s="8" t="s">
        <v>17</v>
      </c>
      <c r="B1240" s="8" t="s">
        <v>139</v>
      </c>
      <c r="C1240" s="9">
        <v>1241</v>
      </c>
      <c r="D1240" s="3">
        <v>625000</v>
      </c>
      <c r="E1240" s="1">
        <f>datos_limpios[[#This Row],[Price INR   ]]*0.011</f>
        <v>6875</v>
      </c>
      <c r="F1240" s="13">
        <v>2016</v>
      </c>
      <c r="G1240" s="2">
        <v>51330</v>
      </c>
      <c r="H1240" s="8" t="s">
        <v>19</v>
      </c>
      <c r="I1240" s="8" t="s">
        <v>13</v>
      </c>
      <c r="J1240" s="8" t="s">
        <v>82</v>
      </c>
      <c r="K1240" t="s">
        <v>21</v>
      </c>
      <c r="L1240" t="s">
        <v>140</v>
      </c>
      <c r="M1240" s="2">
        <f>VALUE(MID(L1240,1,FIND("@",L1240)-6))</f>
        <v>89</v>
      </c>
      <c r="N1240">
        <v>5</v>
      </c>
      <c r="O1240" t="str">
        <f>IF(datos_limpios[[#This Row],[Seating Capacity ]]&gt;4,"SI","NO")</f>
        <v>SI</v>
      </c>
      <c r="P1240">
        <v>43</v>
      </c>
    </row>
    <row r="1241" spans="1:16" x14ac:dyDescent="0.3">
      <c r="A1241" s="8" t="s">
        <v>17</v>
      </c>
      <c r="B1241" s="8" t="s">
        <v>208</v>
      </c>
      <c r="C1241" s="9">
        <v>1242</v>
      </c>
      <c r="D1241" s="3">
        <v>625000</v>
      </c>
      <c r="E1241" s="1">
        <f>datos_limpios[[#This Row],[Price INR   ]]*0.011</f>
        <v>6875</v>
      </c>
      <c r="F1241" s="13">
        <v>2017</v>
      </c>
      <c r="G1241" s="2">
        <v>51145</v>
      </c>
      <c r="H1241" s="8" t="s">
        <v>12</v>
      </c>
      <c r="I1241" s="8" t="s">
        <v>13</v>
      </c>
      <c r="J1241" s="8" t="s">
        <v>30</v>
      </c>
      <c r="K1241" t="s">
        <v>26</v>
      </c>
      <c r="L1241" t="s">
        <v>137</v>
      </c>
      <c r="M1241" s="2">
        <f>VALUE(MID(L1241,1,FIND("@",L1241)-6))</f>
        <v>83</v>
      </c>
      <c r="N1241">
        <v>5</v>
      </c>
      <c r="O1241" t="str">
        <f>IF(datos_limpios[[#This Row],[Seating Capacity ]]&gt;4,"SI","NO")</f>
        <v>SI</v>
      </c>
      <c r="P1241">
        <v>37</v>
      </c>
    </row>
    <row r="1242" spans="1:16" x14ac:dyDescent="0.3">
      <c r="A1242" s="8" t="s">
        <v>17</v>
      </c>
      <c r="B1242" s="8" t="s">
        <v>935</v>
      </c>
      <c r="C1242" s="9">
        <v>1243</v>
      </c>
      <c r="D1242" s="3">
        <v>625000</v>
      </c>
      <c r="E1242" s="1">
        <f>datos_limpios[[#This Row],[Price INR   ]]*0.011</f>
        <v>6875</v>
      </c>
      <c r="F1242" s="13">
        <v>2015</v>
      </c>
      <c r="G1242" s="2">
        <v>61000</v>
      </c>
      <c r="H1242" s="8" t="s">
        <v>19</v>
      </c>
      <c r="I1242" s="8" t="s">
        <v>13</v>
      </c>
      <c r="J1242" s="8" t="s">
        <v>20</v>
      </c>
      <c r="K1242" t="s">
        <v>21</v>
      </c>
      <c r="L1242" t="s">
        <v>140</v>
      </c>
      <c r="M1242" s="2">
        <f>VALUE(MID(L1242,1,FIND("@",L1242)-6))</f>
        <v>89</v>
      </c>
      <c r="N1242">
        <v>5</v>
      </c>
      <c r="O1242" t="str">
        <f>IF(datos_limpios[[#This Row],[Seating Capacity ]]&gt;4,"SI","NO")</f>
        <v>SI</v>
      </c>
      <c r="P1242">
        <v>43</v>
      </c>
    </row>
    <row r="1243" spans="1:16" x14ac:dyDescent="0.3">
      <c r="A1243" s="8" t="s">
        <v>17</v>
      </c>
      <c r="B1243" s="8" t="s">
        <v>592</v>
      </c>
      <c r="C1243" s="9">
        <v>1244</v>
      </c>
      <c r="D1243" s="3">
        <v>625000</v>
      </c>
      <c r="E1243" s="1">
        <f>datos_limpios[[#This Row],[Price INR   ]]*0.011</f>
        <v>6875</v>
      </c>
      <c r="F1243" s="13">
        <v>2017</v>
      </c>
      <c r="G1243" s="2">
        <v>58000</v>
      </c>
      <c r="H1243" s="8" t="s">
        <v>12</v>
      </c>
      <c r="I1243" s="8" t="s">
        <v>40</v>
      </c>
      <c r="J1243" s="8" t="s">
        <v>77</v>
      </c>
      <c r="K1243" t="s">
        <v>26</v>
      </c>
      <c r="L1243" t="s">
        <v>31</v>
      </c>
      <c r="M1243" s="2">
        <f>VALUE(MID(L1243,1,FIND("@",L1243)-6))</f>
        <v>82</v>
      </c>
      <c r="N1243">
        <v>5</v>
      </c>
      <c r="O1243" t="str">
        <f>IF(datos_limpios[[#This Row],[Seating Capacity ]]&gt;4,"SI","NO")</f>
        <v>SI</v>
      </c>
      <c r="P1243">
        <v>37</v>
      </c>
    </row>
    <row r="1244" spans="1:16" x14ac:dyDescent="0.3">
      <c r="A1244" s="8" t="s">
        <v>17</v>
      </c>
      <c r="B1244" s="8" t="s">
        <v>1068</v>
      </c>
      <c r="C1244" s="9">
        <v>1245</v>
      </c>
      <c r="D1244" s="3">
        <v>625000</v>
      </c>
      <c r="E1244" s="1">
        <f>datos_limpios[[#This Row],[Price INR   ]]*0.011</f>
        <v>6875</v>
      </c>
      <c r="F1244" s="13">
        <v>2022</v>
      </c>
      <c r="G1244" s="2">
        <v>7000</v>
      </c>
      <c r="H1244" s="8" t="s">
        <v>12</v>
      </c>
      <c r="I1244" s="8" t="s">
        <v>13</v>
      </c>
      <c r="J1244" s="8" t="s">
        <v>14</v>
      </c>
      <c r="K1244" t="s">
        <v>171</v>
      </c>
      <c r="L1244" t="s">
        <v>1069</v>
      </c>
      <c r="M1244" s="2">
        <f>VALUE(MID(L1244,1,FIND("@",L1244)-6))</f>
        <v>72</v>
      </c>
      <c r="N1244">
        <v>7</v>
      </c>
      <c r="O1244" t="str">
        <f>IF(datos_limpios[[#This Row],[Seating Capacity ]]&gt;4,"SI","NO")</f>
        <v>SI</v>
      </c>
      <c r="P1244">
        <v>40</v>
      </c>
    </row>
    <row r="1245" spans="1:16" x14ac:dyDescent="0.3">
      <c r="A1245" s="8" t="s">
        <v>17</v>
      </c>
      <c r="B1245" s="8" t="s">
        <v>520</v>
      </c>
      <c r="C1245" s="9">
        <v>1246</v>
      </c>
      <c r="D1245" s="3">
        <v>625000</v>
      </c>
      <c r="E1245" s="1">
        <f>datos_limpios[[#This Row],[Price INR   ]]*0.011</f>
        <v>6875</v>
      </c>
      <c r="F1245" s="13">
        <v>2020</v>
      </c>
      <c r="G1245" s="2">
        <v>58736</v>
      </c>
      <c r="H1245" s="8" t="s">
        <v>12</v>
      </c>
      <c r="I1245" s="8" t="s">
        <v>13</v>
      </c>
      <c r="J1245" s="8" t="s">
        <v>57</v>
      </c>
      <c r="K1245" t="s">
        <v>26</v>
      </c>
      <c r="L1245" t="s">
        <v>137</v>
      </c>
      <c r="M1245" s="2">
        <f>VALUE(MID(L1245,1,FIND("@",L1245)-6))</f>
        <v>83</v>
      </c>
      <c r="N1245">
        <v>5</v>
      </c>
      <c r="O1245" t="str">
        <f>IF(datos_limpios[[#This Row],[Seating Capacity ]]&gt;4,"SI","NO")</f>
        <v>SI</v>
      </c>
      <c r="P1245">
        <v>42</v>
      </c>
    </row>
    <row r="1246" spans="1:16" x14ac:dyDescent="0.3">
      <c r="A1246" s="8" t="s">
        <v>17</v>
      </c>
      <c r="B1246" s="8" t="s">
        <v>1338</v>
      </c>
      <c r="C1246" s="9">
        <v>1247</v>
      </c>
      <c r="D1246" s="3">
        <v>625000</v>
      </c>
      <c r="E1246" s="1">
        <f>datos_limpios[[#This Row],[Price INR   ]]*0.011</f>
        <v>6875</v>
      </c>
      <c r="F1246" s="13">
        <v>2015</v>
      </c>
      <c r="G1246" s="2">
        <v>45000</v>
      </c>
      <c r="H1246" s="8" t="s">
        <v>19</v>
      </c>
      <c r="I1246" s="8" t="s">
        <v>13</v>
      </c>
      <c r="J1246" s="8" t="s">
        <v>14</v>
      </c>
      <c r="K1246" t="s">
        <v>21</v>
      </c>
      <c r="L1246" t="s">
        <v>140</v>
      </c>
      <c r="M1246" s="2">
        <f>VALUE(MID(L1246,1,FIND("@",L1246)-6))</f>
        <v>89</v>
      </c>
      <c r="N1246">
        <v>7</v>
      </c>
      <c r="O1246" t="str">
        <f>IF(datos_limpios[[#This Row],[Seating Capacity ]]&gt;4,"SI","NO")</f>
        <v>SI</v>
      </c>
      <c r="P1246">
        <v>45</v>
      </c>
    </row>
    <row r="1247" spans="1:16" x14ac:dyDescent="0.3">
      <c r="A1247" s="8" t="s">
        <v>17</v>
      </c>
      <c r="B1247" s="8" t="s">
        <v>475</v>
      </c>
      <c r="C1247" s="9">
        <v>1248</v>
      </c>
      <c r="D1247" s="3">
        <v>625000</v>
      </c>
      <c r="E1247" s="1">
        <f>datos_limpios[[#This Row],[Price INR   ]]*0.011</f>
        <v>6875</v>
      </c>
      <c r="F1247" s="13">
        <v>2021</v>
      </c>
      <c r="G1247" s="2">
        <v>18000</v>
      </c>
      <c r="H1247" s="8" t="s">
        <v>89</v>
      </c>
      <c r="I1247" s="8" t="s">
        <v>13</v>
      </c>
      <c r="J1247" s="8" t="s">
        <v>77</v>
      </c>
      <c r="K1247" t="s">
        <v>69</v>
      </c>
      <c r="L1247" t="s">
        <v>220</v>
      </c>
      <c r="M1247" s="2">
        <f>VALUE(MID(L1247,1,FIND("@",L1247)-6))</f>
        <v>58</v>
      </c>
      <c r="N1247">
        <v>5</v>
      </c>
      <c r="O1247" t="str">
        <f>IF(datos_limpios[[#This Row],[Seating Capacity ]]&gt;4,"SI","NO")</f>
        <v>SI</v>
      </c>
      <c r="P1247">
        <v>35</v>
      </c>
    </row>
    <row r="1248" spans="1:16" x14ac:dyDescent="0.3">
      <c r="A1248" s="8" t="s">
        <v>17</v>
      </c>
      <c r="B1248" s="8" t="s">
        <v>521</v>
      </c>
      <c r="C1248" s="9">
        <v>1249</v>
      </c>
      <c r="D1248" s="3">
        <v>630000</v>
      </c>
      <c r="E1248" s="1">
        <f>datos_limpios[[#This Row],[Price INR   ]]*0.011</f>
        <v>6930</v>
      </c>
      <c r="F1248" s="13">
        <v>2017</v>
      </c>
      <c r="G1248" s="2">
        <v>36000</v>
      </c>
      <c r="H1248" s="8" t="s">
        <v>19</v>
      </c>
      <c r="I1248" s="8" t="s">
        <v>13</v>
      </c>
      <c r="J1248" s="8" t="s">
        <v>57</v>
      </c>
      <c r="K1248" t="s">
        <v>21</v>
      </c>
      <c r="L1248" t="s">
        <v>22</v>
      </c>
      <c r="M1248" s="2">
        <f>VALUE(MID(L1248,1,FIND("@",L1248)-6))</f>
        <v>74</v>
      </c>
      <c r="N1248">
        <v>5</v>
      </c>
      <c r="O1248" t="str">
        <f>IF(datos_limpios[[#This Row],[Seating Capacity ]]&gt;4,"SI","NO")</f>
        <v>SI</v>
      </c>
      <c r="P1248">
        <v>37</v>
      </c>
    </row>
    <row r="1249" spans="1:16" x14ac:dyDescent="0.3">
      <c r="A1249" s="8" t="s">
        <v>17</v>
      </c>
      <c r="B1249" s="8" t="s">
        <v>68</v>
      </c>
      <c r="C1249" s="9">
        <v>1250</v>
      </c>
      <c r="D1249" s="3">
        <v>630000</v>
      </c>
      <c r="E1249" s="1">
        <f>datos_limpios[[#This Row],[Price INR   ]]*0.011</f>
        <v>6930</v>
      </c>
      <c r="F1249" s="13">
        <v>2019</v>
      </c>
      <c r="G1249" s="2">
        <v>20734</v>
      </c>
      <c r="H1249" s="8" t="s">
        <v>12</v>
      </c>
      <c r="I1249" s="8" t="s">
        <v>40</v>
      </c>
      <c r="J1249" s="8" t="s">
        <v>77</v>
      </c>
      <c r="K1249" t="s">
        <v>69</v>
      </c>
      <c r="L1249" t="s">
        <v>70</v>
      </c>
      <c r="M1249" s="2">
        <f>VALUE(MID(L1249,1,FIND("@",L1249)-6))</f>
        <v>67</v>
      </c>
      <c r="N1249">
        <v>5</v>
      </c>
      <c r="O1249" t="str">
        <f>IF(datos_limpios[[#This Row],[Seating Capacity ]]&gt;4,"SI","NO")</f>
        <v>SI</v>
      </c>
      <c r="P1249">
        <v>35</v>
      </c>
    </row>
    <row r="1250" spans="1:16" x14ac:dyDescent="0.3">
      <c r="A1250" s="8" t="s">
        <v>17</v>
      </c>
      <c r="B1250" s="8" t="s">
        <v>1279</v>
      </c>
      <c r="C1250" s="9">
        <v>1251</v>
      </c>
      <c r="D1250" s="3">
        <v>635000</v>
      </c>
      <c r="E1250" s="1">
        <f>datos_limpios[[#This Row],[Price INR   ]]*0.011</f>
        <v>6985</v>
      </c>
      <c r="F1250" s="13">
        <v>2016</v>
      </c>
      <c r="G1250" s="2">
        <v>92000</v>
      </c>
      <c r="H1250" s="8" t="s">
        <v>19</v>
      </c>
      <c r="I1250" s="8" t="s">
        <v>13</v>
      </c>
      <c r="J1250" s="8" t="s">
        <v>20</v>
      </c>
      <c r="K1250" t="s">
        <v>21</v>
      </c>
      <c r="L1250" t="s">
        <v>140</v>
      </c>
      <c r="M1250" s="2">
        <f>VALUE(MID(L1250,1,FIND("@",L1250)-6))</f>
        <v>89</v>
      </c>
      <c r="N1250">
        <v>5</v>
      </c>
      <c r="O1250" t="str">
        <f>IF(datos_limpios[[#This Row],[Seating Capacity ]]&gt;4,"SI","NO")</f>
        <v>SI</v>
      </c>
      <c r="P1250">
        <v>43</v>
      </c>
    </row>
    <row r="1251" spans="1:16" x14ac:dyDescent="0.3">
      <c r="A1251" s="8" t="s">
        <v>17</v>
      </c>
      <c r="B1251" s="8" t="s">
        <v>136</v>
      </c>
      <c r="C1251" s="9">
        <v>1252</v>
      </c>
      <c r="D1251" s="3">
        <v>636000</v>
      </c>
      <c r="E1251" s="1">
        <f>datos_limpios[[#This Row],[Price INR   ]]*0.011</f>
        <v>6996</v>
      </c>
      <c r="F1251" s="13">
        <v>2021</v>
      </c>
      <c r="G1251" s="2">
        <v>35500</v>
      </c>
      <c r="H1251" s="8" t="s">
        <v>12</v>
      </c>
      <c r="I1251" s="8" t="s">
        <v>13</v>
      </c>
      <c r="J1251" s="8" t="s">
        <v>20</v>
      </c>
      <c r="K1251" t="s">
        <v>26</v>
      </c>
      <c r="L1251" t="s">
        <v>137</v>
      </c>
      <c r="M1251" s="2">
        <f>VALUE(MID(L1251,1,FIND("@",L1251)-6))</f>
        <v>83</v>
      </c>
      <c r="N1251">
        <v>5</v>
      </c>
      <c r="O1251" t="str">
        <f>IF(datos_limpios[[#This Row],[Seating Capacity ]]&gt;4,"SI","NO")</f>
        <v>SI</v>
      </c>
      <c r="P1251">
        <v>37</v>
      </c>
    </row>
    <row r="1252" spans="1:16" x14ac:dyDescent="0.3">
      <c r="A1252" s="8" t="s">
        <v>17</v>
      </c>
      <c r="B1252" s="8" t="s">
        <v>1293</v>
      </c>
      <c r="C1252" s="9">
        <v>1253</v>
      </c>
      <c r="D1252" s="3">
        <v>639000</v>
      </c>
      <c r="E1252" s="1">
        <f>datos_limpios[[#This Row],[Price INR   ]]*0.011</f>
        <v>7029</v>
      </c>
      <c r="F1252" s="13">
        <v>2020</v>
      </c>
      <c r="G1252" s="2">
        <v>44300</v>
      </c>
      <c r="H1252" s="8" t="s">
        <v>12</v>
      </c>
      <c r="I1252" s="8" t="s">
        <v>40</v>
      </c>
      <c r="J1252" s="8" t="s">
        <v>77</v>
      </c>
      <c r="K1252" t="s">
        <v>69</v>
      </c>
      <c r="L1252" t="s">
        <v>70</v>
      </c>
      <c r="M1252" s="2">
        <f>VALUE(MID(L1252,1,FIND("@",L1252)-6))</f>
        <v>67</v>
      </c>
      <c r="N1252">
        <v>5</v>
      </c>
      <c r="O1252" t="str">
        <f>IF(datos_limpios[[#This Row],[Seating Capacity ]]&gt;4,"SI","NO")</f>
        <v>SI</v>
      </c>
      <c r="P1252">
        <v>35</v>
      </c>
    </row>
    <row r="1253" spans="1:16" x14ac:dyDescent="0.3">
      <c r="A1253" s="8" t="s">
        <v>17</v>
      </c>
      <c r="B1253" s="8" t="s">
        <v>941</v>
      </c>
      <c r="C1253" s="9">
        <v>1254</v>
      </c>
      <c r="D1253" s="3">
        <v>640000</v>
      </c>
      <c r="E1253" s="1">
        <f>datos_limpios[[#This Row],[Price INR   ]]*0.011</f>
        <v>7040</v>
      </c>
      <c r="F1253" s="13">
        <v>2016</v>
      </c>
      <c r="G1253" s="2">
        <v>50800</v>
      </c>
      <c r="H1253" s="8" t="s">
        <v>12</v>
      </c>
      <c r="I1253" s="8" t="s">
        <v>13</v>
      </c>
      <c r="J1253" s="8" t="s">
        <v>20</v>
      </c>
      <c r="K1253" t="s">
        <v>36</v>
      </c>
      <c r="L1253" t="s">
        <v>37</v>
      </c>
      <c r="M1253" s="2">
        <f>VALUE(MID(L1253,1,FIND("@",L1253)-6))</f>
        <v>91</v>
      </c>
      <c r="N1253">
        <v>5</v>
      </c>
      <c r="O1253" t="str">
        <f>IF(datos_limpios[[#This Row],[Seating Capacity ]]&gt;4,"SI","NO")</f>
        <v>SI</v>
      </c>
      <c r="P1253">
        <v>43</v>
      </c>
    </row>
    <row r="1254" spans="1:16" x14ac:dyDescent="0.3">
      <c r="A1254" s="8" t="s">
        <v>17</v>
      </c>
      <c r="B1254" s="8" t="s">
        <v>752</v>
      </c>
      <c r="C1254" s="9">
        <v>1255</v>
      </c>
      <c r="D1254" s="3">
        <v>640000</v>
      </c>
      <c r="E1254" s="1">
        <f>datos_limpios[[#This Row],[Price INR   ]]*0.011</f>
        <v>7040</v>
      </c>
      <c r="F1254" s="13">
        <v>2016</v>
      </c>
      <c r="G1254" s="2">
        <v>52000</v>
      </c>
      <c r="H1254" s="8" t="s">
        <v>19</v>
      </c>
      <c r="I1254" s="8" t="s">
        <v>13</v>
      </c>
      <c r="J1254" s="8" t="s">
        <v>57</v>
      </c>
      <c r="K1254" t="s">
        <v>21</v>
      </c>
      <c r="L1254" t="s">
        <v>140</v>
      </c>
      <c r="M1254" s="2">
        <f>VALUE(MID(L1254,1,FIND("@",L1254)-6))</f>
        <v>89</v>
      </c>
      <c r="N1254">
        <v>5</v>
      </c>
      <c r="O1254" t="str">
        <f>IF(datos_limpios[[#This Row],[Seating Capacity ]]&gt;4,"SI","NO")</f>
        <v>SI</v>
      </c>
      <c r="P1254">
        <v>48</v>
      </c>
    </row>
    <row r="1255" spans="1:16" x14ac:dyDescent="0.3">
      <c r="A1255" s="8" t="s">
        <v>17</v>
      </c>
      <c r="B1255" s="8" t="s">
        <v>1136</v>
      </c>
      <c r="C1255" s="9">
        <v>1256</v>
      </c>
      <c r="D1255" s="3">
        <v>640000</v>
      </c>
      <c r="E1255" s="1">
        <f>datos_limpios[[#This Row],[Price INR   ]]*0.011</f>
        <v>7040</v>
      </c>
      <c r="F1255" s="13">
        <v>2017</v>
      </c>
      <c r="G1255" s="2">
        <v>63000</v>
      </c>
      <c r="H1255" s="8" t="s">
        <v>19</v>
      </c>
      <c r="I1255" s="8" t="s">
        <v>13</v>
      </c>
      <c r="J1255" s="8" t="s">
        <v>14</v>
      </c>
      <c r="K1255" t="s">
        <v>210</v>
      </c>
      <c r="L1255" t="s">
        <v>688</v>
      </c>
      <c r="M1255" s="2">
        <f>VALUE(MID(L1255,1,FIND("@",L1255)-6))</f>
        <v>118</v>
      </c>
      <c r="N1255">
        <v>5</v>
      </c>
      <c r="O1255" t="str">
        <f>IF(datos_limpios[[#This Row],[Seating Capacity ]]&gt;4,"SI","NO")</f>
        <v>SI</v>
      </c>
      <c r="P1255">
        <v>48</v>
      </c>
    </row>
    <row r="1256" spans="1:16" x14ac:dyDescent="0.3">
      <c r="A1256" s="8" t="s">
        <v>17</v>
      </c>
      <c r="B1256" s="8" t="s">
        <v>887</v>
      </c>
      <c r="C1256" s="9">
        <v>1257</v>
      </c>
      <c r="D1256" s="3">
        <v>640000</v>
      </c>
      <c r="E1256" s="1">
        <f>datos_limpios[[#This Row],[Price INR   ]]*0.011</f>
        <v>7040</v>
      </c>
      <c r="F1256" s="13">
        <v>2017</v>
      </c>
      <c r="G1256" s="2">
        <v>61000</v>
      </c>
      <c r="H1256" s="8" t="s">
        <v>19</v>
      </c>
      <c r="I1256" s="8" t="s">
        <v>13</v>
      </c>
      <c r="J1256" s="8" t="s">
        <v>25</v>
      </c>
      <c r="K1256" t="s">
        <v>21</v>
      </c>
      <c r="L1256" t="s">
        <v>140</v>
      </c>
      <c r="M1256" s="2">
        <f>VALUE(MID(L1256,1,FIND("@",L1256)-6))</f>
        <v>89</v>
      </c>
      <c r="N1256">
        <v>5</v>
      </c>
      <c r="O1256" t="str">
        <f>IF(datos_limpios[[#This Row],[Seating Capacity ]]&gt;4,"SI","NO")</f>
        <v>SI</v>
      </c>
      <c r="P1256">
        <v>48</v>
      </c>
    </row>
    <row r="1257" spans="1:16" x14ac:dyDescent="0.3">
      <c r="A1257" s="8" t="s">
        <v>17</v>
      </c>
      <c r="B1257" s="8" t="s">
        <v>895</v>
      </c>
      <c r="C1257" s="9">
        <v>1258</v>
      </c>
      <c r="D1257" s="3">
        <v>642000</v>
      </c>
      <c r="E1257" s="1">
        <f>datos_limpios[[#This Row],[Price INR   ]]*0.011</f>
        <v>7062</v>
      </c>
      <c r="F1257" s="13">
        <v>2014</v>
      </c>
      <c r="G1257" s="2">
        <v>53693</v>
      </c>
      <c r="H1257" s="8" t="s">
        <v>89</v>
      </c>
      <c r="I1257" s="8" t="s">
        <v>13</v>
      </c>
      <c r="J1257" s="8" t="s">
        <v>713</v>
      </c>
      <c r="K1257" t="s">
        <v>36</v>
      </c>
      <c r="L1257" t="s">
        <v>31</v>
      </c>
      <c r="M1257" s="2">
        <f>VALUE(MID(L1257,1,FIND("@",L1257)-6))</f>
        <v>82</v>
      </c>
      <c r="N1257">
        <v>7</v>
      </c>
      <c r="O1257" t="str">
        <f>IF(datos_limpios[[#This Row],[Seating Capacity ]]&gt;4,"SI","NO")</f>
        <v>SI</v>
      </c>
      <c r="P1257">
        <v>60</v>
      </c>
    </row>
    <row r="1258" spans="1:16" x14ac:dyDescent="0.3">
      <c r="A1258" s="8" t="s">
        <v>17</v>
      </c>
      <c r="B1258" s="8" t="s">
        <v>1066</v>
      </c>
      <c r="C1258" s="9">
        <v>1259</v>
      </c>
      <c r="D1258" s="3">
        <v>645000</v>
      </c>
      <c r="E1258" s="1">
        <f>datos_limpios[[#This Row],[Price INR   ]]*0.011</f>
        <v>7095</v>
      </c>
      <c r="F1258" s="13">
        <v>2021</v>
      </c>
      <c r="G1258" s="2">
        <v>1374</v>
      </c>
      <c r="H1258" s="8" t="s">
        <v>89</v>
      </c>
      <c r="I1258" s="8" t="s">
        <v>13</v>
      </c>
      <c r="J1258" s="8" t="s">
        <v>14</v>
      </c>
      <c r="K1258" t="s">
        <v>171</v>
      </c>
      <c r="L1258" t="s">
        <v>172</v>
      </c>
      <c r="M1258" s="2">
        <f>VALUE(MID(L1258,1,FIND("@",L1258)-6))</f>
        <v>73</v>
      </c>
      <c r="N1258">
        <v>5</v>
      </c>
      <c r="O1258" t="str">
        <f>IF(datos_limpios[[#This Row],[Seating Capacity ]]&gt;4,"SI","NO")</f>
        <v>SI</v>
      </c>
      <c r="P1258">
        <v>40</v>
      </c>
    </row>
    <row r="1259" spans="1:16" x14ac:dyDescent="0.3">
      <c r="A1259" s="8" t="s">
        <v>17</v>
      </c>
      <c r="B1259" s="8" t="s">
        <v>520</v>
      </c>
      <c r="C1259" s="9">
        <v>1260</v>
      </c>
      <c r="D1259" s="3">
        <v>650000</v>
      </c>
      <c r="E1259" s="1">
        <f>datos_limpios[[#This Row],[Price INR   ]]*0.011</f>
        <v>7150</v>
      </c>
      <c r="F1259" s="13">
        <v>2019</v>
      </c>
      <c r="G1259" s="2">
        <v>44710</v>
      </c>
      <c r="H1259" s="8" t="s">
        <v>12</v>
      </c>
      <c r="I1259" s="8" t="s">
        <v>13</v>
      </c>
      <c r="J1259" s="8" t="s">
        <v>20</v>
      </c>
      <c r="K1259" t="s">
        <v>26</v>
      </c>
      <c r="L1259" t="s">
        <v>137</v>
      </c>
      <c r="M1259" s="2">
        <f>VALUE(MID(L1259,1,FIND("@",L1259)-6))</f>
        <v>83</v>
      </c>
      <c r="N1259">
        <v>5</v>
      </c>
      <c r="O1259" t="str">
        <f>IF(datos_limpios[[#This Row],[Seating Capacity ]]&gt;4,"SI","NO")</f>
        <v>SI</v>
      </c>
      <c r="P1259">
        <v>42</v>
      </c>
    </row>
    <row r="1260" spans="1:16" x14ac:dyDescent="0.3">
      <c r="A1260" s="8" t="s">
        <v>17</v>
      </c>
      <c r="B1260" s="8" t="s">
        <v>983</v>
      </c>
      <c r="C1260" s="9">
        <v>1261</v>
      </c>
      <c r="D1260" s="3">
        <v>650000</v>
      </c>
      <c r="E1260" s="1">
        <f>datos_limpios[[#This Row],[Price INR   ]]*0.011</f>
        <v>7150</v>
      </c>
      <c r="F1260" s="13">
        <v>2017</v>
      </c>
      <c r="G1260" s="2">
        <v>76000</v>
      </c>
      <c r="H1260" s="8" t="s">
        <v>19</v>
      </c>
      <c r="I1260" s="8" t="s">
        <v>40</v>
      </c>
      <c r="J1260" s="8" t="s">
        <v>77</v>
      </c>
      <c r="K1260" t="s">
        <v>21</v>
      </c>
      <c r="L1260" t="s">
        <v>22</v>
      </c>
      <c r="M1260" s="2">
        <f>VALUE(MID(L1260,1,FIND("@",L1260)-6))</f>
        <v>74</v>
      </c>
      <c r="N1260">
        <v>5</v>
      </c>
      <c r="O1260" t="str">
        <f>IF(datos_limpios[[#This Row],[Seating Capacity ]]&gt;4,"SI","NO")</f>
        <v>SI</v>
      </c>
      <c r="P1260">
        <v>42</v>
      </c>
    </row>
    <row r="1261" spans="1:16" x14ac:dyDescent="0.3">
      <c r="A1261" s="8" t="s">
        <v>17</v>
      </c>
      <c r="B1261" s="8" t="s">
        <v>898</v>
      </c>
      <c r="C1261" s="9">
        <v>1262</v>
      </c>
      <c r="D1261" s="3">
        <v>650000</v>
      </c>
      <c r="E1261" s="1">
        <f>datos_limpios[[#This Row],[Price INR   ]]*0.011</f>
        <v>7150</v>
      </c>
      <c r="F1261" s="13">
        <v>2022</v>
      </c>
      <c r="G1261" s="2">
        <v>6000</v>
      </c>
      <c r="H1261" s="8" t="s">
        <v>12</v>
      </c>
      <c r="I1261" s="8" t="s">
        <v>13</v>
      </c>
      <c r="J1261" s="8" t="s">
        <v>20</v>
      </c>
      <c r="K1261" t="s">
        <v>26</v>
      </c>
      <c r="L1261" t="s">
        <v>98</v>
      </c>
      <c r="M1261" s="2">
        <f>VALUE(MID(L1261,1,FIND("@",L1261)-6))</f>
        <v>89</v>
      </c>
      <c r="N1261">
        <v>5</v>
      </c>
      <c r="O1261" t="str">
        <f>IF(datos_limpios[[#This Row],[Seating Capacity ]]&gt;4,"SI","NO")</f>
        <v>SI</v>
      </c>
      <c r="P1261">
        <v>37</v>
      </c>
    </row>
    <row r="1262" spans="1:16" x14ac:dyDescent="0.3">
      <c r="A1262" s="8" t="s">
        <v>17</v>
      </c>
      <c r="B1262" s="8" t="s">
        <v>1140</v>
      </c>
      <c r="C1262" s="9">
        <v>1263</v>
      </c>
      <c r="D1262" s="3">
        <v>650000</v>
      </c>
      <c r="E1262" s="1">
        <f>datos_limpios[[#This Row],[Price INR   ]]*0.011</f>
        <v>7150</v>
      </c>
      <c r="F1262" s="13">
        <v>2017</v>
      </c>
      <c r="G1262" s="2">
        <v>86000</v>
      </c>
      <c r="H1262" s="8" t="s">
        <v>19</v>
      </c>
      <c r="I1262" s="8" t="s">
        <v>13</v>
      </c>
      <c r="J1262" s="8" t="s">
        <v>20</v>
      </c>
      <c r="K1262" t="s">
        <v>21</v>
      </c>
      <c r="L1262" t="s">
        <v>140</v>
      </c>
      <c r="M1262" s="2">
        <f>VALUE(MID(L1262,1,FIND("@",L1262)-6))</f>
        <v>89</v>
      </c>
      <c r="N1262">
        <v>5</v>
      </c>
      <c r="O1262" t="str">
        <f>IF(datos_limpios[[#This Row],[Seating Capacity ]]&gt;4,"SI","NO")</f>
        <v>SI</v>
      </c>
      <c r="P1262">
        <v>43</v>
      </c>
    </row>
    <row r="1263" spans="1:16" x14ac:dyDescent="0.3">
      <c r="A1263" s="8" t="s">
        <v>17</v>
      </c>
      <c r="B1263" s="8" t="s">
        <v>216</v>
      </c>
      <c r="C1263" s="9">
        <v>1264</v>
      </c>
      <c r="D1263" s="3">
        <v>650000</v>
      </c>
      <c r="E1263" s="1">
        <f>datos_limpios[[#This Row],[Price INR   ]]*0.011</f>
        <v>7150</v>
      </c>
      <c r="F1263" s="13">
        <v>2020</v>
      </c>
      <c r="G1263" s="2">
        <v>42000</v>
      </c>
      <c r="H1263" s="8" t="s">
        <v>12</v>
      </c>
      <c r="I1263" s="8" t="s">
        <v>13</v>
      </c>
      <c r="J1263" s="8" t="s">
        <v>20</v>
      </c>
      <c r="K1263" t="s">
        <v>26</v>
      </c>
      <c r="L1263" t="s">
        <v>98</v>
      </c>
      <c r="M1263" s="2">
        <f>VALUE(MID(L1263,1,FIND("@",L1263)-6))</f>
        <v>89</v>
      </c>
      <c r="N1263">
        <v>5</v>
      </c>
      <c r="O1263" t="str">
        <f>IF(datos_limpios[[#This Row],[Seating Capacity ]]&gt;4,"SI","NO")</f>
        <v>SI</v>
      </c>
      <c r="P1263">
        <v>37</v>
      </c>
    </row>
    <row r="1264" spans="1:16" x14ac:dyDescent="0.3">
      <c r="A1264" s="8" t="s">
        <v>17</v>
      </c>
      <c r="B1264" s="8" t="s">
        <v>136</v>
      </c>
      <c r="C1264" s="9">
        <v>1265</v>
      </c>
      <c r="D1264" s="3">
        <v>650000</v>
      </c>
      <c r="E1264" s="1">
        <f>datos_limpios[[#This Row],[Price INR   ]]*0.011</f>
        <v>7150</v>
      </c>
      <c r="F1264" s="13">
        <v>2018</v>
      </c>
      <c r="G1264" s="2">
        <v>32000</v>
      </c>
      <c r="H1264" s="8" t="s">
        <v>12</v>
      </c>
      <c r="I1264" s="8" t="s">
        <v>13</v>
      </c>
      <c r="J1264" s="8" t="s">
        <v>57</v>
      </c>
      <c r="K1264" t="s">
        <v>26</v>
      </c>
      <c r="L1264" t="s">
        <v>137</v>
      </c>
      <c r="M1264" s="2">
        <f>VALUE(MID(L1264,1,FIND("@",L1264)-6))</f>
        <v>83</v>
      </c>
      <c r="N1264">
        <v>5</v>
      </c>
      <c r="O1264" t="str">
        <f>IF(datos_limpios[[#This Row],[Seating Capacity ]]&gt;4,"SI","NO")</f>
        <v>SI</v>
      </c>
      <c r="P1264">
        <v>37</v>
      </c>
    </row>
    <row r="1265" spans="1:16" x14ac:dyDescent="0.3">
      <c r="A1265" s="8" t="s">
        <v>17</v>
      </c>
      <c r="B1265" s="8" t="s">
        <v>1128</v>
      </c>
      <c r="C1265" s="9">
        <v>1266</v>
      </c>
      <c r="D1265" s="3">
        <v>650000</v>
      </c>
      <c r="E1265" s="1">
        <f>datos_limpios[[#This Row],[Price INR   ]]*0.011</f>
        <v>7150</v>
      </c>
      <c r="F1265" s="13">
        <v>2017</v>
      </c>
      <c r="G1265" s="2">
        <v>92000</v>
      </c>
      <c r="H1265" s="8" t="s">
        <v>19</v>
      </c>
      <c r="I1265" s="8" t="s">
        <v>13</v>
      </c>
      <c r="J1265" s="8" t="s">
        <v>20</v>
      </c>
      <c r="K1265" t="s">
        <v>21</v>
      </c>
      <c r="L1265" t="s">
        <v>140</v>
      </c>
      <c r="M1265" s="2">
        <f>VALUE(MID(L1265,1,FIND("@",L1265)-6))</f>
        <v>89</v>
      </c>
      <c r="N1265">
        <v>5</v>
      </c>
      <c r="O1265" t="str">
        <f>IF(datos_limpios[[#This Row],[Seating Capacity ]]&gt;4,"SI","NO")</f>
        <v>SI</v>
      </c>
      <c r="P1265">
        <v>43</v>
      </c>
    </row>
    <row r="1266" spans="1:16" x14ac:dyDescent="0.3">
      <c r="A1266" s="8" t="s">
        <v>17</v>
      </c>
      <c r="B1266" s="8" t="s">
        <v>293</v>
      </c>
      <c r="C1266" s="9">
        <v>1267</v>
      </c>
      <c r="D1266" s="3">
        <v>655000</v>
      </c>
      <c r="E1266" s="1">
        <f>datos_limpios[[#This Row],[Price INR   ]]*0.011</f>
        <v>7205</v>
      </c>
      <c r="F1266" s="13">
        <v>2016</v>
      </c>
      <c r="G1266" s="2">
        <v>38779</v>
      </c>
      <c r="H1266" s="8" t="s">
        <v>12</v>
      </c>
      <c r="I1266" s="8" t="s">
        <v>13</v>
      </c>
      <c r="J1266" s="8" t="s">
        <v>57</v>
      </c>
      <c r="K1266" t="s">
        <v>26</v>
      </c>
      <c r="L1266" t="s">
        <v>137</v>
      </c>
      <c r="M1266" s="2">
        <f>VALUE(MID(L1266,1,FIND("@",L1266)-6))</f>
        <v>83</v>
      </c>
      <c r="N1266">
        <v>5</v>
      </c>
      <c r="O1266" t="str">
        <f>IF(datos_limpios[[#This Row],[Seating Capacity ]]&gt;4,"SI","NO")</f>
        <v>SI</v>
      </c>
      <c r="P1266">
        <v>37</v>
      </c>
    </row>
    <row r="1267" spans="1:16" x14ac:dyDescent="0.3">
      <c r="A1267" s="8" t="s">
        <v>17</v>
      </c>
      <c r="B1267" s="8" t="s">
        <v>1037</v>
      </c>
      <c r="C1267" s="9">
        <v>1268</v>
      </c>
      <c r="D1267" s="3">
        <v>660000</v>
      </c>
      <c r="E1267" s="1">
        <f>datos_limpios[[#This Row],[Price INR   ]]*0.011</f>
        <v>7260</v>
      </c>
      <c r="F1267" s="13">
        <v>2017</v>
      </c>
      <c r="G1267" s="2">
        <v>40000</v>
      </c>
      <c r="H1267" s="8" t="s">
        <v>12</v>
      </c>
      <c r="I1267" s="8" t="s">
        <v>40</v>
      </c>
      <c r="J1267" s="8" t="s">
        <v>57</v>
      </c>
      <c r="K1267" t="s">
        <v>26</v>
      </c>
      <c r="L1267" t="s">
        <v>137</v>
      </c>
      <c r="M1267" s="2">
        <f>VALUE(MID(L1267,1,FIND("@",L1267)-6))</f>
        <v>83</v>
      </c>
      <c r="N1267">
        <v>5</v>
      </c>
      <c r="O1267" t="str">
        <f>IF(datos_limpios[[#This Row],[Seating Capacity ]]&gt;4,"SI","NO")</f>
        <v>SI</v>
      </c>
      <c r="P1267">
        <v>37</v>
      </c>
    </row>
    <row r="1268" spans="1:16" x14ac:dyDescent="0.3">
      <c r="A1268" s="8" t="s">
        <v>17</v>
      </c>
      <c r="B1268" s="8" t="s">
        <v>494</v>
      </c>
      <c r="C1268" s="9">
        <v>1269</v>
      </c>
      <c r="D1268" s="3">
        <v>661000</v>
      </c>
      <c r="E1268" s="1">
        <f>datos_limpios[[#This Row],[Price INR   ]]*0.011</f>
        <v>7271</v>
      </c>
      <c r="F1268" s="13">
        <v>2021</v>
      </c>
      <c r="G1268" s="2">
        <v>14366</v>
      </c>
      <c r="H1268" s="8" t="s">
        <v>12</v>
      </c>
      <c r="I1268" s="8" t="s">
        <v>13</v>
      </c>
      <c r="J1268" s="8" t="s">
        <v>713</v>
      </c>
      <c r="K1268" t="s">
        <v>26</v>
      </c>
      <c r="L1268" t="s">
        <v>98</v>
      </c>
      <c r="M1268" s="2">
        <f>VALUE(MID(L1268,1,FIND("@",L1268)-6))</f>
        <v>89</v>
      </c>
      <c r="N1268">
        <v>5</v>
      </c>
      <c r="O1268" t="str">
        <f>IF(datos_limpios[[#This Row],[Seating Capacity ]]&gt;4,"SI","NO")</f>
        <v>SI</v>
      </c>
      <c r="P1268">
        <v>37</v>
      </c>
    </row>
    <row r="1269" spans="1:16" x14ac:dyDescent="0.3">
      <c r="A1269" s="8" t="s">
        <v>17</v>
      </c>
      <c r="B1269" s="8" t="s">
        <v>425</v>
      </c>
      <c r="C1269" s="9">
        <v>1270</v>
      </c>
      <c r="D1269" s="3">
        <v>665000</v>
      </c>
      <c r="E1269" s="1">
        <f>datos_limpios[[#This Row],[Price INR   ]]*0.011</f>
        <v>7315</v>
      </c>
      <c r="F1269" s="13">
        <v>2017</v>
      </c>
      <c r="G1269" s="2">
        <v>48000</v>
      </c>
      <c r="H1269" s="8" t="s">
        <v>19</v>
      </c>
      <c r="I1269" s="8" t="s">
        <v>13</v>
      </c>
      <c r="J1269" s="8" t="s">
        <v>57</v>
      </c>
      <c r="K1269" t="s">
        <v>21</v>
      </c>
      <c r="L1269" t="s">
        <v>22</v>
      </c>
      <c r="M1269" s="2">
        <f>VALUE(MID(L1269,1,FIND("@",L1269)-6))</f>
        <v>74</v>
      </c>
      <c r="N1269">
        <v>5</v>
      </c>
      <c r="O1269" t="str">
        <f>IF(datos_limpios[[#This Row],[Seating Capacity ]]&gt;4,"SI","NO")</f>
        <v>SI</v>
      </c>
      <c r="P1269">
        <v>37</v>
      </c>
    </row>
    <row r="1270" spans="1:16" x14ac:dyDescent="0.3">
      <c r="A1270" s="8" t="s">
        <v>17</v>
      </c>
      <c r="B1270" s="8" t="s">
        <v>221</v>
      </c>
      <c r="C1270" s="9">
        <v>1271</v>
      </c>
      <c r="D1270" s="3">
        <v>669000</v>
      </c>
      <c r="E1270" s="1">
        <f>datos_limpios[[#This Row],[Price INR   ]]*0.011</f>
        <v>7359</v>
      </c>
      <c r="F1270" s="13">
        <v>2016</v>
      </c>
      <c r="G1270" s="2">
        <v>70000</v>
      </c>
      <c r="H1270" s="8" t="s">
        <v>19</v>
      </c>
      <c r="I1270" s="8" t="s">
        <v>13</v>
      </c>
      <c r="J1270" s="8" t="s">
        <v>14</v>
      </c>
      <c r="K1270" t="s">
        <v>21</v>
      </c>
      <c r="L1270" t="s">
        <v>140</v>
      </c>
      <c r="M1270" s="2">
        <f>VALUE(MID(L1270,1,FIND("@",L1270)-6))</f>
        <v>89</v>
      </c>
      <c r="N1270">
        <v>5</v>
      </c>
      <c r="O1270" t="str">
        <f>IF(datos_limpios[[#This Row],[Seating Capacity ]]&gt;4,"SI","NO")</f>
        <v>SI</v>
      </c>
      <c r="P1270">
        <v>48</v>
      </c>
    </row>
    <row r="1271" spans="1:16" x14ac:dyDescent="0.3">
      <c r="A1271" s="8" t="s">
        <v>17</v>
      </c>
      <c r="B1271" s="8" t="s">
        <v>35</v>
      </c>
      <c r="C1271" s="9">
        <v>1272</v>
      </c>
      <c r="D1271" s="3">
        <v>675000</v>
      </c>
      <c r="E1271" s="1">
        <f>datos_limpios[[#This Row],[Price INR   ]]*0.011</f>
        <v>7425</v>
      </c>
      <c r="F1271" s="13">
        <v>2017</v>
      </c>
      <c r="G1271" s="2">
        <v>73315</v>
      </c>
      <c r="H1271" s="8" t="s">
        <v>12</v>
      </c>
      <c r="I1271" s="8" t="s">
        <v>13</v>
      </c>
      <c r="J1271" s="8" t="s">
        <v>14</v>
      </c>
      <c r="K1271" t="s">
        <v>36</v>
      </c>
      <c r="L1271" t="s">
        <v>37</v>
      </c>
      <c r="M1271" s="2">
        <f>VALUE(MID(L1271,1,FIND("@",L1271)-6))</f>
        <v>91</v>
      </c>
      <c r="N1271">
        <v>5</v>
      </c>
      <c r="O1271" t="str">
        <f>IF(datos_limpios[[#This Row],[Seating Capacity ]]&gt;4,"SI","NO")</f>
        <v>SI</v>
      </c>
      <c r="P1271">
        <v>43</v>
      </c>
    </row>
    <row r="1272" spans="1:16" x14ac:dyDescent="0.3">
      <c r="A1272" s="8" t="s">
        <v>17</v>
      </c>
      <c r="B1272" s="8" t="s">
        <v>221</v>
      </c>
      <c r="C1272" s="9">
        <v>1273</v>
      </c>
      <c r="D1272" s="3">
        <v>675000</v>
      </c>
      <c r="E1272" s="1">
        <f>datos_limpios[[#This Row],[Price INR   ]]*0.011</f>
        <v>7425</v>
      </c>
      <c r="F1272" s="13">
        <v>2016</v>
      </c>
      <c r="G1272" s="2">
        <v>45000</v>
      </c>
      <c r="H1272" s="8" t="s">
        <v>19</v>
      </c>
      <c r="I1272" s="8" t="s">
        <v>13</v>
      </c>
      <c r="J1272" s="8" t="s">
        <v>30</v>
      </c>
      <c r="K1272" t="s">
        <v>21</v>
      </c>
      <c r="L1272" t="s">
        <v>140</v>
      </c>
      <c r="M1272" s="2">
        <f>VALUE(MID(L1272,1,FIND("@",L1272)-6))</f>
        <v>89</v>
      </c>
      <c r="N1272">
        <v>5</v>
      </c>
      <c r="O1272" t="str">
        <f>IF(datos_limpios[[#This Row],[Seating Capacity ]]&gt;4,"SI","NO")</f>
        <v>SI</v>
      </c>
      <c r="P1272">
        <v>48</v>
      </c>
    </row>
    <row r="1273" spans="1:16" x14ac:dyDescent="0.3">
      <c r="A1273" s="8" t="s">
        <v>17</v>
      </c>
      <c r="B1273" s="8" t="s">
        <v>977</v>
      </c>
      <c r="C1273" s="9">
        <v>1274</v>
      </c>
      <c r="D1273" s="3">
        <v>675000</v>
      </c>
      <c r="E1273" s="1">
        <f>datos_limpios[[#This Row],[Price INR   ]]*0.011</f>
        <v>7425</v>
      </c>
      <c r="F1273" s="13">
        <v>2017</v>
      </c>
      <c r="G1273" s="2">
        <v>125372</v>
      </c>
      <c r="H1273" s="8" t="s">
        <v>19</v>
      </c>
      <c r="I1273" s="8" t="s">
        <v>13</v>
      </c>
      <c r="J1273" s="8" t="s">
        <v>82</v>
      </c>
      <c r="K1273" t="s">
        <v>21</v>
      </c>
      <c r="L1273" t="s">
        <v>140</v>
      </c>
      <c r="M1273" s="2">
        <f>VALUE(MID(L1273,1,FIND("@",L1273)-6))</f>
        <v>89</v>
      </c>
      <c r="N1273">
        <v>5</v>
      </c>
      <c r="O1273" t="str">
        <f>IF(datos_limpios[[#This Row],[Seating Capacity ]]&gt;4,"SI","NO")</f>
        <v>SI</v>
      </c>
      <c r="P1273">
        <v>48</v>
      </c>
    </row>
    <row r="1274" spans="1:16" x14ac:dyDescent="0.3">
      <c r="A1274" s="8" t="s">
        <v>17</v>
      </c>
      <c r="B1274" s="8" t="s">
        <v>1037</v>
      </c>
      <c r="C1274" s="9">
        <v>1275</v>
      </c>
      <c r="D1274" s="3">
        <v>675000</v>
      </c>
      <c r="E1274" s="1">
        <f>datos_limpios[[#This Row],[Price INR   ]]*0.011</f>
        <v>7425</v>
      </c>
      <c r="F1274" s="13">
        <v>2017</v>
      </c>
      <c r="G1274" s="2">
        <v>35616</v>
      </c>
      <c r="H1274" s="8" t="s">
        <v>12</v>
      </c>
      <c r="I1274" s="8" t="s">
        <v>40</v>
      </c>
      <c r="J1274" s="8" t="s">
        <v>57</v>
      </c>
      <c r="K1274" t="s">
        <v>26</v>
      </c>
      <c r="L1274" t="s">
        <v>137</v>
      </c>
      <c r="M1274" s="2">
        <f>VALUE(MID(L1274,1,FIND("@",L1274)-6))</f>
        <v>83</v>
      </c>
      <c r="N1274">
        <v>5</v>
      </c>
      <c r="O1274" t="str">
        <f>IF(datos_limpios[[#This Row],[Seating Capacity ]]&gt;4,"SI","NO")</f>
        <v>SI</v>
      </c>
      <c r="P1274">
        <v>37</v>
      </c>
    </row>
    <row r="1275" spans="1:16" x14ac:dyDescent="0.3">
      <c r="A1275" s="8" t="s">
        <v>17</v>
      </c>
      <c r="B1275" s="8" t="s">
        <v>887</v>
      </c>
      <c r="C1275" s="9">
        <v>1276</v>
      </c>
      <c r="D1275" s="3">
        <v>675000</v>
      </c>
      <c r="E1275" s="1">
        <f>datos_limpios[[#This Row],[Price INR   ]]*0.011</f>
        <v>7425</v>
      </c>
      <c r="F1275" s="13">
        <v>2018</v>
      </c>
      <c r="G1275" s="2">
        <v>64000</v>
      </c>
      <c r="H1275" s="8" t="s">
        <v>19</v>
      </c>
      <c r="I1275" s="8" t="s">
        <v>13</v>
      </c>
      <c r="J1275" s="8" t="s">
        <v>20</v>
      </c>
      <c r="K1275" t="s">
        <v>21</v>
      </c>
      <c r="L1275" t="s">
        <v>140</v>
      </c>
      <c r="M1275" s="2">
        <f>VALUE(MID(L1275,1,FIND("@",L1275)-6))</f>
        <v>89</v>
      </c>
      <c r="N1275">
        <v>5</v>
      </c>
      <c r="O1275" t="str">
        <f>IF(datos_limpios[[#This Row],[Seating Capacity ]]&gt;4,"SI","NO")</f>
        <v>SI</v>
      </c>
      <c r="P1275">
        <v>48</v>
      </c>
    </row>
    <row r="1276" spans="1:16" x14ac:dyDescent="0.3">
      <c r="A1276" s="8" t="s">
        <v>17</v>
      </c>
      <c r="B1276" s="8" t="s">
        <v>221</v>
      </c>
      <c r="C1276" s="9">
        <v>1277</v>
      </c>
      <c r="D1276" s="3">
        <v>675000</v>
      </c>
      <c r="E1276" s="1">
        <f>datos_limpios[[#This Row],[Price INR   ]]*0.011</f>
        <v>7425</v>
      </c>
      <c r="F1276" s="13">
        <v>2016</v>
      </c>
      <c r="G1276" s="2">
        <v>50000</v>
      </c>
      <c r="H1276" s="8" t="s">
        <v>19</v>
      </c>
      <c r="I1276" s="8" t="s">
        <v>13</v>
      </c>
      <c r="J1276" s="8" t="s">
        <v>14</v>
      </c>
      <c r="K1276" t="s">
        <v>21</v>
      </c>
      <c r="L1276" t="s">
        <v>140</v>
      </c>
      <c r="M1276" s="2">
        <f>VALUE(MID(L1276,1,FIND("@",L1276)-6))</f>
        <v>89</v>
      </c>
      <c r="N1276">
        <v>5</v>
      </c>
      <c r="O1276" t="str">
        <f>IF(datos_limpios[[#This Row],[Seating Capacity ]]&gt;4,"SI","NO")</f>
        <v>SI</v>
      </c>
      <c r="P1276">
        <v>48</v>
      </c>
    </row>
    <row r="1277" spans="1:16" x14ac:dyDescent="0.3">
      <c r="A1277" s="8" t="s">
        <v>17</v>
      </c>
      <c r="B1277" s="8" t="s">
        <v>1268</v>
      </c>
      <c r="C1277" s="9">
        <v>1278</v>
      </c>
      <c r="D1277" s="3">
        <v>675000</v>
      </c>
      <c r="E1277" s="1">
        <f>datos_limpios[[#This Row],[Price INR   ]]*0.011</f>
        <v>7425</v>
      </c>
      <c r="F1277" s="13">
        <v>2016</v>
      </c>
      <c r="G1277" s="2">
        <v>49148</v>
      </c>
      <c r="H1277" s="8" t="s">
        <v>12</v>
      </c>
      <c r="I1277" s="8" t="s">
        <v>40</v>
      </c>
      <c r="J1277" s="8" t="s">
        <v>57</v>
      </c>
      <c r="K1277" t="s">
        <v>36</v>
      </c>
      <c r="L1277" t="s">
        <v>785</v>
      </c>
      <c r="M1277" s="2">
        <f>VALUE(MID(L1277,1,FIND("@",L1277)-6))</f>
        <v>94</v>
      </c>
      <c r="N1277">
        <v>7</v>
      </c>
      <c r="O1277" t="str">
        <f>IF(datos_limpios[[#This Row],[Seating Capacity ]]&gt;4,"SI","NO")</f>
        <v>SI</v>
      </c>
      <c r="P1277">
        <v>45</v>
      </c>
    </row>
    <row r="1278" spans="1:16" x14ac:dyDescent="0.3">
      <c r="A1278" s="8" t="s">
        <v>17</v>
      </c>
      <c r="B1278" s="8" t="s">
        <v>1417</v>
      </c>
      <c r="C1278" s="9">
        <v>1279</v>
      </c>
      <c r="D1278" s="3">
        <v>675000</v>
      </c>
      <c r="E1278" s="1">
        <f>datos_limpios[[#This Row],[Price INR   ]]*0.011</f>
        <v>7425</v>
      </c>
      <c r="F1278" s="13">
        <v>2021</v>
      </c>
      <c r="G1278" s="2">
        <v>15000</v>
      </c>
      <c r="H1278" s="8" t="s">
        <v>89</v>
      </c>
      <c r="I1278" s="8" t="s">
        <v>13</v>
      </c>
      <c r="J1278" s="8" t="s">
        <v>20</v>
      </c>
      <c r="K1278" t="s">
        <v>69</v>
      </c>
      <c r="L1278" t="s">
        <v>411</v>
      </c>
      <c r="M1278" s="2">
        <f>VALUE(MID(L1278,1,FIND("@",L1278)-6))</f>
        <v>58</v>
      </c>
      <c r="N1278">
        <v>5</v>
      </c>
      <c r="O1278" t="str">
        <f>IF(datos_limpios[[#This Row],[Seating Capacity ]]&gt;4,"SI","NO")</f>
        <v>SI</v>
      </c>
      <c r="P1278">
        <v>60</v>
      </c>
    </row>
    <row r="1279" spans="1:16" x14ac:dyDescent="0.3">
      <c r="A1279" s="8" t="s">
        <v>17</v>
      </c>
      <c r="B1279" s="8" t="s">
        <v>617</v>
      </c>
      <c r="C1279" s="9">
        <v>1280</v>
      </c>
      <c r="D1279" s="3">
        <v>685000</v>
      </c>
      <c r="E1279" s="1">
        <f>datos_limpios[[#This Row],[Price INR   ]]*0.011</f>
        <v>7535</v>
      </c>
      <c r="F1279" s="13">
        <v>2018</v>
      </c>
      <c r="G1279" s="2">
        <v>92000</v>
      </c>
      <c r="H1279" s="8" t="s">
        <v>19</v>
      </c>
      <c r="I1279" s="8" t="s">
        <v>40</v>
      </c>
      <c r="J1279" s="8" t="s">
        <v>20</v>
      </c>
      <c r="K1279" t="s">
        <v>21</v>
      </c>
      <c r="L1279" t="s">
        <v>22</v>
      </c>
      <c r="M1279" s="2">
        <f>VALUE(MID(L1279,1,FIND("@",L1279)-6))</f>
        <v>74</v>
      </c>
      <c r="N1279">
        <v>5</v>
      </c>
      <c r="O1279" t="str">
        <f>IF(datos_limpios[[#This Row],[Seating Capacity ]]&gt;4,"SI","NO")</f>
        <v>SI</v>
      </c>
      <c r="P1279">
        <v>37</v>
      </c>
    </row>
    <row r="1280" spans="1:16" x14ac:dyDescent="0.3">
      <c r="A1280" s="8" t="s">
        <v>17</v>
      </c>
      <c r="B1280" s="8" t="s">
        <v>136</v>
      </c>
      <c r="C1280" s="9">
        <v>1281</v>
      </c>
      <c r="D1280" s="3">
        <v>685000</v>
      </c>
      <c r="E1280" s="1">
        <f>datos_limpios[[#This Row],[Price INR   ]]*0.011</f>
        <v>7535</v>
      </c>
      <c r="F1280" s="13">
        <v>2017</v>
      </c>
      <c r="G1280" s="2">
        <v>58146</v>
      </c>
      <c r="H1280" s="8" t="s">
        <v>12</v>
      </c>
      <c r="I1280" s="8" t="s">
        <v>13</v>
      </c>
      <c r="J1280" s="8" t="s">
        <v>30</v>
      </c>
      <c r="K1280" t="s">
        <v>26</v>
      </c>
      <c r="L1280" t="s">
        <v>137</v>
      </c>
      <c r="M1280" s="2">
        <f>VALUE(MID(L1280,1,FIND("@",L1280)-6))</f>
        <v>83</v>
      </c>
      <c r="N1280">
        <v>5</v>
      </c>
      <c r="O1280" t="str">
        <f>IF(datos_limpios[[#This Row],[Seating Capacity ]]&gt;4,"SI","NO")</f>
        <v>SI</v>
      </c>
      <c r="P1280">
        <v>37</v>
      </c>
    </row>
    <row r="1281" spans="1:16" x14ac:dyDescent="0.3">
      <c r="A1281" s="8" t="s">
        <v>17</v>
      </c>
      <c r="B1281" s="8" t="s">
        <v>216</v>
      </c>
      <c r="C1281" s="9">
        <v>1282</v>
      </c>
      <c r="D1281" s="3">
        <v>685000</v>
      </c>
      <c r="E1281" s="1">
        <f>datos_limpios[[#This Row],[Price INR   ]]*0.011</f>
        <v>7535</v>
      </c>
      <c r="F1281" s="13">
        <v>2019</v>
      </c>
      <c r="G1281" s="2">
        <v>74000</v>
      </c>
      <c r="H1281" s="8" t="s">
        <v>12</v>
      </c>
      <c r="I1281" s="8" t="s">
        <v>13</v>
      </c>
      <c r="J1281" s="8" t="s">
        <v>57</v>
      </c>
      <c r="K1281" t="s">
        <v>26</v>
      </c>
      <c r="L1281" t="s">
        <v>98</v>
      </c>
      <c r="M1281" s="2">
        <f>VALUE(MID(L1281,1,FIND("@",L1281)-6))</f>
        <v>89</v>
      </c>
      <c r="N1281">
        <v>5</v>
      </c>
      <c r="O1281" t="str">
        <f>IF(datos_limpios[[#This Row],[Seating Capacity ]]&gt;4,"SI","NO")</f>
        <v>SI</v>
      </c>
      <c r="P1281">
        <v>37</v>
      </c>
    </row>
    <row r="1282" spans="1:16" x14ac:dyDescent="0.3">
      <c r="A1282" s="8" t="s">
        <v>17</v>
      </c>
      <c r="B1282" s="8" t="s">
        <v>425</v>
      </c>
      <c r="C1282" s="9">
        <v>1283</v>
      </c>
      <c r="D1282" s="3">
        <v>690000</v>
      </c>
      <c r="E1282" s="1">
        <f>datos_limpios[[#This Row],[Price INR   ]]*0.011</f>
        <v>7590</v>
      </c>
      <c r="F1282" s="13">
        <v>2017</v>
      </c>
      <c r="G1282" s="2">
        <v>61000</v>
      </c>
      <c r="H1282" s="8" t="s">
        <v>19</v>
      </c>
      <c r="I1282" s="8" t="s">
        <v>13</v>
      </c>
      <c r="J1282" s="8" t="s">
        <v>62</v>
      </c>
      <c r="K1282" t="s">
        <v>21</v>
      </c>
      <c r="L1282" t="s">
        <v>22</v>
      </c>
      <c r="M1282" s="2">
        <f>VALUE(MID(L1282,1,FIND("@",L1282)-6))</f>
        <v>74</v>
      </c>
      <c r="N1282">
        <v>5</v>
      </c>
      <c r="O1282" t="str">
        <f>IF(datos_limpios[[#This Row],[Seating Capacity ]]&gt;4,"SI","NO")</f>
        <v>SI</v>
      </c>
      <c r="P1282">
        <v>37</v>
      </c>
    </row>
    <row r="1283" spans="1:16" x14ac:dyDescent="0.3">
      <c r="A1283" s="8" t="s">
        <v>17</v>
      </c>
      <c r="B1283" s="8" t="s">
        <v>216</v>
      </c>
      <c r="C1283" s="9">
        <v>1284</v>
      </c>
      <c r="D1283" s="3">
        <v>691000</v>
      </c>
      <c r="E1283" s="1">
        <f>datos_limpios[[#This Row],[Price INR   ]]*0.011</f>
        <v>7601</v>
      </c>
      <c r="F1283" s="13">
        <v>2019</v>
      </c>
      <c r="G1283" s="2">
        <v>16652</v>
      </c>
      <c r="H1283" s="8" t="s">
        <v>12</v>
      </c>
      <c r="I1283" s="8" t="s">
        <v>13</v>
      </c>
      <c r="J1283" s="8" t="s">
        <v>20</v>
      </c>
      <c r="K1283" t="s">
        <v>26</v>
      </c>
      <c r="L1283" t="s">
        <v>98</v>
      </c>
      <c r="M1283" s="2">
        <f>VALUE(MID(L1283,1,FIND("@",L1283)-6))</f>
        <v>89</v>
      </c>
      <c r="N1283">
        <v>5</v>
      </c>
      <c r="O1283" t="str">
        <f>IF(datos_limpios[[#This Row],[Seating Capacity ]]&gt;4,"SI","NO")</f>
        <v>SI</v>
      </c>
      <c r="P1283">
        <v>37</v>
      </c>
    </row>
    <row r="1284" spans="1:16" x14ac:dyDescent="0.3">
      <c r="A1284" s="8" t="s">
        <v>17</v>
      </c>
      <c r="B1284" s="8" t="s">
        <v>719</v>
      </c>
      <c r="C1284" s="9">
        <v>1285</v>
      </c>
      <c r="D1284" s="3">
        <v>695000</v>
      </c>
      <c r="E1284" s="1">
        <f>datos_limpios[[#This Row],[Price INR   ]]*0.011</f>
        <v>7645</v>
      </c>
      <c r="F1284" s="13">
        <v>2018</v>
      </c>
      <c r="G1284" s="2">
        <v>55000</v>
      </c>
      <c r="H1284" s="8" t="s">
        <v>19</v>
      </c>
      <c r="I1284" s="8" t="s">
        <v>40</v>
      </c>
      <c r="J1284" s="8" t="s">
        <v>14</v>
      </c>
      <c r="K1284" t="s">
        <v>21</v>
      </c>
      <c r="L1284" t="s">
        <v>22</v>
      </c>
      <c r="M1284" s="2">
        <f>VALUE(MID(L1284,1,FIND("@",L1284)-6))</f>
        <v>74</v>
      </c>
      <c r="N1284">
        <v>5</v>
      </c>
      <c r="O1284" t="str">
        <f>IF(datos_limpios[[#This Row],[Seating Capacity ]]&gt;4,"SI","NO")</f>
        <v>SI</v>
      </c>
      <c r="P1284">
        <v>37</v>
      </c>
    </row>
    <row r="1285" spans="1:16" x14ac:dyDescent="0.3">
      <c r="A1285" s="8" t="s">
        <v>17</v>
      </c>
      <c r="B1285" s="8" t="s">
        <v>592</v>
      </c>
      <c r="C1285" s="9">
        <v>1286</v>
      </c>
      <c r="D1285" s="3">
        <v>695000</v>
      </c>
      <c r="E1285" s="1">
        <f>datos_limpios[[#This Row],[Price INR   ]]*0.011</f>
        <v>7645</v>
      </c>
      <c r="F1285" s="13">
        <v>2018</v>
      </c>
      <c r="G1285" s="2">
        <v>68818</v>
      </c>
      <c r="H1285" s="8" t="s">
        <v>12</v>
      </c>
      <c r="I1285" s="8" t="s">
        <v>40</v>
      </c>
      <c r="J1285" s="8" t="s">
        <v>77</v>
      </c>
      <c r="K1285" t="s">
        <v>26</v>
      </c>
      <c r="L1285" t="s">
        <v>31</v>
      </c>
      <c r="M1285" s="2">
        <f>VALUE(MID(L1285,1,FIND("@",L1285)-6))</f>
        <v>82</v>
      </c>
      <c r="N1285">
        <v>5</v>
      </c>
      <c r="O1285" t="str">
        <f>IF(datos_limpios[[#This Row],[Seating Capacity ]]&gt;4,"SI","NO")</f>
        <v>SI</v>
      </c>
      <c r="P1285">
        <v>37</v>
      </c>
    </row>
    <row r="1286" spans="1:16" x14ac:dyDescent="0.3">
      <c r="A1286" s="8" t="s">
        <v>17</v>
      </c>
      <c r="B1286" s="8" t="s">
        <v>850</v>
      </c>
      <c r="C1286" s="9">
        <v>1287</v>
      </c>
      <c r="D1286" s="3">
        <v>695000</v>
      </c>
      <c r="E1286" s="1">
        <f>datos_limpios[[#This Row],[Price INR   ]]*0.011</f>
        <v>7645</v>
      </c>
      <c r="F1286" s="13">
        <v>2018</v>
      </c>
      <c r="G1286" s="2">
        <v>31000</v>
      </c>
      <c r="H1286" s="8" t="s">
        <v>12</v>
      </c>
      <c r="I1286" s="8" t="s">
        <v>13</v>
      </c>
      <c r="J1286" s="8" t="s">
        <v>14</v>
      </c>
      <c r="K1286" t="s">
        <v>26</v>
      </c>
      <c r="L1286" t="s">
        <v>98</v>
      </c>
      <c r="M1286" s="2">
        <f>VALUE(MID(L1286,1,FIND("@",L1286)-6))</f>
        <v>89</v>
      </c>
      <c r="N1286">
        <v>5</v>
      </c>
      <c r="O1286" t="str">
        <f>IF(datos_limpios[[#This Row],[Seating Capacity ]]&gt;4,"SI","NO")</f>
        <v>SI</v>
      </c>
      <c r="P1286">
        <v>37</v>
      </c>
    </row>
    <row r="1287" spans="1:16" x14ac:dyDescent="0.3">
      <c r="A1287" s="8" t="s">
        <v>17</v>
      </c>
      <c r="B1287" s="8" t="s">
        <v>879</v>
      </c>
      <c r="C1287" s="9">
        <v>1288</v>
      </c>
      <c r="D1287" s="3">
        <v>695000</v>
      </c>
      <c r="E1287" s="1">
        <f>datos_limpios[[#This Row],[Price INR   ]]*0.011</f>
        <v>7645</v>
      </c>
      <c r="F1287" s="13">
        <v>2018</v>
      </c>
      <c r="G1287" s="2">
        <v>8000</v>
      </c>
      <c r="H1287" s="8" t="s">
        <v>12</v>
      </c>
      <c r="I1287" s="8" t="s">
        <v>40</v>
      </c>
      <c r="J1287" s="8" t="s">
        <v>57</v>
      </c>
      <c r="K1287" t="s">
        <v>26</v>
      </c>
      <c r="L1287" t="s">
        <v>31</v>
      </c>
      <c r="M1287" s="2">
        <f>VALUE(MID(L1287,1,FIND("@",L1287)-6))</f>
        <v>82</v>
      </c>
      <c r="N1287">
        <v>5</v>
      </c>
      <c r="O1287" t="str">
        <f>IF(datos_limpios[[#This Row],[Seating Capacity ]]&gt;4,"SI","NO")</f>
        <v>SI</v>
      </c>
      <c r="P1287">
        <v>37</v>
      </c>
    </row>
    <row r="1288" spans="1:16" x14ac:dyDescent="0.3">
      <c r="A1288" s="8" t="s">
        <v>17</v>
      </c>
      <c r="B1288" s="8" t="s">
        <v>719</v>
      </c>
      <c r="C1288" s="9">
        <v>1289</v>
      </c>
      <c r="D1288" s="3">
        <v>695000</v>
      </c>
      <c r="E1288" s="1">
        <f>datos_limpios[[#This Row],[Price INR   ]]*0.011</f>
        <v>7645</v>
      </c>
      <c r="F1288" s="13">
        <v>2018</v>
      </c>
      <c r="G1288" s="2">
        <v>66000</v>
      </c>
      <c r="H1288" s="8" t="s">
        <v>19</v>
      </c>
      <c r="I1288" s="8" t="s">
        <v>40</v>
      </c>
      <c r="J1288" s="8" t="s">
        <v>30</v>
      </c>
      <c r="K1288" t="s">
        <v>21</v>
      </c>
      <c r="L1288" t="s">
        <v>22</v>
      </c>
      <c r="M1288" s="2">
        <f>VALUE(MID(L1288,1,FIND("@",L1288)-6))</f>
        <v>74</v>
      </c>
      <c r="N1288">
        <v>5</v>
      </c>
      <c r="O1288" t="str">
        <f>IF(datos_limpios[[#This Row],[Seating Capacity ]]&gt;4,"SI","NO")</f>
        <v>SI</v>
      </c>
      <c r="P1288">
        <v>37</v>
      </c>
    </row>
    <row r="1289" spans="1:16" x14ac:dyDescent="0.3">
      <c r="A1289" s="8" t="s">
        <v>17</v>
      </c>
      <c r="B1289" s="8" t="s">
        <v>520</v>
      </c>
      <c r="C1289" s="9">
        <v>1290</v>
      </c>
      <c r="D1289" s="3">
        <v>695000</v>
      </c>
      <c r="E1289" s="1">
        <f>datos_limpios[[#This Row],[Price INR   ]]*0.011</f>
        <v>7645</v>
      </c>
      <c r="F1289" s="13">
        <v>2019</v>
      </c>
      <c r="G1289" s="2">
        <v>46027</v>
      </c>
      <c r="H1289" s="8" t="s">
        <v>12</v>
      </c>
      <c r="I1289" s="8" t="s">
        <v>13</v>
      </c>
      <c r="J1289" s="8" t="s">
        <v>57</v>
      </c>
      <c r="K1289" t="s">
        <v>26</v>
      </c>
      <c r="L1289" t="s">
        <v>137</v>
      </c>
      <c r="M1289" s="2">
        <f>VALUE(MID(L1289,1,FIND("@",L1289)-6))</f>
        <v>83</v>
      </c>
      <c r="N1289">
        <v>5</v>
      </c>
      <c r="O1289" t="str">
        <f>IF(datos_limpios[[#This Row],[Seating Capacity ]]&gt;4,"SI","NO")</f>
        <v>SI</v>
      </c>
      <c r="P1289">
        <v>42</v>
      </c>
    </row>
    <row r="1290" spans="1:16" x14ac:dyDescent="0.3">
      <c r="A1290" s="8" t="s">
        <v>17</v>
      </c>
      <c r="B1290" s="8" t="s">
        <v>1128</v>
      </c>
      <c r="C1290" s="9">
        <v>1291</v>
      </c>
      <c r="D1290" s="3">
        <v>695000</v>
      </c>
      <c r="E1290" s="1">
        <f>datos_limpios[[#This Row],[Price INR   ]]*0.011</f>
        <v>7645</v>
      </c>
      <c r="F1290" s="13">
        <v>2016</v>
      </c>
      <c r="G1290" s="2">
        <v>82445</v>
      </c>
      <c r="H1290" s="8" t="s">
        <v>19</v>
      </c>
      <c r="I1290" s="8" t="s">
        <v>13</v>
      </c>
      <c r="J1290" s="8" t="s">
        <v>14</v>
      </c>
      <c r="K1290" t="s">
        <v>21</v>
      </c>
      <c r="L1290" t="s">
        <v>140</v>
      </c>
      <c r="M1290" s="2">
        <f>VALUE(MID(L1290,1,FIND("@",L1290)-6))</f>
        <v>89</v>
      </c>
      <c r="N1290">
        <v>5</v>
      </c>
      <c r="O1290" t="str">
        <f>IF(datos_limpios[[#This Row],[Seating Capacity ]]&gt;4,"SI","NO")</f>
        <v>SI</v>
      </c>
      <c r="P1290">
        <v>43</v>
      </c>
    </row>
    <row r="1291" spans="1:16" x14ac:dyDescent="0.3">
      <c r="A1291" s="8" t="s">
        <v>17</v>
      </c>
      <c r="B1291" s="8" t="s">
        <v>1158</v>
      </c>
      <c r="C1291" s="9">
        <v>1292</v>
      </c>
      <c r="D1291" s="3">
        <v>695000</v>
      </c>
      <c r="E1291" s="1">
        <f>datos_limpios[[#This Row],[Price INR   ]]*0.011</f>
        <v>7645</v>
      </c>
      <c r="F1291" s="13">
        <v>2016</v>
      </c>
      <c r="G1291" s="2">
        <v>68921</v>
      </c>
      <c r="H1291" s="8" t="s">
        <v>19</v>
      </c>
      <c r="I1291" s="8" t="s">
        <v>13</v>
      </c>
      <c r="J1291" s="8" t="s">
        <v>30</v>
      </c>
      <c r="K1291" t="s">
        <v>21</v>
      </c>
      <c r="L1291" t="s">
        <v>22</v>
      </c>
      <c r="M1291" s="2">
        <f>VALUE(MID(L1291,1,FIND("@",L1291)-6))</f>
        <v>74</v>
      </c>
      <c r="N1291">
        <v>5</v>
      </c>
      <c r="O1291" t="str">
        <f>IF(datos_limpios[[#This Row],[Seating Capacity ]]&gt;4,"SI","NO")</f>
        <v>SI</v>
      </c>
      <c r="P1291">
        <v>37</v>
      </c>
    </row>
    <row r="1292" spans="1:16" x14ac:dyDescent="0.3">
      <c r="A1292" s="8" t="s">
        <v>17</v>
      </c>
      <c r="B1292" s="8" t="s">
        <v>75</v>
      </c>
      <c r="C1292" s="9">
        <v>1293</v>
      </c>
      <c r="D1292" s="3">
        <v>699000</v>
      </c>
      <c r="E1292" s="1">
        <f>datos_limpios[[#This Row],[Price INR   ]]*0.011</f>
        <v>7689</v>
      </c>
      <c r="F1292" s="13">
        <v>2020</v>
      </c>
      <c r="G1292" s="2">
        <v>30777</v>
      </c>
      <c r="H1292" s="8" t="s">
        <v>12</v>
      </c>
      <c r="I1292" s="8" t="s">
        <v>40</v>
      </c>
      <c r="J1292" s="8" t="s">
        <v>20</v>
      </c>
      <c r="K1292" t="s">
        <v>26</v>
      </c>
      <c r="L1292" t="s">
        <v>31</v>
      </c>
      <c r="M1292" s="2">
        <f>VALUE(MID(L1292,1,FIND("@",L1292)-6))</f>
        <v>82</v>
      </c>
      <c r="N1292">
        <v>5</v>
      </c>
      <c r="O1292" t="str">
        <f>IF(datos_limpios[[#This Row],[Seating Capacity ]]&gt;4,"SI","NO")</f>
        <v>SI</v>
      </c>
      <c r="P1292">
        <v>32</v>
      </c>
    </row>
    <row r="1293" spans="1:16" x14ac:dyDescent="0.3">
      <c r="A1293" s="8" t="s">
        <v>17</v>
      </c>
      <c r="B1293" s="8" t="s">
        <v>414</v>
      </c>
      <c r="C1293" s="9">
        <v>1294</v>
      </c>
      <c r="D1293" s="3">
        <v>699000</v>
      </c>
      <c r="E1293" s="1">
        <f>datos_limpios[[#This Row],[Price INR   ]]*0.011</f>
        <v>7689</v>
      </c>
      <c r="F1293" s="13">
        <v>2018</v>
      </c>
      <c r="G1293" s="2">
        <v>43000</v>
      </c>
      <c r="H1293" s="8" t="s">
        <v>19</v>
      </c>
      <c r="I1293" s="8" t="s">
        <v>40</v>
      </c>
      <c r="J1293" s="8" t="s">
        <v>30</v>
      </c>
      <c r="K1293" t="s">
        <v>21</v>
      </c>
      <c r="L1293" t="s">
        <v>22</v>
      </c>
      <c r="M1293" s="2">
        <f>VALUE(MID(L1293,1,FIND("@",L1293)-6))</f>
        <v>74</v>
      </c>
      <c r="N1293">
        <v>5</v>
      </c>
      <c r="O1293" t="str">
        <f>IF(datos_limpios[[#This Row],[Seating Capacity ]]&gt;4,"SI","NO")</f>
        <v>SI</v>
      </c>
      <c r="P1293">
        <v>37</v>
      </c>
    </row>
    <row r="1294" spans="1:16" x14ac:dyDescent="0.3">
      <c r="A1294" s="8" t="s">
        <v>17</v>
      </c>
      <c r="B1294" s="8" t="s">
        <v>712</v>
      </c>
      <c r="C1294" s="9">
        <v>1295</v>
      </c>
      <c r="D1294" s="3">
        <v>700000</v>
      </c>
      <c r="E1294" s="1">
        <f>datos_limpios[[#This Row],[Price INR   ]]*0.011</f>
        <v>7700</v>
      </c>
      <c r="F1294" s="13">
        <v>2019</v>
      </c>
      <c r="G1294" s="2">
        <v>11000</v>
      </c>
      <c r="H1294" s="8" t="s">
        <v>12</v>
      </c>
      <c r="I1294" s="8" t="s">
        <v>13</v>
      </c>
      <c r="J1294" s="8" t="s">
        <v>77</v>
      </c>
      <c r="K1294" t="s">
        <v>26</v>
      </c>
      <c r="L1294" t="s">
        <v>31</v>
      </c>
      <c r="M1294" s="2">
        <f>VALUE(MID(L1294,1,FIND("@",L1294)-6))</f>
        <v>82</v>
      </c>
      <c r="N1294">
        <v>5</v>
      </c>
      <c r="O1294" t="str">
        <f>IF(datos_limpios[[#This Row],[Seating Capacity ]]&gt;4,"SI","NO")</f>
        <v>SI</v>
      </c>
      <c r="P1294">
        <v>37</v>
      </c>
    </row>
    <row r="1295" spans="1:16" x14ac:dyDescent="0.3">
      <c r="A1295" s="8" t="s">
        <v>17</v>
      </c>
      <c r="B1295" s="8" t="s">
        <v>468</v>
      </c>
      <c r="C1295" s="9">
        <v>1296</v>
      </c>
      <c r="D1295" s="3">
        <v>710000</v>
      </c>
      <c r="E1295" s="1">
        <f>datos_limpios[[#This Row],[Price INR   ]]*0.011</f>
        <v>7810</v>
      </c>
      <c r="F1295" s="13">
        <v>2017</v>
      </c>
      <c r="G1295" s="2">
        <v>73000</v>
      </c>
      <c r="H1295" s="8" t="s">
        <v>19</v>
      </c>
      <c r="I1295" s="8" t="s">
        <v>13</v>
      </c>
      <c r="J1295" s="8" t="s">
        <v>20</v>
      </c>
      <c r="K1295" t="s">
        <v>21</v>
      </c>
      <c r="L1295" t="s">
        <v>140</v>
      </c>
      <c r="M1295" s="2">
        <f>VALUE(MID(L1295,1,FIND("@",L1295)-6))</f>
        <v>89</v>
      </c>
      <c r="N1295">
        <v>5</v>
      </c>
      <c r="O1295" t="str">
        <f>IF(datos_limpios[[#This Row],[Seating Capacity ]]&gt;4,"SI","NO")</f>
        <v>SI</v>
      </c>
      <c r="P1295">
        <v>48</v>
      </c>
    </row>
    <row r="1296" spans="1:16" x14ac:dyDescent="0.3">
      <c r="A1296" s="8" t="s">
        <v>17</v>
      </c>
      <c r="B1296" s="8" t="s">
        <v>687</v>
      </c>
      <c r="C1296" s="9">
        <v>1297</v>
      </c>
      <c r="D1296" s="3">
        <v>710000</v>
      </c>
      <c r="E1296" s="1">
        <f>datos_limpios[[#This Row],[Price INR   ]]*0.011</f>
        <v>7810</v>
      </c>
      <c r="F1296" s="13">
        <v>2018</v>
      </c>
      <c r="G1296" s="2">
        <v>72000</v>
      </c>
      <c r="H1296" s="8" t="s">
        <v>19</v>
      </c>
      <c r="I1296" s="8" t="s">
        <v>13</v>
      </c>
      <c r="J1296" s="8" t="s">
        <v>57</v>
      </c>
      <c r="K1296" t="s">
        <v>210</v>
      </c>
      <c r="L1296" t="s">
        <v>688</v>
      </c>
      <c r="M1296" s="2">
        <f>VALUE(MID(L1296,1,FIND("@",L1296)-6))</f>
        <v>118</v>
      </c>
      <c r="N1296">
        <v>5</v>
      </c>
      <c r="O1296" t="str">
        <f>IF(datos_limpios[[#This Row],[Seating Capacity ]]&gt;4,"SI","NO")</f>
        <v>SI</v>
      </c>
      <c r="P1296">
        <v>48</v>
      </c>
    </row>
    <row r="1297" spans="1:16" x14ac:dyDescent="0.3">
      <c r="A1297" s="8" t="s">
        <v>17</v>
      </c>
      <c r="B1297" s="8" t="s">
        <v>221</v>
      </c>
      <c r="C1297" s="9">
        <v>1298</v>
      </c>
      <c r="D1297" s="3">
        <v>711000</v>
      </c>
      <c r="E1297" s="1">
        <f>datos_limpios[[#This Row],[Price INR   ]]*0.011</f>
        <v>7821</v>
      </c>
      <c r="F1297" s="13">
        <v>2018</v>
      </c>
      <c r="G1297" s="2">
        <v>67900</v>
      </c>
      <c r="H1297" s="8" t="s">
        <v>19</v>
      </c>
      <c r="I1297" s="8" t="s">
        <v>13</v>
      </c>
      <c r="J1297" s="8" t="s">
        <v>30</v>
      </c>
      <c r="K1297" t="s">
        <v>21</v>
      </c>
      <c r="L1297" t="s">
        <v>140</v>
      </c>
      <c r="M1297" s="2">
        <f>VALUE(MID(L1297,1,FIND("@",L1297)-6))</f>
        <v>89</v>
      </c>
      <c r="N1297">
        <v>5</v>
      </c>
      <c r="O1297" t="str">
        <f>IF(datos_limpios[[#This Row],[Seating Capacity ]]&gt;4,"SI","NO")</f>
        <v>SI</v>
      </c>
      <c r="P1297">
        <v>48</v>
      </c>
    </row>
    <row r="1298" spans="1:16" x14ac:dyDescent="0.3">
      <c r="A1298" s="8" t="s">
        <v>17</v>
      </c>
      <c r="B1298" s="8" t="s">
        <v>752</v>
      </c>
      <c r="C1298" s="9">
        <v>1299</v>
      </c>
      <c r="D1298" s="3">
        <v>715000</v>
      </c>
      <c r="E1298" s="1">
        <f>datos_limpios[[#This Row],[Price INR   ]]*0.011</f>
        <v>7864.9999999999991</v>
      </c>
      <c r="F1298" s="13">
        <v>2017</v>
      </c>
      <c r="G1298" s="2">
        <v>71000</v>
      </c>
      <c r="H1298" s="8" t="s">
        <v>19</v>
      </c>
      <c r="I1298" s="8" t="s">
        <v>13</v>
      </c>
      <c r="J1298" s="8" t="s">
        <v>30</v>
      </c>
      <c r="K1298" t="s">
        <v>21</v>
      </c>
      <c r="L1298" t="s">
        <v>140</v>
      </c>
      <c r="M1298" s="2">
        <f>VALUE(MID(L1298,1,FIND("@",L1298)-6))</f>
        <v>89</v>
      </c>
      <c r="N1298">
        <v>5</v>
      </c>
      <c r="O1298" t="str">
        <f>IF(datos_limpios[[#This Row],[Seating Capacity ]]&gt;4,"SI","NO")</f>
        <v>SI</v>
      </c>
      <c r="P1298">
        <v>48</v>
      </c>
    </row>
    <row r="1299" spans="1:16" x14ac:dyDescent="0.3">
      <c r="A1299" s="8" t="s">
        <v>17</v>
      </c>
      <c r="B1299" s="8" t="s">
        <v>136</v>
      </c>
      <c r="C1299" s="9">
        <v>1300</v>
      </c>
      <c r="D1299" s="3">
        <v>715000</v>
      </c>
      <c r="E1299" s="1">
        <f>datos_limpios[[#This Row],[Price INR   ]]*0.011</f>
        <v>7864.9999999999991</v>
      </c>
      <c r="F1299" s="13">
        <v>2021</v>
      </c>
      <c r="G1299" s="2">
        <v>16000</v>
      </c>
      <c r="H1299" s="8" t="s">
        <v>12</v>
      </c>
      <c r="I1299" s="8" t="s">
        <v>13</v>
      </c>
      <c r="J1299" s="8" t="s">
        <v>14</v>
      </c>
      <c r="K1299" t="s">
        <v>26</v>
      </c>
      <c r="L1299" t="s">
        <v>137</v>
      </c>
      <c r="M1299" s="2">
        <f>VALUE(MID(L1299,1,FIND("@",L1299)-6))</f>
        <v>83</v>
      </c>
      <c r="N1299">
        <v>5</v>
      </c>
      <c r="O1299" t="str">
        <f>IF(datos_limpios[[#This Row],[Seating Capacity ]]&gt;4,"SI","NO")</f>
        <v>SI</v>
      </c>
      <c r="P1299">
        <v>37</v>
      </c>
    </row>
    <row r="1300" spans="1:16" x14ac:dyDescent="0.3">
      <c r="A1300" s="8" t="s">
        <v>17</v>
      </c>
      <c r="B1300" s="8" t="s">
        <v>592</v>
      </c>
      <c r="C1300" s="9">
        <v>1301</v>
      </c>
      <c r="D1300" s="3">
        <v>715000</v>
      </c>
      <c r="E1300" s="1">
        <f>datos_limpios[[#This Row],[Price INR   ]]*0.011</f>
        <v>7864.9999999999991</v>
      </c>
      <c r="F1300" s="13">
        <v>2019</v>
      </c>
      <c r="G1300" s="2">
        <v>31552</v>
      </c>
      <c r="H1300" s="8" t="s">
        <v>12</v>
      </c>
      <c r="I1300" s="8" t="s">
        <v>40</v>
      </c>
      <c r="J1300" s="8" t="s">
        <v>82</v>
      </c>
      <c r="K1300" t="s">
        <v>26</v>
      </c>
      <c r="L1300" t="s">
        <v>31</v>
      </c>
      <c r="M1300" s="2">
        <f>VALUE(MID(L1300,1,FIND("@",L1300)-6))</f>
        <v>82</v>
      </c>
      <c r="N1300">
        <v>5</v>
      </c>
      <c r="O1300" t="str">
        <f>IF(datos_limpios[[#This Row],[Seating Capacity ]]&gt;4,"SI","NO")</f>
        <v>SI</v>
      </c>
      <c r="P1300">
        <v>37</v>
      </c>
    </row>
    <row r="1301" spans="1:16" x14ac:dyDescent="0.3">
      <c r="A1301" s="8" t="s">
        <v>17</v>
      </c>
      <c r="B1301" s="8" t="s">
        <v>899</v>
      </c>
      <c r="C1301" s="9">
        <v>1302</v>
      </c>
      <c r="D1301" s="3">
        <v>721000</v>
      </c>
      <c r="E1301" s="1">
        <f>datos_limpios[[#This Row],[Price INR   ]]*0.011</f>
        <v>7930.9999999999991</v>
      </c>
      <c r="F1301" s="13">
        <v>2018</v>
      </c>
      <c r="G1301" s="2">
        <v>46000</v>
      </c>
      <c r="H1301" s="8" t="s">
        <v>12</v>
      </c>
      <c r="I1301" s="8" t="s">
        <v>13</v>
      </c>
      <c r="J1301" s="8" t="s">
        <v>20</v>
      </c>
      <c r="K1301" t="s">
        <v>36</v>
      </c>
      <c r="L1301" t="s">
        <v>37</v>
      </c>
      <c r="M1301" s="2">
        <f>VALUE(MID(L1301,1,FIND("@",L1301)-6))</f>
        <v>91</v>
      </c>
      <c r="N1301">
        <v>5</v>
      </c>
      <c r="O1301" t="str">
        <f>IF(datos_limpios[[#This Row],[Seating Capacity ]]&gt;4,"SI","NO")</f>
        <v>SI</v>
      </c>
      <c r="P1301">
        <v>43</v>
      </c>
    </row>
    <row r="1302" spans="1:16" x14ac:dyDescent="0.3">
      <c r="A1302" s="8" t="s">
        <v>17</v>
      </c>
      <c r="B1302" s="8" t="s">
        <v>468</v>
      </c>
      <c r="C1302" s="9">
        <v>1303</v>
      </c>
      <c r="D1302" s="3">
        <v>725000</v>
      </c>
      <c r="E1302" s="1">
        <f>datos_limpios[[#This Row],[Price INR   ]]*0.011</f>
        <v>7974.9999999999991</v>
      </c>
      <c r="F1302" s="13">
        <v>2018</v>
      </c>
      <c r="G1302" s="2">
        <v>42000</v>
      </c>
      <c r="H1302" s="8" t="s">
        <v>19</v>
      </c>
      <c r="I1302" s="8" t="s">
        <v>13</v>
      </c>
      <c r="J1302" s="8" t="s">
        <v>20</v>
      </c>
      <c r="K1302" t="s">
        <v>21</v>
      </c>
      <c r="L1302" t="s">
        <v>140</v>
      </c>
      <c r="M1302" s="2">
        <f>VALUE(MID(L1302,1,FIND("@",L1302)-6))</f>
        <v>89</v>
      </c>
      <c r="N1302">
        <v>5</v>
      </c>
      <c r="O1302" t="str">
        <f>IF(datos_limpios[[#This Row],[Seating Capacity ]]&gt;4,"SI","NO")</f>
        <v>SI</v>
      </c>
      <c r="P1302">
        <v>48</v>
      </c>
    </row>
    <row r="1303" spans="1:16" x14ac:dyDescent="0.3">
      <c r="A1303" s="8" t="s">
        <v>17</v>
      </c>
      <c r="B1303" s="8" t="s">
        <v>808</v>
      </c>
      <c r="C1303" s="9">
        <v>1304</v>
      </c>
      <c r="D1303" s="3">
        <v>725000</v>
      </c>
      <c r="E1303" s="1">
        <f>datos_limpios[[#This Row],[Price INR   ]]*0.011</f>
        <v>7974.9999999999991</v>
      </c>
      <c r="F1303" s="13">
        <v>2017</v>
      </c>
      <c r="G1303" s="2">
        <v>42000</v>
      </c>
      <c r="H1303" s="8" t="s">
        <v>19</v>
      </c>
      <c r="I1303" s="8" t="s">
        <v>13</v>
      </c>
      <c r="J1303" s="8" t="s">
        <v>20</v>
      </c>
      <c r="K1303" t="s">
        <v>21</v>
      </c>
      <c r="L1303" t="s">
        <v>140</v>
      </c>
      <c r="M1303" s="2">
        <f>VALUE(MID(L1303,1,FIND("@",L1303)-6))</f>
        <v>89</v>
      </c>
      <c r="N1303">
        <v>7</v>
      </c>
      <c r="O1303" t="str">
        <f>IF(datos_limpios[[#This Row],[Seating Capacity ]]&gt;4,"SI","NO")</f>
        <v>SI</v>
      </c>
      <c r="P1303">
        <v>45</v>
      </c>
    </row>
    <row r="1304" spans="1:16" x14ac:dyDescent="0.3">
      <c r="A1304" s="8" t="s">
        <v>17</v>
      </c>
      <c r="B1304" s="8" t="s">
        <v>879</v>
      </c>
      <c r="C1304" s="9">
        <v>1305</v>
      </c>
      <c r="D1304" s="3">
        <v>725000</v>
      </c>
      <c r="E1304" s="1">
        <f>datos_limpios[[#This Row],[Price INR   ]]*0.011</f>
        <v>7974.9999999999991</v>
      </c>
      <c r="F1304" s="13">
        <v>2019</v>
      </c>
      <c r="G1304" s="2">
        <v>11874</v>
      </c>
      <c r="H1304" s="8" t="s">
        <v>12</v>
      </c>
      <c r="I1304" s="8" t="s">
        <v>40</v>
      </c>
      <c r="J1304" s="8" t="s">
        <v>20</v>
      </c>
      <c r="K1304" t="s">
        <v>26</v>
      </c>
      <c r="L1304" t="s">
        <v>31</v>
      </c>
      <c r="M1304" s="2">
        <f>VALUE(MID(L1304,1,FIND("@",L1304)-6))</f>
        <v>82</v>
      </c>
      <c r="N1304">
        <v>5</v>
      </c>
      <c r="O1304" t="str">
        <f>IF(datos_limpios[[#This Row],[Seating Capacity ]]&gt;4,"SI","NO")</f>
        <v>SI</v>
      </c>
      <c r="P1304">
        <v>37</v>
      </c>
    </row>
    <row r="1305" spans="1:16" x14ac:dyDescent="0.3">
      <c r="A1305" s="8" t="s">
        <v>17</v>
      </c>
      <c r="B1305" s="8" t="s">
        <v>468</v>
      </c>
      <c r="C1305" s="9">
        <v>1306</v>
      </c>
      <c r="D1305" s="3">
        <v>725000</v>
      </c>
      <c r="E1305" s="1">
        <f>datos_limpios[[#This Row],[Price INR   ]]*0.011</f>
        <v>7974.9999999999991</v>
      </c>
      <c r="F1305" s="13">
        <v>2017</v>
      </c>
      <c r="G1305" s="2">
        <v>75793</v>
      </c>
      <c r="H1305" s="8" t="s">
        <v>19</v>
      </c>
      <c r="I1305" s="8" t="s">
        <v>13</v>
      </c>
      <c r="J1305" s="8" t="s">
        <v>20</v>
      </c>
      <c r="K1305" t="s">
        <v>21</v>
      </c>
      <c r="L1305" t="s">
        <v>140</v>
      </c>
      <c r="M1305" s="2">
        <f>VALUE(MID(L1305,1,FIND("@",L1305)-6))</f>
        <v>89</v>
      </c>
      <c r="N1305">
        <v>5</v>
      </c>
      <c r="O1305" t="str">
        <f>IF(datos_limpios[[#This Row],[Seating Capacity ]]&gt;4,"SI","NO")</f>
        <v>SI</v>
      </c>
      <c r="P1305">
        <v>48</v>
      </c>
    </row>
    <row r="1306" spans="1:16" x14ac:dyDescent="0.3">
      <c r="A1306" s="8" t="s">
        <v>17</v>
      </c>
      <c r="B1306" s="8" t="s">
        <v>879</v>
      </c>
      <c r="C1306" s="9">
        <v>1307</v>
      </c>
      <c r="D1306" s="3">
        <v>725000</v>
      </c>
      <c r="E1306" s="1">
        <f>datos_limpios[[#This Row],[Price INR   ]]*0.011</f>
        <v>7974.9999999999991</v>
      </c>
      <c r="F1306" s="13">
        <v>2019</v>
      </c>
      <c r="G1306" s="2">
        <v>11874</v>
      </c>
      <c r="H1306" s="8" t="s">
        <v>12</v>
      </c>
      <c r="I1306" s="8" t="s">
        <v>40</v>
      </c>
      <c r="J1306" s="8" t="s">
        <v>20</v>
      </c>
      <c r="K1306" t="s">
        <v>26</v>
      </c>
      <c r="L1306" t="s">
        <v>31</v>
      </c>
      <c r="M1306" s="2">
        <f>VALUE(MID(L1306,1,FIND("@",L1306)-6))</f>
        <v>82</v>
      </c>
      <c r="N1306">
        <v>5</v>
      </c>
      <c r="O1306" t="str">
        <f>IF(datos_limpios[[#This Row],[Seating Capacity ]]&gt;4,"SI","NO")</f>
        <v>SI</v>
      </c>
      <c r="P1306">
        <v>37</v>
      </c>
    </row>
    <row r="1307" spans="1:16" x14ac:dyDescent="0.3">
      <c r="A1307" s="8" t="s">
        <v>17</v>
      </c>
      <c r="B1307" s="8" t="s">
        <v>139</v>
      </c>
      <c r="C1307" s="9">
        <v>1308</v>
      </c>
      <c r="D1307" s="3">
        <v>725000</v>
      </c>
      <c r="E1307" s="1">
        <f>datos_limpios[[#This Row],[Price INR   ]]*0.011</f>
        <v>7974.9999999999991</v>
      </c>
      <c r="F1307" s="13">
        <v>2016</v>
      </c>
      <c r="G1307" s="2">
        <v>57000</v>
      </c>
      <c r="H1307" s="8" t="s">
        <v>19</v>
      </c>
      <c r="I1307" s="8" t="s">
        <v>13</v>
      </c>
      <c r="J1307" s="8" t="s">
        <v>20</v>
      </c>
      <c r="K1307" t="s">
        <v>21</v>
      </c>
      <c r="L1307" t="s">
        <v>140</v>
      </c>
      <c r="M1307" s="2">
        <f>VALUE(MID(L1307,1,FIND("@",L1307)-6))</f>
        <v>89</v>
      </c>
      <c r="N1307">
        <v>5</v>
      </c>
      <c r="O1307" t="str">
        <f>IF(datos_limpios[[#This Row],[Seating Capacity ]]&gt;4,"SI","NO")</f>
        <v>SI</v>
      </c>
      <c r="P1307">
        <v>43</v>
      </c>
    </row>
    <row r="1308" spans="1:16" x14ac:dyDescent="0.3">
      <c r="A1308" s="8" t="s">
        <v>17</v>
      </c>
      <c r="B1308" s="8" t="s">
        <v>1247</v>
      </c>
      <c r="C1308" s="9">
        <v>1309</v>
      </c>
      <c r="D1308" s="3">
        <v>725000</v>
      </c>
      <c r="E1308" s="1">
        <f>datos_limpios[[#This Row],[Price INR   ]]*0.011</f>
        <v>7974.9999999999991</v>
      </c>
      <c r="F1308" s="13">
        <v>2016</v>
      </c>
      <c r="G1308" s="2">
        <v>53000</v>
      </c>
      <c r="H1308" s="8" t="s">
        <v>12</v>
      </c>
      <c r="I1308" s="8" t="s">
        <v>13</v>
      </c>
      <c r="J1308" s="8" t="s">
        <v>14</v>
      </c>
      <c r="K1308" t="s">
        <v>36</v>
      </c>
      <c r="L1308" t="s">
        <v>785</v>
      </c>
      <c r="M1308" s="2">
        <f>VALUE(MID(L1308,1,FIND("@",L1308)-6))</f>
        <v>94</v>
      </c>
      <c r="N1308">
        <v>7</v>
      </c>
      <c r="O1308" t="str">
        <f>IF(datos_limpios[[#This Row],[Seating Capacity ]]&gt;4,"SI","NO")</f>
        <v>SI</v>
      </c>
      <c r="P1308">
        <v>45</v>
      </c>
    </row>
    <row r="1309" spans="1:16" x14ac:dyDescent="0.3">
      <c r="A1309" s="8" t="s">
        <v>17</v>
      </c>
      <c r="B1309" s="8" t="s">
        <v>524</v>
      </c>
      <c r="C1309" s="9">
        <v>1310</v>
      </c>
      <c r="D1309" s="3">
        <v>725000</v>
      </c>
      <c r="E1309" s="1">
        <f>datos_limpios[[#This Row],[Price INR   ]]*0.011</f>
        <v>7974.9999999999991</v>
      </c>
      <c r="F1309" s="13">
        <v>2017</v>
      </c>
      <c r="G1309" s="2">
        <v>64000</v>
      </c>
      <c r="H1309" s="8" t="s">
        <v>19</v>
      </c>
      <c r="I1309" s="8" t="s">
        <v>13</v>
      </c>
      <c r="J1309" s="8" t="s">
        <v>131</v>
      </c>
      <c r="K1309" t="s">
        <v>21</v>
      </c>
      <c r="L1309" t="s">
        <v>140</v>
      </c>
      <c r="M1309" s="2">
        <f>VALUE(MID(L1309,1,FIND("@",L1309)-6))</f>
        <v>89</v>
      </c>
      <c r="N1309">
        <v>5</v>
      </c>
      <c r="O1309" t="str">
        <f>IF(datos_limpios[[#This Row],[Seating Capacity ]]&gt;4,"SI","NO")</f>
        <v>SI</v>
      </c>
      <c r="P1309">
        <v>48</v>
      </c>
    </row>
    <row r="1310" spans="1:16" x14ac:dyDescent="0.3">
      <c r="A1310" s="8" t="s">
        <v>17</v>
      </c>
      <c r="B1310" s="8" t="s">
        <v>857</v>
      </c>
      <c r="C1310" s="9">
        <v>1311</v>
      </c>
      <c r="D1310" s="3">
        <v>725000</v>
      </c>
      <c r="E1310" s="1">
        <f>datos_limpios[[#This Row],[Price INR   ]]*0.011</f>
        <v>7974.9999999999991</v>
      </c>
      <c r="F1310" s="13">
        <v>2017</v>
      </c>
      <c r="G1310" s="2">
        <v>75000</v>
      </c>
      <c r="H1310" s="8" t="s">
        <v>19</v>
      </c>
      <c r="I1310" s="8" t="s">
        <v>13</v>
      </c>
      <c r="J1310" s="8" t="s">
        <v>20</v>
      </c>
      <c r="K1310" t="s">
        <v>21</v>
      </c>
      <c r="L1310" t="s">
        <v>140</v>
      </c>
      <c r="M1310" s="2">
        <f>VALUE(MID(L1310,1,FIND("@",L1310)-6))</f>
        <v>89</v>
      </c>
      <c r="N1310">
        <v>5</v>
      </c>
      <c r="O1310" t="str">
        <f>IF(datos_limpios[[#This Row],[Seating Capacity ]]&gt;4,"SI","NO")</f>
        <v>SI</v>
      </c>
      <c r="P1310">
        <v>48</v>
      </c>
    </row>
    <row r="1311" spans="1:16" x14ac:dyDescent="0.3">
      <c r="A1311" s="8" t="s">
        <v>17</v>
      </c>
      <c r="B1311" s="8" t="s">
        <v>1423</v>
      </c>
      <c r="C1311" s="9">
        <v>1312</v>
      </c>
      <c r="D1311" s="3">
        <v>725000</v>
      </c>
      <c r="E1311" s="1">
        <f>datos_limpios[[#This Row],[Price INR   ]]*0.011</f>
        <v>7974.9999999999991</v>
      </c>
      <c r="F1311" s="13">
        <v>2017</v>
      </c>
      <c r="G1311" s="2">
        <v>55000</v>
      </c>
      <c r="H1311" s="8" t="s">
        <v>12</v>
      </c>
      <c r="I1311" s="8" t="s">
        <v>40</v>
      </c>
      <c r="J1311" s="8" t="s">
        <v>20</v>
      </c>
      <c r="K1311" t="s">
        <v>36</v>
      </c>
      <c r="L1311" t="s">
        <v>37</v>
      </c>
      <c r="M1311" s="2">
        <f>VALUE(MID(L1311,1,FIND("@",L1311)-6))</f>
        <v>91</v>
      </c>
      <c r="N1311">
        <v>5</v>
      </c>
      <c r="O1311" t="str">
        <f>IF(datos_limpios[[#This Row],[Seating Capacity ]]&gt;4,"SI","NO")</f>
        <v>SI</v>
      </c>
      <c r="P1311">
        <v>43</v>
      </c>
    </row>
    <row r="1312" spans="1:16" x14ac:dyDescent="0.3">
      <c r="A1312" s="8" t="s">
        <v>17</v>
      </c>
      <c r="B1312" s="8" t="s">
        <v>752</v>
      </c>
      <c r="C1312" s="9">
        <v>1313</v>
      </c>
      <c r="D1312" s="3">
        <v>730000</v>
      </c>
      <c r="E1312" s="1">
        <f>datos_limpios[[#This Row],[Price INR   ]]*0.011</f>
        <v>8029.9999999999991</v>
      </c>
      <c r="F1312" s="13">
        <v>2017</v>
      </c>
      <c r="G1312" s="2">
        <v>80000</v>
      </c>
      <c r="H1312" s="8" t="s">
        <v>19</v>
      </c>
      <c r="I1312" s="8" t="s">
        <v>13</v>
      </c>
      <c r="J1312" s="8" t="s">
        <v>872</v>
      </c>
      <c r="K1312" t="s">
        <v>21</v>
      </c>
      <c r="L1312" t="s">
        <v>140</v>
      </c>
      <c r="M1312" s="2">
        <f>VALUE(MID(L1312,1,FIND("@",L1312)-6))</f>
        <v>89</v>
      </c>
      <c r="N1312">
        <v>5</v>
      </c>
      <c r="O1312" t="str">
        <f>IF(datos_limpios[[#This Row],[Seating Capacity ]]&gt;4,"SI","NO")</f>
        <v>SI</v>
      </c>
      <c r="P1312">
        <v>48</v>
      </c>
    </row>
    <row r="1313" spans="1:16" x14ac:dyDescent="0.3">
      <c r="A1313" s="8" t="s">
        <v>17</v>
      </c>
      <c r="B1313" s="8" t="s">
        <v>1027</v>
      </c>
      <c r="C1313" s="9">
        <v>1314</v>
      </c>
      <c r="D1313" s="3">
        <v>735000</v>
      </c>
      <c r="E1313" s="1">
        <f>datos_limpios[[#This Row],[Price INR   ]]*0.011</f>
        <v>8084.9999999999991</v>
      </c>
      <c r="F1313" s="13">
        <v>2018</v>
      </c>
      <c r="G1313" s="2">
        <v>42000</v>
      </c>
      <c r="H1313" s="8" t="s">
        <v>12</v>
      </c>
      <c r="I1313" s="8" t="s">
        <v>40</v>
      </c>
      <c r="J1313" s="8" t="s">
        <v>57</v>
      </c>
      <c r="K1313" t="s">
        <v>26</v>
      </c>
      <c r="L1313" t="s">
        <v>31</v>
      </c>
      <c r="M1313" s="2">
        <f>VALUE(MID(L1313,1,FIND("@",L1313)-6))</f>
        <v>82</v>
      </c>
      <c r="N1313">
        <v>5</v>
      </c>
      <c r="O1313" t="str">
        <f>IF(datos_limpios[[#This Row],[Seating Capacity ]]&gt;4,"SI","NO")</f>
        <v>SI</v>
      </c>
      <c r="P1313">
        <v>37</v>
      </c>
    </row>
    <row r="1314" spans="1:16" x14ac:dyDescent="0.3">
      <c r="A1314" s="8" t="s">
        <v>17</v>
      </c>
      <c r="B1314" s="8" t="s">
        <v>808</v>
      </c>
      <c r="C1314" s="9">
        <v>1315</v>
      </c>
      <c r="D1314" s="3">
        <v>740000</v>
      </c>
      <c r="E1314" s="1">
        <f>datos_limpios[[#This Row],[Price INR   ]]*0.011</f>
        <v>8139.9999999999991</v>
      </c>
      <c r="F1314" s="13">
        <v>2017</v>
      </c>
      <c r="G1314" s="2">
        <v>88000</v>
      </c>
      <c r="H1314" s="8" t="s">
        <v>19</v>
      </c>
      <c r="I1314" s="8" t="s">
        <v>13</v>
      </c>
      <c r="J1314" s="8" t="s">
        <v>20</v>
      </c>
      <c r="K1314" t="s">
        <v>21</v>
      </c>
      <c r="L1314" t="s">
        <v>140</v>
      </c>
      <c r="M1314" s="2">
        <f>VALUE(MID(L1314,1,FIND("@",L1314)-6))</f>
        <v>89</v>
      </c>
      <c r="N1314">
        <v>7</v>
      </c>
      <c r="O1314" t="str">
        <f>IF(datos_limpios[[#This Row],[Seating Capacity ]]&gt;4,"SI","NO")</f>
        <v>SI</v>
      </c>
      <c r="P1314">
        <v>45</v>
      </c>
    </row>
    <row r="1315" spans="1:16" x14ac:dyDescent="0.3">
      <c r="A1315" s="8" t="s">
        <v>17</v>
      </c>
      <c r="B1315" s="8" t="s">
        <v>563</v>
      </c>
      <c r="C1315" s="9">
        <v>1316</v>
      </c>
      <c r="D1315" s="3">
        <v>741000</v>
      </c>
      <c r="E1315" s="1">
        <f>datos_limpios[[#This Row],[Price INR   ]]*0.011</f>
        <v>8150.9999999999991</v>
      </c>
      <c r="F1315" s="13">
        <v>2017</v>
      </c>
      <c r="G1315" s="2">
        <v>31000</v>
      </c>
      <c r="H1315" s="8" t="s">
        <v>12</v>
      </c>
      <c r="I1315" s="8" t="s">
        <v>40</v>
      </c>
      <c r="J1315" s="8" t="s">
        <v>57</v>
      </c>
      <c r="K1315" t="s">
        <v>36</v>
      </c>
      <c r="L1315" t="s">
        <v>37</v>
      </c>
      <c r="M1315" s="2">
        <f>VALUE(MID(L1315,1,FIND("@",L1315)-6))</f>
        <v>91</v>
      </c>
      <c r="N1315">
        <v>5</v>
      </c>
      <c r="O1315" t="str">
        <f>IF(datos_limpios[[#This Row],[Seating Capacity ]]&gt;4,"SI","NO")</f>
        <v>SI</v>
      </c>
      <c r="P1315">
        <v>43</v>
      </c>
    </row>
    <row r="1316" spans="1:16" x14ac:dyDescent="0.3">
      <c r="A1316" s="8" t="s">
        <v>17</v>
      </c>
      <c r="B1316" s="8" t="s">
        <v>494</v>
      </c>
      <c r="C1316" s="9">
        <v>1317</v>
      </c>
      <c r="D1316" s="3">
        <v>745000</v>
      </c>
      <c r="E1316" s="1">
        <f>datos_limpios[[#This Row],[Price INR   ]]*0.011</f>
        <v>8195</v>
      </c>
      <c r="F1316" s="13">
        <v>2021</v>
      </c>
      <c r="G1316" s="2">
        <v>14722</v>
      </c>
      <c r="H1316" s="8" t="s">
        <v>12</v>
      </c>
      <c r="I1316" s="8" t="s">
        <v>13</v>
      </c>
      <c r="J1316" s="8" t="s">
        <v>20</v>
      </c>
      <c r="K1316" t="s">
        <v>26</v>
      </c>
      <c r="L1316" t="s">
        <v>98</v>
      </c>
      <c r="M1316" s="2">
        <f>VALUE(MID(L1316,1,FIND("@",L1316)-6))</f>
        <v>89</v>
      </c>
      <c r="N1316">
        <v>5</v>
      </c>
      <c r="O1316" t="str">
        <f>IF(datos_limpios[[#This Row],[Seating Capacity ]]&gt;4,"SI","NO")</f>
        <v>SI</v>
      </c>
      <c r="P1316">
        <v>37</v>
      </c>
    </row>
    <row r="1317" spans="1:16" x14ac:dyDescent="0.3">
      <c r="A1317" s="8" t="s">
        <v>17</v>
      </c>
      <c r="B1317" s="8" t="s">
        <v>468</v>
      </c>
      <c r="C1317" s="9">
        <v>1318</v>
      </c>
      <c r="D1317" s="3">
        <v>745000</v>
      </c>
      <c r="E1317" s="1">
        <f>datos_limpios[[#This Row],[Price INR   ]]*0.011</f>
        <v>8195</v>
      </c>
      <c r="F1317" s="13">
        <v>2018</v>
      </c>
      <c r="G1317" s="2">
        <v>36000</v>
      </c>
      <c r="H1317" s="8" t="s">
        <v>19</v>
      </c>
      <c r="I1317" s="8" t="s">
        <v>13</v>
      </c>
      <c r="J1317" s="8" t="s">
        <v>20</v>
      </c>
      <c r="K1317" t="s">
        <v>21</v>
      </c>
      <c r="L1317" t="s">
        <v>140</v>
      </c>
      <c r="M1317" s="2">
        <f>VALUE(MID(L1317,1,FIND("@",L1317)-6))</f>
        <v>89</v>
      </c>
      <c r="N1317">
        <v>5</v>
      </c>
      <c r="O1317" t="str">
        <f>IF(datos_limpios[[#This Row],[Seating Capacity ]]&gt;4,"SI","NO")</f>
        <v>SI</v>
      </c>
      <c r="P1317">
        <v>48</v>
      </c>
    </row>
    <row r="1318" spans="1:16" x14ac:dyDescent="0.3">
      <c r="A1318" s="8" t="s">
        <v>17</v>
      </c>
      <c r="B1318" s="8" t="s">
        <v>687</v>
      </c>
      <c r="C1318" s="9">
        <v>1319</v>
      </c>
      <c r="D1318" s="3">
        <v>749000</v>
      </c>
      <c r="E1318" s="1">
        <f>datos_limpios[[#This Row],[Price INR   ]]*0.011</f>
        <v>8239</v>
      </c>
      <c r="F1318" s="13">
        <v>2017</v>
      </c>
      <c r="G1318" s="2">
        <v>114000</v>
      </c>
      <c r="H1318" s="8" t="s">
        <v>19</v>
      </c>
      <c r="I1318" s="8" t="s">
        <v>13</v>
      </c>
      <c r="J1318" s="8" t="s">
        <v>14</v>
      </c>
      <c r="K1318" t="s">
        <v>210</v>
      </c>
      <c r="L1318" t="s">
        <v>688</v>
      </c>
      <c r="M1318" s="2">
        <f>VALUE(MID(L1318,1,FIND("@",L1318)-6))</f>
        <v>118</v>
      </c>
      <c r="N1318">
        <v>5</v>
      </c>
      <c r="O1318" t="str">
        <f>IF(datos_limpios[[#This Row],[Seating Capacity ]]&gt;4,"SI","NO")</f>
        <v>SI</v>
      </c>
      <c r="P1318">
        <v>48</v>
      </c>
    </row>
    <row r="1319" spans="1:16" x14ac:dyDescent="0.3">
      <c r="A1319" s="8" t="s">
        <v>17</v>
      </c>
      <c r="B1319" s="8" t="s">
        <v>498</v>
      </c>
      <c r="C1319" s="9">
        <v>1320</v>
      </c>
      <c r="D1319" s="3">
        <v>750000</v>
      </c>
      <c r="E1319" s="1">
        <f>datos_limpios[[#This Row],[Price INR   ]]*0.011</f>
        <v>8250</v>
      </c>
      <c r="F1319" s="13">
        <v>2018</v>
      </c>
      <c r="G1319" s="2">
        <v>65000</v>
      </c>
      <c r="H1319" s="8" t="s">
        <v>19</v>
      </c>
      <c r="I1319" s="8" t="s">
        <v>13</v>
      </c>
      <c r="J1319" s="8" t="s">
        <v>57</v>
      </c>
      <c r="K1319" t="s">
        <v>21</v>
      </c>
      <c r="L1319" t="s">
        <v>22</v>
      </c>
      <c r="M1319" s="2">
        <f>VALUE(MID(L1319,1,FIND("@",L1319)-6))</f>
        <v>74</v>
      </c>
      <c r="N1319">
        <v>5</v>
      </c>
      <c r="O1319" t="str">
        <f>IF(datos_limpios[[#This Row],[Seating Capacity ]]&gt;4,"SI","NO")</f>
        <v>SI</v>
      </c>
      <c r="P1319">
        <v>37</v>
      </c>
    </row>
    <row r="1320" spans="1:16" x14ac:dyDescent="0.3">
      <c r="A1320" s="8" t="s">
        <v>17</v>
      </c>
      <c r="B1320" s="8" t="s">
        <v>208</v>
      </c>
      <c r="C1320" s="9">
        <v>1321</v>
      </c>
      <c r="D1320" s="3">
        <v>750000</v>
      </c>
      <c r="E1320" s="1">
        <f>datos_limpios[[#This Row],[Price INR   ]]*0.011</f>
        <v>8250</v>
      </c>
      <c r="F1320" s="13">
        <v>2021</v>
      </c>
      <c r="G1320" s="2">
        <v>58000</v>
      </c>
      <c r="H1320" s="8" t="s">
        <v>12</v>
      </c>
      <c r="I1320" s="8" t="s">
        <v>13</v>
      </c>
      <c r="J1320" s="8" t="s">
        <v>20</v>
      </c>
      <c r="K1320" t="s">
        <v>26</v>
      </c>
      <c r="L1320" t="s">
        <v>137</v>
      </c>
      <c r="M1320" s="2">
        <f>VALUE(MID(L1320,1,FIND("@",L1320)-6))</f>
        <v>83</v>
      </c>
      <c r="N1320">
        <v>5</v>
      </c>
      <c r="O1320" t="str">
        <f>IF(datos_limpios[[#This Row],[Seating Capacity ]]&gt;4,"SI","NO")</f>
        <v>SI</v>
      </c>
      <c r="P1320">
        <v>37</v>
      </c>
    </row>
    <row r="1321" spans="1:16" x14ac:dyDescent="0.3">
      <c r="A1321" s="8" t="s">
        <v>17</v>
      </c>
      <c r="B1321" s="8" t="s">
        <v>1042</v>
      </c>
      <c r="C1321" s="9">
        <v>1322</v>
      </c>
      <c r="D1321" s="3">
        <v>750000</v>
      </c>
      <c r="E1321" s="1">
        <f>datos_limpios[[#This Row],[Price INR   ]]*0.011</f>
        <v>8250</v>
      </c>
      <c r="F1321" s="13">
        <v>2017</v>
      </c>
      <c r="G1321" s="2">
        <v>48069</v>
      </c>
      <c r="H1321" s="8" t="s">
        <v>12</v>
      </c>
      <c r="I1321" s="8" t="s">
        <v>40</v>
      </c>
      <c r="J1321" s="8" t="s">
        <v>20</v>
      </c>
      <c r="K1321" t="s">
        <v>26</v>
      </c>
      <c r="L1321" t="s">
        <v>137</v>
      </c>
      <c r="M1321" s="2">
        <f>VALUE(MID(L1321,1,FIND("@",L1321)-6))</f>
        <v>83</v>
      </c>
      <c r="N1321">
        <v>5</v>
      </c>
      <c r="O1321" t="str">
        <f>IF(datos_limpios[[#This Row],[Seating Capacity ]]&gt;4,"SI","NO")</f>
        <v>SI</v>
      </c>
      <c r="P1321">
        <v>42</v>
      </c>
    </row>
    <row r="1322" spans="1:16" x14ac:dyDescent="0.3">
      <c r="A1322" s="8" t="s">
        <v>17</v>
      </c>
      <c r="B1322" s="8" t="s">
        <v>1351</v>
      </c>
      <c r="C1322" s="9">
        <v>1323</v>
      </c>
      <c r="D1322" s="3">
        <v>750000</v>
      </c>
      <c r="E1322" s="1">
        <f>datos_limpios[[#This Row],[Price INR   ]]*0.011</f>
        <v>8250</v>
      </c>
      <c r="F1322" s="13">
        <v>2019</v>
      </c>
      <c r="G1322" s="2">
        <v>6200</v>
      </c>
      <c r="H1322" s="8" t="s">
        <v>12</v>
      </c>
      <c r="I1322" s="8" t="s">
        <v>13</v>
      </c>
      <c r="J1322" s="8" t="s">
        <v>57</v>
      </c>
      <c r="K1322" t="s">
        <v>58</v>
      </c>
      <c r="L1322" t="s">
        <v>59</v>
      </c>
      <c r="M1322" s="2">
        <f>VALUE(MID(L1322,1,FIND("@",L1322)-6))</f>
        <v>103</v>
      </c>
      <c r="N1322">
        <v>5</v>
      </c>
      <c r="O1322" t="str">
        <f>IF(datos_limpios[[#This Row],[Seating Capacity ]]&gt;4,"SI","NO")</f>
        <v>SI</v>
      </c>
      <c r="P1322">
        <v>43</v>
      </c>
    </row>
    <row r="1323" spans="1:16" x14ac:dyDescent="0.3">
      <c r="A1323" s="8" t="s">
        <v>17</v>
      </c>
      <c r="B1323" s="8" t="s">
        <v>899</v>
      </c>
      <c r="C1323" s="9">
        <v>1324</v>
      </c>
      <c r="D1323" s="3">
        <v>755000</v>
      </c>
      <c r="E1323" s="1">
        <f>datos_limpios[[#This Row],[Price INR   ]]*0.011</f>
        <v>8305</v>
      </c>
      <c r="F1323" s="13">
        <v>2017</v>
      </c>
      <c r="G1323" s="2">
        <v>57000</v>
      </c>
      <c r="H1323" s="8" t="s">
        <v>12</v>
      </c>
      <c r="I1323" s="8" t="s">
        <v>13</v>
      </c>
      <c r="J1323" s="8" t="s">
        <v>20</v>
      </c>
      <c r="K1323" t="s">
        <v>36</v>
      </c>
      <c r="L1323" t="s">
        <v>37</v>
      </c>
      <c r="M1323" s="2">
        <f>VALUE(MID(L1323,1,FIND("@",L1323)-6))</f>
        <v>91</v>
      </c>
      <c r="N1323">
        <v>5</v>
      </c>
      <c r="O1323" t="str">
        <f>IF(datos_limpios[[#This Row],[Seating Capacity ]]&gt;4,"SI","NO")</f>
        <v>SI</v>
      </c>
      <c r="P1323">
        <v>43</v>
      </c>
    </row>
    <row r="1324" spans="1:16" x14ac:dyDescent="0.3">
      <c r="A1324" s="8" t="s">
        <v>17</v>
      </c>
      <c r="B1324" s="8" t="s">
        <v>297</v>
      </c>
      <c r="C1324" s="9">
        <v>1325</v>
      </c>
      <c r="D1324" s="3">
        <v>765000</v>
      </c>
      <c r="E1324" s="1">
        <f>datos_limpios[[#This Row],[Price INR   ]]*0.011</f>
        <v>8415</v>
      </c>
      <c r="F1324" s="13">
        <v>2017</v>
      </c>
      <c r="G1324" s="2">
        <v>68000</v>
      </c>
      <c r="H1324" s="8" t="s">
        <v>19</v>
      </c>
      <c r="I1324" s="8" t="s">
        <v>13</v>
      </c>
      <c r="J1324" s="8" t="s">
        <v>14</v>
      </c>
      <c r="K1324" t="s">
        <v>21</v>
      </c>
      <c r="L1324" t="s">
        <v>140</v>
      </c>
      <c r="M1324" s="2">
        <f>VALUE(MID(L1324,1,FIND("@",L1324)-6))</f>
        <v>89</v>
      </c>
      <c r="N1324">
        <v>7</v>
      </c>
      <c r="O1324" t="str">
        <f>IF(datos_limpios[[#This Row],[Seating Capacity ]]&gt;4,"SI","NO")</f>
        <v>SI</v>
      </c>
      <c r="P1324">
        <v>45</v>
      </c>
    </row>
    <row r="1325" spans="1:16" x14ac:dyDescent="0.3">
      <c r="A1325" s="8" t="s">
        <v>17</v>
      </c>
      <c r="B1325" s="8" t="s">
        <v>252</v>
      </c>
      <c r="C1325" s="9">
        <v>1326</v>
      </c>
      <c r="D1325" s="3">
        <v>770000</v>
      </c>
      <c r="E1325" s="1">
        <f>datos_limpios[[#This Row],[Price INR   ]]*0.011</f>
        <v>8470</v>
      </c>
      <c r="F1325" s="13">
        <v>2015</v>
      </c>
      <c r="G1325" s="2">
        <v>112000</v>
      </c>
      <c r="H1325" s="8" t="s">
        <v>19</v>
      </c>
      <c r="I1325" s="8" t="s">
        <v>13</v>
      </c>
      <c r="J1325" s="8" t="s">
        <v>131</v>
      </c>
      <c r="K1325" t="s">
        <v>21</v>
      </c>
      <c r="L1325" t="s">
        <v>140</v>
      </c>
      <c r="M1325" s="2">
        <f>VALUE(MID(L1325,1,FIND("@",L1325)-6))</f>
        <v>89</v>
      </c>
      <c r="N1325">
        <v>7</v>
      </c>
      <c r="O1325" t="str">
        <f>IF(datos_limpios[[#This Row],[Seating Capacity ]]&gt;4,"SI","NO")</f>
        <v>SI</v>
      </c>
      <c r="P1325">
        <v>45</v>
      </c>
    </row>
    <row r="1326" spans="1:16" x14ac:dyDescent="0.3">
      <c r="A1326" s="8" t="s">
        <v>17</v>
      </c>
      <c r="B1326" s="8" t="s">
        <v>719</v>
      </c>
      <c r="C1326" s="9">
        <v>1327</v>
      </c>
      <c r="D1326" s="3">
        <v>770000</v>
      </c>
      <c r="E1326" s="1">
        <f>datos_limpios[[#This Row],[Price INR   ]]*0.011</f>
        <v>8470</v>
      </c>
      <c r="F1326" s="13">
        <v>2019</v>
      </c>
      <c r="G1326" s="2">
        <v>72040</v>
      </c>
      <c r="H1326" s="8" t="s">
        <v>19</v>
      </c>
      <c r="I1326" s="8" t="s">
        <v>40</v>
      </c>
      <c r="J1326" s="8" t="s">
        <v>77</v>
      </c>
      <c r="K1326" t="s">
        <v>21</v>
      </c>
      <c r="L1326" t="s">
        <v>22</v>
      </c>
      <c r="M1326" s="2">
        <f>VALUE(MID(L1326,1,FIND("@",L1326)-6))</f>
        <v>74</v>
      </c>
      <c r="N1326">
        <v>5</v>
      </c>
      <c r="O1326" t="str">
        <f>IF(datos_limpios[[#This Row],[Seating Capacity ]]&gt;4,"SI","NO")</f>
        <v>SI</v>
      </c>
      <c r="P1326">
        <v>37</v>
      </c>
    </row>
    <row r="1327" spans="1:16" x14ac:dyDescent="0.3">
      <c r="A1327" s="8" t="s">
        <v>17</v>
      </c>
      <c r="B1327" s="8" t="s">
        <v>182</v>
      </c>
      <c r="C1327" s="9">
        <v>1328</v>
      </c>
      <c r="D1327" s="3">
        <v>775000</v>
      </c>
      <c r="E1327" s="1">
        <f>datos_limpios[[#This Row],[Price INR   ]]*0.011</f>
        <v>8525</v>
      </c>
      <c r="F1327" s="13">
        <v>2021</v>
      </c>
      <c r="G1327" s="2">
        <v>24000</v>
      </c>
      <c r="H1327" s="8" t="s">
        <v>12</v>
      </c>
      <c r="I1327" s="8" t="s">
        <v>40</v>
      </c>
      <c r="J1327" s="8" t="s">
        <v>14</v>
      </c>
      <c r="K1327" t="s">
        <v>26</v>
      </c>
      <c r="L1327" t="s">
        <v>98</v>
      </c>
      <c r="M1327" s="2">
        <f>VALUE(MID(L1327,1,FIND("@",L1327)-6))</f>
        <v>89</v>
      </c>
      <c r="N1327">
        <v>5</v>
      </c>
      <c r="O1327" t="str">
        <f>IF(datos_limpios[[#This Row],[Seating Capacity ]]&gt;4,"SI","NO")</f>
        <v>SI</v>
      </c>
      <c r="P1327">
        <v>37</v>
      </c>
    </row>
    <row r="1328" spans="1:16" x14ac:dyDescent="0.3">
      <c r="A1328" s="8" t="s">
        <v>17</v>
      </c>
      <c r="B1328" s="8" t="s">
        <v>239</v>
      </c>
      <c r="C1328" s="9">
        <v>1329</v>
      </c>
      <c r="D1328" s="3">
        <v>775000</v>
      </c>
      <c r="E1328" s="1">
        <f>datos_limpios[[#This Row],[Price INR   ]]*0.011</f>
        <v>8525</v>
      </c>
      <c r="F1328" s="13">
        <v>2019</v>
      </c>
      <c r="G1328" s="2">
        <v>80849</v>
      </c>
      <c r="H1328" s="8" t="s">
        <v>19</v>
      </c>
      <c r="I1328" s="8" t="s">
        <v>13</v>
      </c>
      <c r="J1328" s="8" t="s">
        <v>20</v>
      </c>
      <c r="K1328" t="s">
        <v>21</v>
      </c>
      <c r="L1328" t="s">
        <v>22</v>
      </c>
      <c r="M1328" s="2">
        <f>VALUE(MID(L1328,1,FIND("@",L1328)-6))</f>
        <v>74</v>
      </c>
      <c r="N1328">
        <v>5</v>
      </c>
      <c r="O1328" t="str">
        <f>IF(datos_limpios[[#This Row],[Seating Capacity ]]&gt;4,"SI","NO")</f>
        <v>SI</v>
      </c>
      <c r="P1328">
        <v>37</v>
      </c>
    </row>
    <row r="1329" spans="1:16" x14ac:dyDescent="0.3">
      <c r="A1329" s="8" t="s">
        <v>17</v>
      </c>
      <c r="B1329" s="8" t="s">
        <v>74</v>
      </c>
      <c r="C1329" s="9">
        <v>1330</v>
      </c>
      <c r="D1329" s="3">
        <v>775000</v>
      </c>
      <c r="E1329" s="1">
        <f>datos_limpios[[#This Row],[Price INR   ]]*0.011</f>
        <v>8525</v>
      </c>
      <c r="F1329" s="13">
        <v>2018</v>
      </c>
      <c r="G1329" s="2">
        <v>39000</v>
      </c>
      <c r="H1329" s="8" t="s">
        <v>12</v>
      </c>
      <c r="I1329" s="8" t="s">
        <v>40</v>
      </c>
      <c r="J1329" s="8" t="s">
        <v>30</v>
      </c>
      <c r="K1329" t="s">
        <v>26</v>
      </c>
      <c r="L1329" t="s">
        <v>31</v>
      </c>
      <c r="M1329" s="2">
        <f>VALUE(MID(L1329,1,FIND("@",L1329)-6))</f>
        <v>82</v>
      </c>
      <c r="N1329">
        <v>5</v>
      </c>
      <c r="O1329" t="str">
        <f>IF(datos_limpios[[#This Row],[Seating Capacity ]]&gt;4,"SI","NO")</f>
        <v>SI</v>
      </c>
      <c r="P1329">
        <v>37</v>
      </c>
    </row>
    <row r="1330" spans="1:16" x14ac:dyDescent="0.3">
      <c r="A1330" s="8" t="s">
        <v>17</v>
      </c>
      <c r="B1330" s="8" t="s">
        <v>74</v>
      </c>
      <c r="C1330" s="9">
        <v>1331</v>
      </c>
      <c r="D1330" s="3">
        <v>775000</v>
      </c>
      <c r="E1330" s="1">
        <f>datos_limpios[[#This Row],[Price INR   ]]*0.011</f>
        <v>8525</v>
      </c>
      <c r="F1330" s="13">
        <v>2018</v>
      </c>
      <c r="G1330" s="2">
        <v>40000</v>
      </c>
      <c r="H1330" s="8" t="s">
        <v>12</v>
      </c>
      <c r="I1330" s="8" t="s">
        <v>40</v>
      </c>
      <c r="J1330" s="8" t="s">
        <v>30</v>
      </c>
      <c r="K1330" t="s">
        <v>26</v>
      </c>
      <c r="L1330" t="s">
        <v>31</v>
      </c>
      <c r="M1330" s="2">
        <f>VALUE(MID(L1330,1,FIND("@",L1330)-6))</f>
        <v>82</v>
      </c>
      <c r="N1330">
        <v>5</v>
      </c>
      <c r="O1330" t="str">
        <f>IF(datos_limpios[[#This Row],[Seating Capacity ]]&gt;4,"SI","NO")</f>
        <v>SI</v>
      </c>
      <c r="P1330">
        <v>37</v>
      </c>
    </row>
    <row r="1331" spans="1:16" x14ac:dyDescent="0.3">
      <c r="A1331" s="8" t="s">
        <v>17</v>
      </c>
      <c r="B1331" s="8" t="s">
        <v>1276</v>
      </c>
      <c r="C1331" s="9">
        <v>1332</v>
      </c>
      <c r="D1331" s="3">
        <v>775000</v>
      </c>
      <c r="E1331" s="1">
        <f>datos_limpios[[#This Row],[Price INR   ]]*0.011</f>
        <v>8525</v>
      </c>
      <c r="F1331" s="13">
        <v>2017</v>
      </c>
      <c r="G1331" s="2">
        <v>71000</v>
      </c>
      <c r="H1331" s="8" t="s">
        <v>12</v>
      </c>
      <c r="I1331" s="8" t="s">
        <v>13</v>
      </c>
      <c r="J1331" s="8" t="s">
        <v>77</v>
      </c>
      <c r="K1331" t="s">
        <v>36</v>
      </c>
      <c r="L1331" t="s">
        <v>785</v>
      </c>
      <c r="M1331" s="2">
        <f>VALUE(MID(L1331,1,FIND("@",L1331)-6))</f>
        <v>94</v>
      </c>
      <c r="N1331">
        <v>7</v>
      </c>
      <c r="O1331" t="str">
        <f>IF(datos_limpios[[#This Row],[Seating Capacity ]]&gt;4,"SI","NO")</f>
        <v>SI</v>
      </c>
      <c r="P1331">
        <v>45</v>
      </c>
    </row>
    <row r="1332" spans="1:16" x14ac:dyDescent="0.3">
      <c r="A1332" s="8" t="s">
        <v>17</v>
      </c>
      <c r="B1332" s="8" t="s">
        <v>857</v>
      </c>
      <c r="C1332" s="9">
        <v>1333</v>
      </c>
      <c r="D1332" s="3">
        <v>780000</v>
      </c>
      <c r="E1332" s="1">
        <f>datos_limpios[[#This Row],[Price INR   ]]*0.011</f>
        <v>8580</v>
      </c>
      <c r="F1332" s="13">
        <v>2017</v>
      </c>
      <c r="G1332" s="2">
        <v>94827</v>
      </c>
      <c r="H1332" s="8" t="s">
        <v>19</v>
      </c>
      <c r="I1332" s="8" t="s">
        <v>13</v>
      </c>
      <c r="J1332" s="8" t="s">
        <v>713</v>
      </c>
      <c r="K1332" t="s">
        <v>21</v>
      </c>
      <c r="L1332" t="s">
        <v>140</v>
      </c>
      <c r="M1332" s="2">
        <f>VALUE(MID(L1332,1,FIND("@",L1332)-6))</f>
        <v>89</v>
      </c>
      <c r="N1332">
        <v>5</v>
      </c>
      <c r="O1332" t="str">
        <f>IF(datos_limpios[[#This Row],[Seating Capacity ]]&gt;4,"SI","NO")</f>
        <v>SI</v>
      </c>
      <c r="P1332">
        <v>48</v>
      </c>
    </row>
    <row r="1333" spans="1:16" x14ac:dyDescent="0.3">
      <c r="A1333" s="8" t="s">
        <v>17</v>
      </c>
      <c r="B1333" s="8" t="s">
        <v>563</v>
      </c>
      <c r="C1333" s="9">
        <v>1334</v>
      </c>
      <c r="D1333" s="3">
        <v>785000</v>
      </c>
      <c r="E1333" s="1">
        <f>datos_limpios[[#This Row],[Price INR   ]]*0.011</f>
        <v>8635</v>
      </c>
      <c r="F1333" s="13">
        <v>2017</v>
      </c>
      <c r="G1333" s="2">
        <v>20000</v>
      </c>
      <c r="H1333" s="8" t="s">
        <v>12</v>
      </c>
      <c r="I1333" s="8" t="s">
        <v>40</v>
      </c>
      <c r="J1333" s="8" t="s">
        <v>57</v>
      </c>
      <c r="K1333" t="s">
        <v>36</v>
      </c>
      <c r="L1333" t="s">
        <v>37</v>
      </c>
      <c r="M1333" s="2">
        <f>VALUE(MID(L1333,1,FIND("@",L1333)-6))</f>
        <v>91</v>
      </c>
      <c r="N1333">
        <v>5</v>
      </c>
      <c r="O1333" t="str">
        <f>IF(datos_limpios[[#This Row],[Seating Capacity ]]&gt;4,"SI","NO")</f>
        <v>SI</v>
      </c>
      <c r="P1333">
        <v>43</v>
      </c>
    </row>
    <row r="1334" spans="1:16" x14ac:dyDescent="0.3">
      <c r="A1334" s="8" t="s">
        <v>17</v>
      </c>
      <c r="B1334" s="8" t="s">
        <v>887</v>
      </c>
      <c r="C1334" s="9">
        <v>1335</v>
      </c>
      <c r="D1334" s="3">
        <v>785000</v>
      </c>
      <c r="E1334" s="1">
        <f>datos_limpios[[#This Row],[Price INR   ]]*0.011</f>
        <v>8635</v>
      </c>
      <c r="F1334" s="13">
        <v>2018</v>
      </c>
      <c r="G1334" s="2">
        <v>80000</v>
      </c>
      <c r="H1334" s="8" t="s">
        <v>19</v>
      </c>
      <c r="I1334" s="8" t="s">
        <v>13</v>
      </c>
      <c r="J1334" s="8" t="s">
        <v>14</v>
      </c>
      <c r="K1334" t="s">
        <v>21</v>
      </c>
      <c r="L1334" t="s">
        <v>140</v>
      </c>
      <c r="M1334" s="2">
        <f>VALUE(MID(L1334,1,FIND("@",L1334)-6))</f>
        <v>89</v>
      </c>
      <c r="N1334">
        <v>5</v>
      </c>
      <c r="O1334" t="str">
        <f>IF(datos_limpios[[#This Row],[Seating Capacity ]]&gt;4,"SI","NO")</f>
        <v>SI</v>
      </c>
      <c r="P1334">
        <v>48</v>
      </c>
    </row>
    <row r="1335" spans="1:16" x14ac:dyDescent="0.3">
      <c r="A1335" s="8" t="s">
        <v>17</v>
      </c>
      <c r="B1335" s="8" t="s">
        <v>524</v>
      </c>
      <c r="C1335" s="9">
        <v>1336</v>
      </c>
      <c r="D1335" s="3">
        <v>790000</v>
      </c>
      <c r="E1335" s="1">
        <f>datos_limpios[[#This Row],[Price INR   ]]*0.011</f>
        <v>8690</v>
      </c>
      <c r="F1335" s="13">
        <v>2017</v>
      </c>
      <c r="G1335" s="2">
        <v>50000</v>
      </c>
      <c r="H1335" s="8" t="s">
        <v>19</v>
      </c>
      <c r="I1335" s="8" t="s">
        <v>13</v>
      </c>
      <c r="J1335" s="8" t="s">
        <v>20</v>
      </c>
      <c r="K1335" t="s">
        <v>21</v>
      </c>
      <c r="L1335" t="s">
        <v>140</v>
      </c>
      <c r="M1335" s="2">
        <f>VALUE(MID(L1335,1,FIND("@",L1335)-6))</f>
        <v>89</v>
      </c>
      <c r="N1335">
        <v>5</v>
      </c>
      <c r="O1335" t="str">
        <f>IF(datos_limpios[[#This Row],[Seating Capacity ]]&gt;4,"SI","NO")</f>
        <v>SI</v>
      </c>
      <c r="P1335">
        <v>48</v>
      </c>
    </row>
    <row r="1336" spans="1:16" x14ac:dyDescent="0.3">
      <c r="A1336" s="8" t="s">
        <v>17</v>
      </c>
      <c r="B1336" s="8" t="s">
        <v>735</v>
      </c>
      <c r="C1336" s="9">
        <v>1337</v>
      </c>
      <c r="D1336" s="3">
        <v>795000</v>
      </c>
      <c r="E1336" s="1">
        <f>datos_limpios[[#This Row],[Price INR   ]]*0.011</f>
        <v>8745</v>
      </c>
      <c r="F1336" s="13">
        <v>2017</v>
      </c>
      <c r="G1336" s="2">
        <v>52245</v>
      </c>
      <c r="H1336" s="8" t="s">
        <v>19</v>
      </c>
      <c r="I1336" s="8" t="s">
        <v>13</v>
      </c>
      <c r="J1336" s="8" t="s">
        <v>82</v>
      </c>
      <c r="K1336" t="s">
        <v>21</v>
      </c>
      <c r="L1336" t="s">
        <v>140</v>
      </c>
      <c r="M1336" s="2">
        <f>VALUE(MID(L1336,1,FIND("@",L1336)-6))</f>
        <v>89</v>
      </c>
      <c r="N1336">
        <v>5</v>
      </c>
      <c r="O1336" t="str">
        <f>IF(datos_limpios[[#This Row],[Seating Capacity ]]&gt;4,"SI","NO")</f>
        <v>SI</v>
      </c>
      <c r="P1336">
        <v>48</v>
      </c>
    </row>
    <row r="1337" spans="1:16" x14ac:dyDescent="0.3">
      <c r="A1337" s="8" t="s">
        <v>17</v>
      </c>
      <c r="B1337" s="8" t="s">
        <v>1039</v>
      </c>
      <c r="C1337" s="9">
        <v>1338</v>
      </c>
      <c r="D1337" s="3">
        <v>795000</v>
      </c>
      <c r="E1337" s="1">
        <f>datos_limpios[[#This Row],[Price INR   ]]*0.011</f>
        <v>8745</v>
      </c>
      <c r="F1337" s="13">
        <v>2017</v>
      </c>
      <c r="G1337" s="2">
        <v>9000</v>
      </c>
      <c r="H1337" s="8" t="s">
        <v>12</v>
      </c>
      <c r="I1337" s="8" t="s">
        <v>13</v>
      </c>
      <c r="J1337" s="8" t="s">
        <v>14</v>
      </c>
      <c r="K1337" t="s">
        <v>36</v>
      </c>
      <c r="L1337" t="s">
        <v>785</v>
      </c>
      <c r="M1337" s="2">
        <f>VALUE(MID(L1337,1,FIND("@",L1337)-6))</f>
        <v>94</v>
      </c>
      <c r="N1337">
        <v>7</v>
      </c>
      <c r="O1337" t="str">
        <f>IF(datos_limpios[[#This Row],[Seating Capacity ]]&gt;4,"SI","NO")</f>
        <v>SI</v>
      </c>
      <c r="P1337">
        <v>45</v>
      </c>
    </row>
    <row r="1338" spans="1:16" x14ac:dyDescent="0.3">
      <c r="A1338" s="8" t="s">
        <v>17</v>
      </c>
      <c r="B1338" s="8" t="s">
        <v>686</v>
      </c>
      <c r="C1338" s="9">
        <v>1339</v>
      </c>
      <c r="D1338" s="3">
        <v>800000</v>
      </c>
      <c r="E1338" s="1">
        <f>datos_limpios[[#This Row],[Price INR   ]]*0.011</f>
        <v>8800</v>
      </c>
      <c r="F1338" s="13">
        <v>2017</v>
      </c>
      <c r="G1338" s="2">
        <v>82300</v>
      </c>
      <c r="H1338" s="8" t="s">
        <v>12</v>
      </c>
      <c r="I1338" s="8" t="s">
        <v>13</v>
      </c>
      <c r="J1338" s="8" t="s">
        <v>20</v>
      </c>
      <c r="K1338" t="s">
        <v>36</v>
      </c>
      <c r="L1338" t="s">
        <v>37</v>
      </c>
      <c r="M1338" s="2">
        <f>VALUE(MID(L1338,1,FIND("@",L1338)-6))</f>
        <v>91</v>
      </c>
      <c r="N1338">
        <v>5</v>
      </c>
      <c r="O1338" t="str">
        <f>IF(datos_limpios[[#This Row],[Seating Capacity ]]&gt;4,"SI","NO")</f>
        <v>SI</v>
      </c>
      <c r="P1338">
        <v>43</v>
      </c>
    </row>
    <row r="1339" spans="1:16" x14ac:dyDescent="0.3">
      <c r="A1339" s="8" t="s">
        <v>17</v>
      </c>
      <c r="B1339" s="8" t="s">
        <v>784</v>
      </c>
      <c r="C1339" s="9">
        <v>1340</v>
      </c>
      <c r="D1339" s="3">
        <v>800000</v>
      </c>
      <c r="E1339" s="1">
        <f>datos_limpios[[#This Row],[Price INR   ]]*0.011</f>
        <v>8800</v>
      </c>
      <c r="F1339" s="13">
        <v>2017</v>
      </c>
      <c r="G1339" s="2">
        <v>76642</v>
      </c>
      <c r="H1339" s="8" t="s">
        <v>89</v>
      </c>
      <c r="I1339" s="8" t="s">
        <v>13</v>
      </c>
      <c r="J1339" s="8" t="s">
        <v>77</v>
      </c>
      <c r="K1339" t="s">
        <v>36</v>
      </c>
      <c r="L1339" t="s">
        <v>785</v>
      </c>
      <c r="M1339" s="2">
        <f>VALUE(MID(L1339,1,FIND("@",L1339)-6))</f>
        <v>94</v>
      </c>
      <c r="N1339">
        <v>7</v>
      </c>
      <c r="O1339" t="str">
        <f>IF(datos_limpios[[#This Row],[Seating Capacity ]]&gt;4,"SI","NO")</f>
        <v>SI</v>
      </c>
      <c r="P1339">
        <v>45</v>
      </c>
    </row>
    <row r="1340" spans="1:16" x14ac:dyDescent="0.3">
      <c r="A1340" s="8" t="s">
        <v>17</v>
      </c>
      <c r="B1340" s="8" t="s">
        <v>1201</v>
      </c>
      <c r="C1340" s="9">
        <v>1341</v>
      </c>
      <c r="D1340" s="3">
        <v>800000</v>
      </c>
      <c r="E1340" s="1">
        <f>datos_limpios[[#This Row],[Price INR   ]]*0.011</f>
        <v>8800</v>
      </c>
      <c r="F1340" s="13">
        <v>2017</v>
      </c>
      <c r="G1340" s="2">
        <v>52836</v>
      </c>
      <c r="H1340" s="8" t="s">
        <v>19</v>
      </c>
      <c r="I1340" s="8" t="s">
        <v>13</v>
      </c>
      <c r="J1340" s="8" t="s">
        <v>57</v>
      </c>
      <c r="K1340" t="s">
        <v>210</v>
      </c>
      <c r="L1340" t="s">
        <v>688</v>
      </c>
      <c r="M1340" s="2">
        <f>VALUE(MID(L1340,1,FIND("@",L1340)-6))</f>
        <v>118</v>
      </c>
      <c r="N1340">
        <v>5</v>
      </c>
      <c r="O1340" t="str">
        <f>IF(datos_limpios[[#This Row],[Seating Capacity ]]&gt;4,"SI","NO")</f>
        <v>SI</v>
      </c>
      <c r="P1340">
        <v>48</v>
      </c>
    </row>
    <row r="1341" spans="1:16" x14ac:dyDescent="0.3">
      <c r="A1341" s="8" t="s">
        <v>17</v>
      </c>
      <c r="B1341" s="8" t="s">
        <v>655</v>
      </c>
      <c r="C1341" s="9">
        <v>1342</v>
      </c>
      <c r="D1341" s="3">
        <v>800000</v>
      </c>
      <c r="E1341" s="1">
        <f>datos_limpios[[#This Row],[Price INR   ]]*0.011</f>
        <v>8800</v>
      </c>
      <c r="F1341" s="13">
        <v>2022</v>
      </c>
      <c r="G1341" s="2">
        <v>10000</v>
      </c>
      <c r="H1341" s="8" t="s">
        <v>12</v>
      </c>
      <c r="I1341" s="8" t="s">
        <v>13</v>
      </c>
      <c r="J1341" s="8" t="s">
        <v>20</v>
      </c>
      <c r="K1341" t="s">
        <v>26</v>
      </c>
      <c r="L1341" t="s">
        <v>98</v>
      </c>
      <c r="M1341" s="2">
        <f>VALUE(MID(L1341,1,FIND("@",L1341)-6))</f>
        <v>89</v>
      </c>
      <c r="N1341">
        <v>5</v>
      </c>
      <c r="O1341" t="str">
        <f>IF(datos_limpios[[#This Row],[Seating Capacity ]]&gt;4,"SI","NO")</f>
        <v>SI</v>
      </c>
      <c r="P1341">
        <v>37</v>
      </c>
    </row>
    <row r="1342" spans="1:16" x14ac:dyDescent="0.3">
      <c r="A1342" s="8" t="s">
        <v>17</v>
      </c>
      <c r="B1342" s="8" t="s">
        <v>521</v>
      </c>
      <c r="C1342" s="9">
        <v>1343</v>
      </c>
      <c r="D1342" s="3">
        <v>800000</v>
      </c>
      <c r="E1342" s="1">
        <f>datos_limpios[[#This Row],[Price INR   ]]*0.011</f>
        <v>8800</v>
      </c>
      <c r="F1342" s="13">
        <v>2018</v>
      </c>
      <c r="G1342" s="2">
        <v>66000</v>
      </c>
      <c r="H1342" s="8" t="s">
        <v>19</v>
      </c>
      <c r="I1342" s="8" t="s">
        <v>13</v>
      </c>
      <c r="J1342" s="8" t="s">
        <v>131</v>
      </c>
      <c r="K1342" t="s">
        <v>21</v>
      </c>
      <c r="L1342" t="s">
        <v>22</v>
      </c>
      <c r="M1342" s="2">
        <f>VALUE(MID(L1342,1,FIND("@",L1342)-6))</f>
        <v>74</v>
      </c>
      <c r="N1342">
        <v>5</v>
      </c>
      <c r="O1342" t="str">
        <f>IF(datos_limpios[[#This Row],[Seating Capacity ]]&gt;4,"SI","NO")</f>
        <v>SI</v>
      </c>
      <c r="P1342">
        <v>37</v>
      </c>
    </row>
    <row r="1343" spans="1:16" x14ac:dyDescent="0.3">
      <c r="A1343" s="8" t="s">
        <v>17</v>
      </c>
      <c r="B1343" s="8" t="s">
        <v>857</v>
      </c>
      <c r="C1343" s="9">
        <v>1344</v>
      </c>
      <c r="D1343" s="3">
        <v>801000</v>
      </c>
      <c r="E1343" s="1">
        <f>datos_limpios[[#This Row],[Price INR   ]]*0.011</f>
        <v>8811</v>
      </c>
      <c r="F1343" s="13">
        <v>2018</v>
      </c>
      <c r="G1343" s="2">
        <v>30000</v>
      </c>
      <c r="H1343" s="8" t="s">
        <v>19</v>
      </c>
      <c r="I1343" s="8" t="s">
        <v>13</v>
      </c>
      <c r="J1343" s="8" t="s">
        <v>77</v>
      </c>
      <c r="K1343" t="s">
        <v>21</v>
      </c>
      <c r="L1343" t="s">
        <v>140</v>
      </c>
      <c r="M1343" s="2">
        <f>VALUE(MID(L1343,1,FIND("@",L1343)-6))</f>
        <v>89</v>
      </c>
      <c r="N1343">
        <v>5</v>
      </c>
      <c r="O1343" t="str">
        <f>IF(datos_limpios[[#This Row],[Seating Capacity ]]&gt;4,"SI","NO")</f>
        <v>SI</v>
      </c>
      <c r="P1343">
        <v>48</v>
      </c>
    </row>
    <row r="1344" spans="1:16" x14ac:dyDescent="0.3">
      <c r="A1344" s="8" t="s">
        <v>17</v>
      </c>
      <c r="B1344" s="8" t="s">
        <v>1152</v>
      </c>
      <c r="C1344" s="9">
        <v>1345</v>
      </c>
      <c r="D1344" s="3">
        <v>811000</v>
      </c>
      <c r="E1344" s="1">
        <f>datos_limpios[[#This Row],[Price INR   ]]*0.011</f>
        <v>8921</v>
      </c>
      <c r="F1344" s="13">
        <v>2018</v>
      </c>
      <c r="G1344" s="2">
        <v>44153</v>
      </c>
      <c r="H1344" s="8" t="s">
        <v>19</v>
      </c>
      <c r="I1344" s="8" t="s">
        <v>13</v>
      </c>
      <c r="J1344" s="8" t="s">
        <v>20</v>
      </c>
      <c r="K1344" t="s">
        <v>21</v>
      </c>
      <c r="L1344" t="s">
        <v>140</v>
      </c>
      <c r="M1344" s="2">
        <f>VALUE(MID(L1344,1,FIND("@",L1344)-6))</f>
        <v>89</v>
      </c>
      <c r="N1344">
        <v>7</v>
      </c>
      <c r="O1344" t="str">
        <f>IF(datos_limpios[[#This Row],[Seating Capacity ]]&gt;4,"SI","NO")</f>
        <v>SI</v>
      </c>
      <c r="P1344">
        <v>45</v>
      </c>
    </row>
    <row r="1345" spans="1:16" x14ac:dyDescent="0.3">
      <c r="A1345" s="8" t="s">
        <v>17</v>
      </c>
      <c r="B1345" s="8" t="s">
        <v>56</v>
      </c>
      <c r="C1345" s="9">
        <v>1346</v>
      </c>
      <c r="D1345" s="3">
        <v>823000</v>
      </c>
      <c r="E1345" s="1">
        <f>datos_limpios[[#This Row],[Price INR   ]]*0.011</f>
        <v>9053</v>
      </c>
      <c r="F1345" s="13">
        <v>2018</v>
      </c>
      <c r="G1345" s="2">
        <v>90000</v>
      </c>
      <c r="H1345" s="8" t="s">
        <v>12</v>
      </c>
      <c r="I1345" s="8" t="s">
        <v>40</v>
      </c>
      <c r="J1345" s="8" t="s">
        <v>288</v>
      </c>
      <c r="K1345" t="s">
        <v>58</v>
      </c>
      <c r="L1345" t="s">
        <v>59</v>
      </c>
      <c r="M1345" s="2">
        <f>VALUE(MID(L1345,1,FIND("@",L1345)-6))</f>
        <v>103</v>
      </c>
      <c r="N1345">
        <v>5</v>
      </c>
      <c r="O1345" t="str">
        <f>IF(datos_limpios[[#This Row],[Seating Capacity ]]&gt;4,"SI","NO")</f>
        <v>SI</v>
      </c>
      <c r="P1345">
        <v>43</v>
      </c>
    </row>
    <row r="1346" spans="1:16" x14ac:dyDescent="0.3">
      <c r="A1346" s="8" t="s">
        <v>17</v>
      </c>
      <c r="B1346" s="8" t="s">
        <v>592</v>
      </c>
      <c r="C1346" s="9">
        <v>1347</v>
      </c>
      <c r="D1346" s="3">
        <v>825000</v>
      </c>
      <c r="E1346" s="1">
        <f>datos_limpios[[#This Row],[Price INR   ]]*0.011</f>
        <v>9075</v>
      </c>
      <c r="F1346" s="13">
        <v>2019</v>
      </c>
      <c r="G1346" s="2">
        <v>9644</v>
      </c>
      <c r="H1346" s="8" t="s">
        <v>12</v>
      </c>
      <c r="I1346" s="8" t="s">
        <v>40</v>
      </c>
      <c r="J1346" s="8" t="s">
        <v>57</v>
      </c>
      <c r="K1346" t="s">
        <v>26</v>
      </c>
      <c r="L1346" t="s">
        <v>31</v>
      </c>
      <c r="M1346" s="2">
        <f>VALUE(MID(L1346,1,FIND("@",L1346)-6))</f>
        <v>82</v>
      </c>
      <c r="N1346">
        <v>5</v>
      </c>
      <c r="O1346" t="str">
        <f>IF(datos_limpios[[#This Row],[Seating Capacity ]]&gt;4,"SI","NO")</f>
        <v>SI</v>
      </c>
      <c r="P1346">
        <v>37</v>
      </c>
    </row>
    <row r="1347" spans="1:16" x14ac:dyDescent="0.3">
      <c r="A1347" s="8" t="s">
        <v>17</v>
      </c>
      <c r="B1347" s="8" t="s">
        <v>208</v>
      </c>
      <c r="C1347" s="9">
        <v>1348</v>
      </c>
      <c r="D1347" s="3">
        <v>825000</v>
      </c>
      <c r="E1347" s="1">
        <f>datos_limpios[[#This Row],[Price INR   ]]*0.011</f>
        <v>9075</v>
      </c>
      <c r="F1347" s="13">
        <v>2021</v>
      </c>
      <c r="G1347" s="2">
        <v>22000</v>
      </c>
      <c r="H1347" s="8" t="s">
        <v>12</v>
      </c>
      <c r="I1347" s="8" t="s">
        <v>13</v>
      </c>
      <c r="J1347" s="8" t="s">
        <v>57</v>
      </c>
      <c r="K1347" t="s">
        <v>26</v>
      </c>
      <c r="L1347" t="s">
        <v>137</v>
      </c>
      <c r="M1347" s="2">
        <f>VALUE(MID(L1347,1,FIND("@",L1347)-6))</f>
        <v>83</v>
      </c>
      <c r="N1347">
        <v>5</v>
      </c>
      <c r="O1347" t="str">
        <f>IF(datos_limpios[[#This Row],[Seating Capacity ]]&gt;4,"SI","NO")</f>
        <v>SI</v>
      </c>
      <c r="P1347">
        <v>37</v>
      </c>
    </row>
    <row r="1348" spans="1:16" x14ac:dyDescent="0.3">
      <c r="A1348" s="8" t="s">
        <v>17</v>
      </c>
      <c r="B1348" s="8" t="s">
        <v>468</v>
      </c>
      <c r="C1348" s="9">
        <v>1349</v>
      </c>
      <c r="D1348" s="3">
        <v>825000</v>
      </c>
      <c r="E1348" s="1">
        <f>datos_limpios[[#This Row],[Price INR   ]]*0.011</f>
        <v>9075</v>
      </c>
      <c r="F1348" s="13">
        <v>2018</v>
      </c>
      <c r="G1348" s="2">
        <v>48174</v>
      </c>
      <c r="H1348" s="8" t="s">
        <v>19</v>
      </c>
      <c r="I1348" s="8" t="s">
        <v>13</v>
      </c>
      <c r="J1348" s="8" t="s">
        <v>20</v>
      </c>
      <c r="K1348" t="s">
        <v>21</v>
      </c>
      <c r="L1348" t="s">
        <v>140</v>
      </c>
      <c r="M1348" s="2">
        <f>VALUE(MID(L1348,1,FIND("@",L1348)-6))</f>
        <v>89</v>
      </c>
      <c r="N1348">
        <v>5</v>
      </c>
      <c r="O1348" t="str">
        <f>IF(datos_limpios[[#This Row],[Seating Capacity ]]&gt;4,"SI","NO")</f>
        <v>SI</v>
      </c>
      <c r="P1348">
        <v>48</v>
      </c>
    </row>
    <row r="1349" spans="1:16" x14ac:dyDescent="0.3">
      <c r="A1349" s="8" t="s">
        <v>17</v>
      </c>
      <c r="B1349" s="8" t="s">
        <v>887</v>
      </c>
      <c r="C1349" s="9">
        <v>1350</v>
      </c>
      <c r="D1349" s="3">
        <v>825000</v>
      </c>
      <c r="E1349" s="1">
        <f>datos_limpios[[#This Row],[Price INR   ]]*0.011</f>
        <v>9075</v>
      </c>
      <c r="F1349" s="13">
        <v>2019</v>
      </c>
      <c r="G1349" s="2">
        <v>25500</v>
      </c>
      <c r="H1349" s="8" t="s">
        <v>19</v>
      </c>
      <c r="I1349" s="8" t="s">
        <v>13</v>
      </c>
      <c r="J1349" s="8" t="s">
        <v>77</v>
      </c>
      <c r="K1349" t="s">
        <v>21</v>
      </c>
      <c r="L1349" t="s">
        <v>140</v>
      </c>
      <c r="M1349" s="2">
        <f>VALUE(MID(L1349,1,FIND("@",L1349)-6))</f>
        <v>89</v>
      </c>
      <c r="N1349">
        <v>5</v>
      </c>
      <c r="O1349" t="str">
        <f>IF(datos_limpios[[#This Row],[Seating Capacity ]]&gt;4,"SI","NO")</f>
        <v>SI</v>
      </c>
      <c r="P1349">
        <v>48</v>
      </c>
    </row>
    <row r="1350" spans="1:16" x14ac:dyDescent="0.3">
      <c r="A1350" s="8" t="s">
        <v>17</v>
      </c>
      <c r="B1350" s="8" t="s">
        <v>208</v>
      </c>
      <c r="C1350" s="9">
        <v>1351</v>
      </c>
      <c r="D1350" s="3">
        <v>825000</v>
      </c>
      <c r="E1350" s="1">
        <f>datos_limpios[[#This Row],[Price INR   ]]*0.011</f>
        <v>9075</v>
      </c>
      <c r="F1350" s="13">
        <v>2021</v>
      </c>
      <c r="G1350" s="2">
        <v>8499</v>
      </c>
      <c r="H1350" s="8" t="s">
        <v>12</v>
      </c>
      <c r="I1350" s="8" t="s">
        <v>13</v>
      </c>
      <c r="J1350" s="8" t="s">
        <v>872</v>
      </c>
      <c r="K1350" t="s">
        <v>26</v>
      </c>
      <c r="L1350" t="s">
        <v>137</v>
      </c>
      <c r="M1350" s="2">
        <f>VALUE(MID(L1350,1,FIND("@",L1350)-6))</f>
        <v>83</v>
      </c>
      <c r="N1350">
        <v>5</v>
      </c>
      <c r="O1350" t="str">
        <f>IF(datos_limpios[[#This Row],[Seating Capacity ]]&gt;4,"SI","NO")</f>
        <v>SI</v>
      </c>
      <c r="P1350">
        <v>37</v>
      </c>
    </row>
    <row r="1351" spans="1:16" x14ac:dyDescent="0.3">
      <c r="A1351" s="8" t="s">
        <v>17</v>
      </c>
      <c r="B1351" s="8" t="s">
        <v>468</v>
      </c>
      <c r="C1351" s="9">
        <v>1352</v>
      </c>
      <c r="D1351" s="3">
        <v>825000</v>
      </c>
      <c r="E1351" s="1">
        <f>datos_limpios[[#This Row],[Price INR   ]]*0.011</f>
        <v>9075</v>
      </c>
      <c r="F1351" s="13">
        <v>2019</v>
      </c>
      <c r="G1351" s="2">
        <v>81300</v>
      </c>
      <c r="H1351" s="8" t="s">
        <v>19</v>
      </c>
      <c r="I1351" s="8" t="s">
        <v>13</v>
      </c>
      <c r="J1351" s="8" t="s">
        <v>20</v>
      </c>
      <c r="K1351" t="s">
        <v>21</v>
      </c>
      <c r="L1351" t="s">
        <v>140</v>
      </c>
      <c r="M1351" s="2">
        <f>VALUE(MID(L1351,1,FIND("@",L1351)-6))</f>
        <v>89</v>
      </c>
      <c r="N1351">
        <v>5</v>
      </c>
      <c r="O1351" t="str">
        <f>IF(datos_limpios[[#This Row],[Seating Capacity ]]&gt;4,"SI","NO")</f>
        <v>SI</v>
      </c>
      <c r="P1351">
        <v>48</v>
      </c>
    </row>
    <row r="1352" spans="1:16" x14ac:dyDescent="0.3">
      <c r="A1352" s="8" t="s">
        <v>17</v>
      </c>
      <c r="B1352" s="8" t="s">
        <v>1351</v>
      </c>
      <c r="C1352" s="9">
        <v>1353</v>
      </c>
      <c r="D1352" s="3">
        <v>825000</v>
      </c>
      <c r="E1352" s="1">
        <f>datos_limpios[[#This Row],[Price INR   ]]*0.011</f>
        <v>9075</v>
      </c>
      <c r="F1352" s="13">
        <v>2019</v>
      </c>
      <c r="G1352" s="2">
        <v>44000</v>
      </c>
      <c r="H1352" s="8" t="s">
        <v>12</v>
      </c>
      <c r="I1352" s="8" t="s">
        <v>13</v>
      </c>
      <c r="J1352" s="8" t="s">
        <v>20</v>
      </c>
      <c r="K1352" t="s">
        <v>58</v>
      </c>
      <c r="L1352" t="s">
        <v>59</v>
      </c>
      <c r="M1352" s="2">
        <f>VALUE(MID(L1352,1,FIND("@",L1352)-6))</f>
        <v>103</v>
      </c>
      <c r="N1352">
        <v>5</v>
      </c>
      <c r="O1352" t="str">
        <f>IF(datos_limpios[[#This Row],[Seating Capacity ]]&gt;4,"SI","NO")</f>
        <v>SI</v>
      </c>
      <c r="P1352">
        <v>43</v>
      </c>
    </row>
    <row r="1353" spans="1:16" x14ac:dyDescent="0.3">
      <c r="A1353" s="8" t="s">
        <v>17</v>
      </c>
      <c r="B1353" s="8" t="s">
        <v>1037</v>
      </c>
      <c r="C1353" s="9">
        <v>1354</v>
      </c>
      <c r="D1353" s="3">
        <v>840000</v>
      </c>
      <c r="E1353" s="1">
        <f>datos_limpios[[#This Row],[Price INR   ]]*0.011</f>
        <v>9240</v>
      </c>
      <c r="F1353" s="13">
        <v>2020</v>
      </c>
      <c r="G1353" s="2">
        <v>7000</v>
      </c>
      <c r="H1353" s="8" t="s">
        <v>12</v>
      </c>
      <c r="I1353" s="8" t="s">
        <v>40</v>
      </c>
      <c r="J1353" s="8" t="s">
        <v>25</v>
      </c>
      <c r="K1353" t="s">
        <v>26</v>
      </c>
      <c r="L1353" t="s">
        <v>137</v>
      </c>
      <c r="M1353" s="2">
        <f>VALUE(MID(L1353,1,FIND("@",L1353)-6))</f>
        <v>83</v>
      </c>
      <c r="N1353">
        <v>5</v>
      </c>
      <c r="O1353" t="str">
        <f>IF(datos_limpios[[#This Row],[Seating Capacity ]]&gt;4,"SI","NO")</f>
        <v>SI</v>
      </c>
      <c r="P1353">
        <v>37</v>
      </c>
    </row>
    <row r="1354" spans="1:16" x14ac:dyDescent="0.3">
      <c r="A1354" s="8" t="s">
        <v>17</v>
      </c>
      <c r="B1354" s="8" t="s">
        <v>1067</v>
      </c>
      <c r="C1354" s="9">
        <v>1355</v>
      </c>
      <c r="D1354" s="3">
        <v>840000</v>
      </c>
      <c r="E1354" s="1">
        <f>datos_limpios[[#This Row],[Price INR   ]]*0.011</f>
        <v>9240</v>
      </c>
      <c r="F1354" s="13">
        <v>2020</v>
      </c>
      <c r="G1354" s="2">
        <v>11000</v>
      </c>
      <c r="H1354" s="8" t="s">
        <v>12</v>
      </c>
      <c r="I1354" s="8" t="s">
        <v>13</v>
      </c>
      <c r="J1354" s="8" t="s">
        <v>20</v>
      </c>
      <c r="K1354" t="s">
        <v>26</v>
      </c>
      <c r="L1354" t="s">
        <v>31</v>
      </c>
      <c r="M1354" s="2">
        <f>VALUE(MID(L1354,1,FIND("@",L1354)-6))</f>
        <v>82</v>
      </c>
      <c r="N1354">
        <v>5</v>
      </c>
      <c r="O1354" t="str">
        <f>IF(datos_limpios[[#This Row],[Seating Capacity ]]&gt;4,"SI","NO")</f>
        <v>SI</v>
      </c>
      <c r="P1354">
        <v>37</v>
      </c>
    </row>
    <row r="1355" spans="1:16" x14ac:dyDescent="0.3">
      <c r="A1355" s="8" t="s">
        <v>17</v>
      </c>
      <c r="B1355" s="8" t="s">
        <v>1316</v>
      </c>
      <c r="C1355" s="9">
        <v>1356</v>
      </c>
      <c r="D1355" s="3">
        <v>849000</v>
      </c>
      <c r="E1355" s="1">
        <f>datos_limpios[[#This Row],[Price INR   ]]*0.011</f>
        <v>9339</v>
      </c>
      <c r="F1355" s="13">
        <v>2021</v>
      </c>
      <c r="G1355" s="2">
        <v>17283</v>
      </c>
      <c r="H1355" s="8" t="s">
        <v>12</v>
      </c>
      <c r="I1355" s="8" t="s">
        <v>13</v>
      </c>
      <c r="J1355" s="8" t="s">
        <v>20</v>
      </c>
      <c r="K1355" t="s">
        <v>58</v>
      </c>
      <c r="L1355" t="s">
        <v>59</v>
      </c>
      <c r="M1355" s="2">
        <f>VALUE(MID(L1355,1,FIND("@",L1355)-6))</f>
        <v>103</v>
      </c>
      <c r="N1355">
        <v>5</v>
      </c>
      <c r="O1355" t="str">
        <f>IF(datos_limpios[[#This Row],[Seating Capacity ]]&gt;4,"SI","NO")</f>
        <v>SI</v>
      </c>
      <c r="P1355">
        <v>48</v>
      </c>
    </row>
    <row r="1356" spans="1:16" x14ac:dyDescent="0.3">
      <c r="A1356" s="8" t="s">
        <v>17</v>
      </c>
      <c r="B1356" s="8" t="s">
        <v>297</v>
      </c>
      <c r="C1356" s="9">
        <v>1357</v>
      </c>
      <c r="D1356" s="3">
        <v>850000</v>
      </c>
      <c r="E1356" s="1">
        <f>datos_limpios[[#This Row],[Price INR   ]]*0.011</f>
        <v>9350</v>
      </c>
      <c r="F1356" s="13">
        <v>2019</v>
      </c>
      <c r="G1356" s="2">
        <v>72000</v>
      </c>
      <c r="H1356" s="8" t="s">
        <v>19</v>
      </c>
      <c r="I1356" s="8" t="s">
        <v>13</v>
      </c>
      <c r="J1356" s="8" t="s">
        <v>77</v>
      </c>
      <c r="K1356" t="s">
        <v>21</v>
      </c>
      <c r="L1356" t="s">
        <v>140</v>
      </c>
      <c r="M1356" s="2">
        <f>VALUE(MID(L1356,1,FIND("@",L1356)-6))</f>
        <v>89</v>
      </c>
      <c r="N1356">
        <v>7</v>
      </c>
      <c r="O1356" t="str">
        <f>IF(datos_limpios[[#This Row],[Seating Capacity ]]&gt;4,"SI","NO")</f>
        <v>SI</v>
      </c>
      <c r="P1356">
        <v>45</v>
      </c>
    </row>
    <row r="1357" spans="1:16" x14ac:dyDescent="0.3">
      <c r="A1357" s="8" t="s">
        <v>17</v>
      </c>
      <c r="B1357" s="8" t="s">
        <v>857</v>
      </c>
      <c r="C1357" s="9">
        <v>1358</v>
      </c>
      <c r="D1357" s="3">
        <v>850000</v>
      </c>
      <c r="E1357" s="1">
        <f>datos_limpios[[#This Row],[Price INR   ]]*0.011</f>
        <v>9350</v>
      </c>
      <c r="F1357" s="13">
        <v>2018</v>
      </c>
      <c r="G1357" s="2">
        <v>37093</v>
      </c>
      <c r="H1357" s="8" t="s">
        <v>19</v>
      </c>
      <c r="I1357" s="8" t="s">
        <v>13</v>
      </c>
      <c r="J1357" s="8" t="s">
        <v>30</v>
      </c>
      <c r="K1357" t="s">
        <v>21</v>
      </c>
      <c r="L1357" t="s">
        <v>140</v>
      </c>
      <c r="M1357" s="2">
        <f>VALUE(MID(L1357,1,FIND("@",L1357)-6))</f>
        <v>89</v>
      </c>
      <c r="N1357">
        <v>5</v>
      </c>
      <c r="O1357" t="str">
        <f>IF(datos_limpios[[#This Row],[Seating Capacity ]]&gt;4,"SI","NO")</f>
        <v>SI</v>
      </c>
      <c r="P1357">
        <v>48</v>
      </c>
    </row>
    <row r="1358" spans="1:16" x14ac:dyDescent="0.3">
      <c r="A1358" s="8" t="s">
        <v>17</v>
      </c>
      <c r="B1358" s="8" t="s">
        <v>1272</v>
      </c>
      <c r="C1358" s="9">
        <v>1359</v>
      </c>
      <c r="D1358" s="3">
        <v>850000</v>
      </c>
      <c r="E1358" s="1">
        <f>datos_limpios[[#This Row],[Price INR   ]]*0.011</f>
        <v>9350</v>
      </c>
      <c r="F1358" s="13">
        <v>2019</v>
      </c>
      <c r="G1358" s="2">
        <v>32000</v>
      </c>
      <c r="H1358" s="8" t="s">
        <v>12</v>
      </c>
      <c r="I1358" s="8" t="s">
        <v>40</v>
      </c>
      <c r="J1358" s="8" t="s">
        <v>14</v>
      </c>
      <c r="K1358" t="s">
        <v>58</v>
      </c>
      <c r="L1358" t="s">
        <v>59</v>
      </c>
      <c r="M1358" s="2">
        <f>VALUE(MID(L1358,1,FIND("@",L1358)-6))</f>
        <v>103</v>
      </c>
      <c r="N1358">
        <v>5</v>
      </c>
      <c r="O1358" t="str">
        <f>IF(datos_limpios[[#This Row],[Seating Capacity ]]&gt;4,"SI","NO")</f>
        <v>SI</v>
      </c>
      <c r="P1358">
        <v>43</v>
      </c>
    </row>
    <row r="1359" spans="1:16" x14ac:dyDescent="0.3">
      <c r="A1359" s="8" t="s">
        <v>17</v>
      </c>
      <c r="B1359" s="8" t="s">
        <v>857</v>
      </c>
      <c r="C1359" s="9">
        <v>1360</v>
      </c>
      <c r="D1359" s="3">
        <v>850000</v>
      </c>
      <c r="E1359" s="1">
        <f>datos_limpios[[#This Row],[Price INR   ]]*0.011</f>
        <v>9350</v>
      </c>
      <c r="F1359" s="13">
        <v>2018</v>
      </c>
      <c r="G1359" s="2">
        <v>85000</v>
      </c>
      <c r="H1359" s="8" t="s">
        <v>19</v>
      </c>
      <c r="I1359" s="8" t="s">
        <v>13</v>
      </c>
      <c r="J1359" s="8" t="s">
        <v>25</v>
      </c>
      <c r="K1359" t="s">
        <v>21</v>
      </c>
      <c r="L1359" t="s">
        <v>140</v>
      </c>
      <c r="M1359" s="2">
        <f>VALUE(MID(L1359,1,FIND("@",L1359)-6))</f>
        <v>89</v>
      </c>
      <c r="N1359">
        <v>5</v>
      </c>
      <c r="O1359" t="str">
        <f>IF(datos_limpios[[#This Row],[Seating Capacity ]]&gt;4,"SI","NO")</f>
        <v>SI</v>
      </c>
      <c r="P1359">
        <v>48</v>
      </c>
    </row>
    <row r="1360" spans="1:16" x14ac:dyDescent="0.3">
      <c r="A1360" s="8" t="s">
        <v>17</v>
      </c>
      <c r="B1360" s="8" t="s">
        <v>468</v>
      </c>
      <c r="C1360" s="9">
        <v>1361</v>
      </c>
      <c r="D1360" s="3">
        <v>860000</v>
      </c>
      <c r="E1360" s="1">
        <f>datos_limpios[[#This Row],[Price INR   ]]*0.011</f>
        <v>9460</v>
      </c>
      <c r="F1360" s="13">
        <v>2018</v>
      </c>
      <c r="G1360" s="2">
        <v>33030</v>
      </c>
      <c r="H1360" s="8" t="s">
        <v>19</v>
      </c>
      <c r="I1360" s="8" t="s">
        <v>13</v>
      </c>
      <c r="J1360" s="8" t="s">
        <v>30</v>
      </c>
      <c r="K1360" t="s">
        <v>21</v>
      </c>
      <c r="L1360" t="s">
        <v>140</v>
      </c>
      <c r="M1360" s="2">
        <f>VALUE(MID(L1360,1,FIND("@",L1360)-6))</f>
        <v>89</v>
      </c>
      <c r="N1360">
        <v>5</v>
      </c>
      <c r="O1360" t="str">
        <f>IF(datos_limpios[[#This Row],[Seating Capacity ]]&gt;4,"SI","NO")</f>
        <v>SI</v>
      </c>
      <c r="P1360">
        <v>48</v>
      </c>
    </row>
    <row r="1361" spans="1:16" x14ac:dyDescent="0.3">
      <c r="A1361" s="8" t="s">
        <v>17</v>
      </c>
      <c r="B1361" s="8" t="s">
        <v>297</v>
      </c>
      <c r="C1361" s="9">
        <v>1362</v>
      </c>
      <c r="D1361" s="3">
        <v>865000</v>
      </c>
      <c r="E1361" s="1">
        <f>datos_limpios[[#This Row],[Price INR   ]]*0.011</f>
        <v>9515</v>
      </c>
      <c r="F1361" s="13">
        <v>2016</v>
      </c>
      <c r="G1361" s="2">
        <v>67000</v>
      </c>
      <c r="H1361" s="8" t="s">
        <v>19</v>
      </c>
      <c r="I1361" s="8" t="s">
        <v>13</v>
      </c>
      <c r="J1361" s="8" t="s">
        <v>20</v>
      </c>
      <c r="K1361" t="s">
        <v>21</v>
      </c>
      <c r="L1361" t="s">
        <v>140</v>
      </c>
      <c r="M1361" s="2">
        <f>VALUE(MID(L1361,1,FIND("@",L1361)-6))</f>
        <v>89</v>
      </c>
      <c r="N1361">
        <v>7</v>
      </c>
      <c r="O1361" t="str">
        <f>IF(datos_limpios[[#This Row],[Seating Capacity ]]&gt;4,"SI","NO")</f>
        <v>SI</v>
      </c>
      <c r="P1361">
        <v>45</v>
      </c>
    </row>
    <row r="1362" spans="1:16" x14ac:dyDescent="0.3">
      <c r="A1362" s="8" t="s">
        <v>17</v>
      </c>
      <c r="B1362" s="8" t="s">
        <v>468</v>
      </c>
      <c r="C1362" s="9">
        <v>1363</v>
      </c>
      <c r="D1362" s="3">
        <v>865000</v>
      </c>
      <c r="E1362" s="1">
        <f>datos_limpios[[#This Row],[Price INR   ]]*0.011</f>
        <v>9515</v>
      </c>
      <c r="F1362" s="13">
        <v>2018</v>
      </c>
      <c r="G1362" s="2">
        <v>53694</v>
      </c>
      <c r="H1362" s="8" t="s">
        <v>19</v>
      </c>
      <c r="I1362" s="8" t="s">
        <v>13</v>
      </c>
      <c r="J1362" s="8" t="s">
        <v>14</v>
      </c>
      <c r="K1362" t="s">
        <v>21</v>
      </c>
      <c r="L1362" t="s">
        <v>140</v>
      </c>
      <c r="M1362" s="2">
        <f>VALUE(MID(L1362,1,FIND("@",L1362)-6))</f>
        <v>89</v>
      </c>
      <c r="N1362">
        <v>5</v>
      </c>
      <c r="O1362" t="str">
        <f>IF(datos_limpios[[#This Row],[Seating Capacity ]]&gt;4,"SI","NO")</f>
        <v>SI</v>
      </c>
      <c r="P1362">
        <v>48</v>
      </c>
    </row>
    <row r="1363" spans="1:16" x14ac:dyDescent="0.3">
      <c r="A1363" s="8" t="s">
        <v>17</v>
      </c>
      <c r="B1363" s="8" t="s">
        <v>524</v>
      </c>
      <c r="C1363" s="9">
        <v>1364</v>
      </c>
      <c r="D1363" s="3">
        <v>875000</v>
      </c>
      <c r="E1363" s="1">
        <f>datos_limpios[[#This Row],[Price INR   ]]*0.011</f>
        <v>9625</v>
      </c>
      <c r="F1363" s="13">
        <v>2018</v>
      </c>
      <c r="G1363" s="2">
        <v>82000</v>
      </c>
      <c r="H1363" s="8" t="s">
        <v>19</v>
      </c>
      <c r="I1363" s="8" t="s">
        <v>13</v>
      </c>
      <c r="J1363" s="8" t="s">
        <v>20</v>
      </c>
      <c r="K1363" t="s">
        <v>21</v>
      </c>
      <c r="L1363" t="s">
        <v>140</v>
      </c>
      <c r="M1363" s="2">
        <f>VALUE(MID(L1363,1,FIND("@",L1363)-6))</f>
        <v>89</v>
      </c>
      <c r="N1363">
        <v>5</v>
      </c>
      <c r="O1363" t="str">
        <f>IF(datos_limpios[[#This Row],[Seating Capacity ]]&gt;4,"SI","NO")</f>
        <v>SI</v>
      </c>
      <c r="P1363">
        <v>48</v>
      </c>
    </row>
    <row r="1364" spans="1:16" x14ac:dyDescent="0.3">
      <c r="A1364" s="8" t="s">
        <v>17</v>
      </c>
      <c r="B1364" s="8" t="s">
        <v>857</v>
      </c>
      <c r="C1364" s="9">
        <v>1365</v>
      </c>
      <c r="D1364" s="3">
        <v>890000</v>
      </c>
      <c r="E1364" s="1">
        <f>datos_limpios[[#This Row],[Price INR   ]]*0.011</f>
        <v>9790</v>
      </c>
      <c r="F1364" s="13">
        <v>2017</v>
      </c>
      <c r="G1364" s="2">
        <v>70000</v>
      </c>
      <c r="H1364" s="8" t="s">
        <v>19</v>
      </c>
      <c r="I1364" s="8" t="s">
        <v>13</v>
      </c>
      <c r="J1364" s="8" t="s">
        <v>25</v>
      </c>
      <c r="K1364" t="s">
        <v>21</v>
      </c>
      <c r="L1364" t="s">
        <v>140</v>
      </c>
      <c r="M1364" s="2">
        <f>VALUE(MID(L1364,1,FIND("@",L1364)-6))</f>
        <v>89</v>
      </c>
      <c r="N1364">
        <v>5</v>
      </c>
      <c r="O1364" t="str">
        <f>IF(datos_limpios[[#This Row],[Seating Capacity ]]&gt;4,"SI","NO")</f>
        <v>SI</v>
      </c>
      <c r="P1364">
        <v>48</v>
      </c>
    </row>
    <row r="1365" spans="1:16" x14ac:dyDescent="0.3">
      <c r="A1365" s="8" t="s">
        <v>17</v>
      </c>
      <c r="B1365" s="8" t="s">
        <v>74</v>
      </c>
      <c r="C1365" s="9">
        <v>1366</v>
      </c>
      <c r="D1365" s="3">
        <v>894999</v>
      </c>
      <c r="E1365" s="1">
        <f>datos_limpios[[#This Row],[Price INR   ]]*0.011</f>
        <v>9844.9889999999996</v>
      </c>
      <c r="F1365" s="13">
        <v>2018</v>
      </c>
      <c r="G1365" s="2">
        <v>21365</v>
      </c>
      <c r="H1365" s="8" t="s">
        <v>12</v>
      </c>
      <c r="I1365" s="8" t="s">
        <v>40</v>
      </c>
      <c r="J1365" s="8" t="s">
        <v>14</v>
      </c>
      <c r="K1365" t="s">
        <v>26</v>
      </c>
      <c r="L1365" t="s">
        <v>31</v>
      </c>
      <c r="M1365" s="2">
        <f>VALUE(MID(L1365,1,FIND("@",L1365)-6))</f>
        <v>82</v>
      </c>
      <c r="N1365">
        <v>5</v>
      </c>
      <c r="O1365" t="str">
        <f>IF(datos_limpios[[#This Row],[Seating Capacity ]]&gt;4,"SI","NO")</f>
        <v>SI</v>
      </c>
      <c r="P1365">
        <v>37</v>
      </c>
    </row>
    <row r="1366" spans="1:16" x14ac:dyDescent="0.3">
      <c r="A1366" s="8" t="s">
        <v>17</v>
      </c>
      <c r="B1366" s="8" t="s">
        <v>732</v>
      </c>
      <c r="C1366" s="9">
        <v>1367</v>
      </c>
      <c r="D1366" s="3">
        <v>894999</v>
      </c>
      <c r="E1366" s="1">
        <f>datos_limpios[[#This Row],[Price INR   ]]*0.011</f>
        <v>9844.9889999999996</v>
      </c>
      <c r="F1366" s="13">
        <v>2019</v>
      </c>
      <c r="G1366" s="2">
        <v>46000</v>
      </c>
      <c r="H1366" s="8" t="s">
        <v>19</v>
      </c>
      <c r="I1366" s="8" t="s">
        <v>40</v>
      </c>
      <c r="J1366" s="8" t="s">
        <v>20</v>
      </c>
      <c r="K1366" t="s">
        <v>21</v>
      </c>
      <c r="L1366" t="s">
        <v>140</v>
      </c>
      <c r="M1366" s="2">
        <f>VALUE(MID(L1366,1,FIND("@",L1366)-6))</f>
        <v>89</v>
      </c>
      <c r="N1366">
        <v>5</v>
      </c>
      <c r="O1366" t="str">
        <f>IF(datos_limpios[[#This Row],[Seating Capacity ]]&gt;4,"SI","NO")</f>
        <v>SI</v>
      </c>
      <c r="P1366">
        <v>48</v>
      </c>
    </row>
    <row r="1367" spans="1:16" x14ac:dyDescent="0.3">
      <c r="A1367" s="8" t="s">
        <v>17</v>
      </c>
      <c r="B1367" s="8" t="s">
        <v>686</v>
      </c>
      <c r="C1367" s="9">
        <v>1368</v>
      </c>
      <c r="D1367" s="3">
        <v>899000</v>
      </c>
      <c r="E1367" s="1">
        <f>datos_limpios[[#This Row],[Price INR   ]]*0.011</f>
        <v>9889</v>
      </c>
      <c r="F1367" s="13">
        <v>2018</v>
      </c>
      <c r="G1367" s="2">
        <v>13066</v>
      </c>
      <c r="H1367" s="8" t="s">
        <v>12</v>
      </c>
      <c r="I1367" s="8" t="s">
        <v>13</v>
      </c>
      <c r="J1367" s="8" t="s">
        <v>14</v>
      </c>
      <c r="K1367" t="s">
        <v>36</v>
      </c>
      <c r="L1367" t="s">
        <v>37</v>
      </c>
      <c r="M1367" s="2">
        <f>VALUE(MID(L1367,1,FIND("@",L1367)-6))</f>
        <v>91</v>
      </c>
      <c r="N1367">
        <v>5</v>
      </c>
      <c r="O1367" t="str">
        <f>IF(datos_limpios[[#This Row],[Seating Capacity ]]&gt;4,"SI","NO")</f>
        <v>SI</v>
      </c>
      <c r="P1367">
        <v>43</v>
      </c>
    </row>
    <row r="1368" spans="1:16" x14ac:dyDescent="0.3">
      <c r="A1368" s="8" t="s">
        <v>17</v>
      </c>
      <c r="B1368" s="8" t="s">
        <v>816</v>
      </c>
      <c r="C1368" s="9">
        <v>1369</v>
      </c>
      <c r="D1368" s="3">
        <v>910000</v>
      </c>
      <c r="E1368" s="1">
        <f>datos_limpios[[#This Row],[Price INR   ]]*0.011</f>
        <v>10010</v>
      </c>
      <c r="F1368" s="13">
        <v>2019</v>
      </c>
      <c r="G1368" s="2">
        <v>76000</v>
      </c>
      <c r="H1368" s="8" t="s">
        <v>19</v>
      </c>
      <c r="I1368" s="8" t="s">
        <v>13</v>
      </c>
      <c r="J1368" s="8" t="s">
        <v>20</v>
      </c>
      <c r="K1368" t="s">
        <v>196</v>
      </c>
      <c r="L1368" t="s">
        <v>817</v>
      </c>
      <c r="M1368" s="2">
        <f>VALUE(MID(L1368,1,FIND("@",L1368)-6))</f>
        <v>94</v>
      </c>
      <c r="N1368">
        <v>5</v>
      </c>
      <c r="O1368" t="str">
        <f>IF(datos_limpios[[#This Row],[Seating Capacity ]]&gt;4,"SI","NO")</f>
        <v>SI</v>
      </c>
      <c r="P1368">
        <v>43</v>
      </c>
    </row>
    <row r="1369" spans="1:16" x14ac:dyDescent="0.3">
      <c r="A1369" s="8" t="s">
        <v>17</v>
      </c>
      <c r="B1369" s="8" t="s">
        <v>1108</v>
      </c>
      <c r="C1369" s="9">
        <v>1370</v>
      </c>
      <c r="D1369" s="3">
        <v>910000</v>
      </c>
      <c r="E1369" s="1">
        <f>datos_limpios[[#This Row],[Price INR   ]]*0.011</f>
        <v>10010</v>
      </c>
      <c r="F1369" s="13">
        <v>2019</v>
      </c>
      <c r="G1369" s="2">
        <v>34000</v>
      </c>
      <c r="H1369" s="8" t="s">
        <v>12</v>
      </c>
      <c r="I1369" s="8" t="s">
        <v>13</v>
      </c>
      <c r="J1369" s="8" t="s">
        <v>57</v>
      </c>
      <c r="K1369" t="s">
        <v>58</v>
      </c>
      <c r="L1369" t="s">
        <v>59</v>
      </c>
      <c r="M1369" s="2">
        <f>VALUE(MID(L1369,1,FIND("@",L1369)-6))</f>
        <v>103</v>
      </c>
      <c r="N1369">
        <v>5</v>
      </c>
      <c r="O1369" t="str">
        <f>IF(datos_limpios[[#This Row],[Seating Capacity ]]&gt;4,"SI","NO")</f>
        <v>SI</v>
      </c>
      <c r="P1369">
        <v>43</v>
      </c>
    </row>
    <row r="1370" spans="1:16" x14ac:dyDescent="0.3">
      <c r="A1370" s="8" t="s">
        <v>17</v>
      </c>
      <c r="B1370" s="8" t="s">
        <v>1316</v>
      </c>
      <c r="C1370" s="9">
        <v>1371</v>
      </c>
      <c r="D1370" s="3">
        <v>925000</v>
      </c>
      <c r="E1370" s="1">
        <f>datos_limpios[[#This Row],[Price INR   ]]*0.011</f>
        <v>10175</v>
      </c>
      <c r="F1370" s="13">
        <v>2021</v>
      </c>
      <c r="G1370" s="2">
        <v>48000</v>
      </c>
      <c r="H1370" s="8" t="s">
        <v>12</v>
      </c>
      <c r="I1370" s="8" t="s">
        <v>13</v>
      </c>
      <c r="J1370" s="8" t="s">
        <v>20</v>
      </c>
      <c r="K1370" t="s">
        <v>58</v>
      </c>
      <c r="L1370" t="s">
        <v>59</v>
      </c>
      <c r="M1370" s="2">
        <f>VALUE(MID(L1370,1,FIND("@",L1370)-6))</f>
        <v>103</v>
      </c>
      <c r="N1370">
        <v>5</v>
      </c>
      <c r="O1370" t="str">
        <f>IF(datos_limpios[[#This Row],[Seating Capacity ]]&gt;4,"SI","NO")</f>
        <v>SI</v>
      </c>
      <c r="P1370">
        <v>48</v>
      </c>
    </row>
    <row r="1371" spans="1:16" x14ac:dyDescent="0.3">
      <c r="A1371" s="8" t="s">
        <v>17</v>
      </c>
      <c r="B1371" s="8" t="s">
        <v>857</v>
      </c>
      <c r="C1371" s="9">
        <v>1372</v>
      </c>
      <c r="D1371" s="3">
        <v>949000</v>
      </c>
      <c r="E1371" s="1">
        <f>datos_limpios[[#This Row],[Price INR   ]]*0.011</f>
        <v>10439</v>
      </c>
      <c r="F1371" s="13">
        <v>2018</v>
      </c>
      <c r="G1371" s="2">
        <v>50500</v>
      </c>
      <c r="H1371" s="8" t="s">
        <v>19</v>
      </c>
      <c r="I1371" s="8" t="s">
        <v>13</v>
      </c>
      <c r="J1371" s="8" t="s">
        <v>57</v>
      </c>
      <c r="K1371" t="s">
        <v>21</v>
      </c>
      <c r="L1371" t="s">
        <v>140</v>
      </c>
      <c r="M1371" s="2">
        <f>VALUE(MID(L1371,1,FIND("@",L1371)-6))</f>
        <v>89</v>
      </c>
      <c r="N1371">
        <v>5</v>
      </c>
      <c r="O1371" t="str">
        <f>IF(datos_limpios[[#This Row],[Seating Capacity ]]&gt;4,"SI","NO")</f>
        <v>SI</v>
      </c>
      <c r="P1371">
        <v>48</v>
      </c>
    </row>
    <row r="1372" spans="1:16" x14ac:dyDescent="0.3">
      <c r="A1372" s="8" t="s">
        <v>17</v>
      </c>
      <c r="B1372" s="8" t="s">
        <v>650</v>
      </c>
      <c r="C1372" s="9">
        <v>1373</v>
      </c>
      <c r="D1372" s="3">
        <v>950000</v>
      </c>
      <c r="E1372" s="1">
        <f>datos_limpios[[#This Row],[Price INR   ]]*0.011</f>
        <v>10450</v>
      </c>
      <c r="F1372" s="13">
        <v>2020</v>
      </c>
      <c r="G1372" s="2">
        <v>55055</v>
      </c>
      <c r="H1372" s="8" t="s">
        <v>19</v>
      </c>
      <c r="I1372" s="8" t="s">
        <v>13</v>
      </c>
      <c r="J1372" s="8" t="s">
        <v>20</v>
      </c>
      <c r="K1372" t="s">
        <v>21</v>
      </c>
      <c r="L1372" t="s">
        <v>140</v>
      </c>
      <c r="M1372" s="2">
        <f>VALUE(MID(L1372,1,FIND("@",L1372)-6))</f>
        <v>89</v>
      </c>
      <c r="N1372">
        <v>5</v>
      </c>
      <c r="O1372" t="str">
        <f>IF(datos_limpios[[#This Row],[Seating Capacity ]]&gt;4,"SI","NO")</f>
        <v>SI</v>
      </c>
      <c r="P1372">
        <v>48</v>
      </c>
    </row>
    <row r="1373" spans="1:16" x14ac:dyDescent="0.3">
      <c r="A1373" s="8" t="s">
        <v>17</v>
      </c>
      <c r="B1373" s="8" t="s">
        <v>1237</v>
      </c>
      <c r="C1373" s="9">
        <v>1374</v>
      </c>
      <c r="D1373" s="3">
        <v>950000</v>
      </c>
      <c r="E1373" s="1">
        <f>datos_limpios[[#This Row],[Price INR   ]]*0.011</f>
        <v>10450</v>
      </c>
      <c r="F1373" s="13">
        <v>2022</v>
      </c>
      <c r="G1373" s="2">
        <v>10000</v>
      </c>
      <c r="H1373" s="8" t="s">
        <v>12</v>
      </c>
      <c r="I1373" s="8" t="s">
        <v>40</v>
      </c>
      <c r="J1373" s="8" t="s">
        <v>115</v>
      </c>
      <c r="K1373" t="s">
        <v>26</v>
      </c>
      <c r="L1373" t="s">
        <v>98</v>
      </c>
      <c r="M1373" s="2">
        <f>VALUE(MID(L1373,1,FIND("@",L1373)-6))</f>
        <v>89</v>
      </c>
      <c r="N1373">
        <v>5</v>
      </c>
      <c r="O1373" t="str">
        <f>IF(datos_limpios[[#This Row],[Seating Capacity ]]&gt;4,"SI","NO")</f>
        <v>SI</v>
      </c>
      <c r="P1373">
        <v>37</v>
      </c>
    </row>
    <row r="1374" spans="1:16" x14ac:dyDescent="0.3">
      <c r="A1374" s="8" t="s">
        <v>17</v>
      </c>
      <c r="B1374" s="8" t="s">
        <v>524</v>
      </c>
      <c r="C1374" s="9">
        <v>1375</v>
      </c>
      <c r="D1374" s="3">
        <v>950000</v>
      </c>
      <c r="E1374" s="1">
        <f>datos_limpios[[#This Row],[Price INR   ]]*0.011</f>
        <v>10450</v>
      </c>
      <c r="F1374" s="13">
        <v>2018</v>
      </c>
      <c r="G1374" s="2">
        <v>71000</v>
      </c>
      <c r="H1374" s="8" t="s">
        <v>19</v>
      </c>
      <c r="I1374" s="8" t="s">
        <v>13</v>
      </c>
      <c r="J1374" s="8" t="s">
        <v>20</v>
      </c>
      <c r="K1374" t="s">
        <v>21</v>
      </c>
      <c r="L1374" t="s">
        <v>140</v>
      </c>
      <c r="M1374" s="2">
        <f>VALUE(MID(L1374,1,FIND("@",L1374)-6))</f>
        <v>89</v>
      </c>
      <c r="N1374">
        <v>5</v>
      </c>
      <c r="O1374" t="str">
        <f>IF(datos_limpios[[#This Row],[Seating Capacity ]]&gt;4,"SI","NO")</f>
        <v>SI</v>
      </c>
      <c r="P1374">
        <v>48</v>
      </c>
    </row>
    <row r="1375" spans="1:16" x14ac:dyDescent="0.3">
      <c r="A1375" s="8" t="s">
        <v>17</v>
      </c>
      <c r="B1375" s="8" t="s">
        <v>808</v>
      </c>
      <c r="C1375" s="9">
        <v>1376</v>
      </c>
      <c r="D1375" s="3">
        <v>969999</v>
      </c>
      <c r="E1375" s="1">
        <f>datos_limpios[[#This Row],[Price INR   ]]*0.011</f>
        <v>10669.989</v>
      </c>
      <c r="F1375" s="13">
        <v>2016</v>
      </c>
      <c r="G1375" s="2">
        <v>39000</v>
      </c>
      <c r="H1375" s="8" t="s">
        <v>19</v>
      </c>
      <c r="I1375" s="8" t="s">
        <v>13</v>
      </c>
      <c r="J1375" s="8" t="s">
        <v>57</v>
      </c>
      <c r="K1375" t="s">
        <v>21</v>
      </c>
      <c r="L1375" t="s">
        <v>140</v>
      </c>
      <c r="M1375" s="2">
        <f>VALUE(MID(L1375,1,FIND("@",L1375)-6))</f>
        <v>89</v>
      </c>
      <c r="N1375">
        <v>7</v>
      </c>
      <c r="O1375" t="str">
        <f>IF(datos_limpios[[#This Row],[Seating Capacity ]]&gt;4,"SI","NO")</f>
        <v>SI</v>
      </c>
      <c r="P1375">
        <v>45</v>
      </c>
    </row>
    <row r="1376" spans="1:16" x14ac:dyDescent="0.3">
      <c r="A1376" s="8" t="s">
        <v>17</v>
      </c>
      <c r="B1376" s="8" t="s">
        <v>762</v>
      </c>
      <c r="C1376" s="9">
        <v>1377</v>
      </c>
      <c r="D1376" s="3">
        <v>975000</v>
      </c>
      <c r="E1376" s="1">
        <f>datos_limpios[[#This Row],[Price INR   ]]*0.011</f>
        <v>10725</v>
      </c>
      <c r="F1376" s="13">
        <v>2019</v>
      </c>
      <c r="G1376" s="2">
        <v>41792</v>
      </c>
      <c r="H1376" s="8" t="s">
        <v>12</v>
      </c>
      <c r="I1376" s="8" t="s">
        <v>13</v>
      </c>
      <c r="J1376" s="8" t="s">
        <v>57</v>
      </c>
      <c r="K1376" t="s">
        <v>58</v>
      </c>
      <c r="L1376" t="s">
        <v>59</v>
      </c>
      <c r="M1376" s="2">
        <f>VALUE(MID(L1376,1,FIND("@",L1376)-6))</f>
        <v>103</v>
      </c>
      <c r="N1376">
        <v>6</v>
      </c>
      <c r="O1376" t="str">
        <f>IF(datos_limpios[[#This Row],[Seating Capacity ]]&gt;4,"SI","NO")</f>
        <v>SI</v>
      </c>
      <c r="P1376">
        <v>45</v>
      </c>
    </row>
    <row r="1377" spans="1:16" x14ac:dyDescent="0.3">
      <c r="A1377" s="8" t="s">
        <v>17</v>
      </c>
      <c r="B1377" s="8" t="s">
        <v>887</v>
      </c>
      <c r="C1377" s="9">
        <v>1378</v>
      </c>
      <c r="D1377" s="3">
        <v>975000</v>
      </c>
      <c r="E1377" s="1">
        <f>datos_limpios[[#This Row],[Price INR   ]]*0.011</f>
        <v>10725</v>
      </c>
      <c r="F1377" s="13">
        <v>2019</v>
      </c>
      <c r="G1377" s="2">
        <v>58000</v>
      </c>
      <c r="H1377" s="8" t="s">
        <v>19</v>
      </c>
      <c r="I1377" s="8" t="s">
        <v>13</v>
      </c>
      <c r="J1377" s="8" t="s">
        <v>20</v>
      </c>
      <c r="K1377" t="s">
        <v>21</v>
      </c>
      <c r="L1377" t="s">
        <v>140</v>
      </c>
      <c r="M1377" s="2">
        <f>VALUE(MID(L1377,1,FIND("@",L1377)-6))</f>
        <v>89</v>
      </c>
      <c r="N1377">
        <v>5</v>
      </c>
      <c r="O1377" t="str">
        <f>IF(datos_limpios[[#This Row],[Seating Capacity ]]&gt;4,"SI","NO")</f>
        <v>SI</v>
      </c>
      <c r="P1377">
        <v>48</v>
      </c>
    </row>
    <row r="1378" spans="1:16" x14ac:dyDescent="0.3">
      <c r="A1378" s="8" t="s">
        <v>17</v>
      </c>
      <c r="B1378" s="8" t="s">
        <v>857</v>
      </c>
      <c r="C1378" s="9">
        <v>1379</v>
      </c>
      <c r="D1378" s="3">
        <v>990000</v>
      </c>
      <c r="E1378" s="1">
        <f>datos_limpios[[#This Row],[Price INR   ]]*0.011</f>
        <v>10890</v>
      </c>
      <c r="F1378" s="13">
        <v>2019</v>
      </c>
      <c r="G1378" s="2">
        <v>54572</v>
      </c>
      <c r="H1378" s="8" t="s">
        <v>19</v>
      </c>
      <c r="I1378" s="8" t="s">
        <v>13</v>
      </c>
      <c r="J1378" s="8" t="s">
        <v>20</v>
      </c>
      <c r="K1378" t="s">
        <v>21</v>
      </c>
      <c r="L1378" t="s">
        <v>140</v>
      </c>
      <c r="M1378" s="2">
        <f>VALUE(MID(L1378,1,FIND("@",L1378)-6))</f>
        <v>89</v>
      </c>
      <c r="N1378">
        <v>5</v>
      </c>
      <c r="O1378" t="str">
        <f>IF(datos_limpios[[#This Row],[Seating Capacity ]]&gt;4,"SI","NO")</f>
        <v>SI</v>
      </c>
      <c r="P1378">
        <v>48</v>
      </c>
    </row>
    <row r="1379" spans="1:16" x14ac:dyDescent="0.3">
      <c r="A1379" s="8" t="s">
        <v>17</v>
      </c>
      <c r="B1379" s="8" t="s">
        <v>1271</v>
      </c>
      <c r="C1379" s="9">
        <v>1380</v>
      </c>
      <c r="D1379" s="3">
        <v>990000</v>
      </c>
      <c r="E1379" s="1">
        <f>datos_limpios[[#This Row],[Price INR   ]]*0.011</f>
        <v>10890</v>
      </c>
      <c r="F1379" s="13">
        <v>2019</v>
      </c>
      <c r="G1379" s="2">
        <v>21894</v>
      </c>
      <c r="H1379" s="8" t="s">
        <v>12</v>
      </c>
      <c r="I1379" s="8" t="s">
        <v>40</v>
      </c>
      <c r="J1379" s="8" t="s">
        <v>20</v>
      </c>
      <c r="K1379" t="s">
        <v>58</v>
      </c>
      <c r="L1379" t="s">
        <v>59</v>
      </c>
      <c r="M1379" s="2">
        <f>VALUE(MID(L1379,1,FIND("@",L1379)-6))</f>
        <v>103</v>
      </c>
      <c r="N1379">
        <v>7</v>
      </c>
      <c r="O1379" t="str">
        <f>IF(datos_limpios[[#This Row],[Seating Capacity ]]&gt;4,"SI","NO")</f>
        <v>SI</v>
      </c>
      <c r="P1379">
        <v>45</v>
      </c>
    </row>
    <row r="1380" spans="1:16" x14ac:dyDescent="0.3">
      <c r="A1380" s="8" t="s">
        <v>17</v>
      </c>
      <c r="B1380" s="8" t="s">
        <v>762</v>
      </c>
      <c r="C1380" s="9">
        <v>1381</v>
      </c>
      <c r="D1380" s="3">
        <v>994999</v>
      </c>
      <c r="E1380" s="1">
        <f>datos_limpios[[#This Row],[Price INR   ]]*0.011</f>
        <v>10944.989</v>
      </c>
      <c r="F1380" s="13">
        <v>2019</v>
      </c>
      <c r="G1380" s="2">
        <v>27900</v>
      </c>
      <c r="H1380" s="8" t="s">
        <v>12</v>
      </c>
      <c r="I1380" s="8" t="s">
        <v>13</v>
      </c>
      <c r="J1380" s="8" t="s">
        <v>82</v>
      </c>
      <c r="K1380" t="s">
        <v>58</v>
      </c>
      <c r="L1380" t="s">
        <v>59</v>
      </c>
      <c r="M1380" s="2">
        <f>VALUE(MID(L1380,1,FIND("@",L1380)-6))</f>
        <v>103</v>
      </c>
      <c r="N1380">
        <v>6</v>
      </c>
      <c r="O1380" t="str">
        <f>IF(datos_limpios[[#This Row],[Seating Capacity ]]&gt;4,"SI","NO")</f>
        <v>SI</v>
      </c>
      <c r="P1380">
        <v>45</v>
      </c>
    </row>
    <row r="1381" spans="1:16" x14ac:dyDescent="0.3">
      <c r="A1381" s="8" t="s">
        <v>17</v>
      </c>
      <c r="B1381" s="8" t="s">
        <v>1267</v>
      </c>
      <c r="C1381" s="9">
        <v>1382</v>
      </c>
      <c r="D1381" s="3">
        <v>1011000</v>
      </c>
      <c r="E1381" s="1">
        <f>datos_limpios[[#This Row],[Price INR   ]]*0.011</f>
        <v>11121</v>
      </c>
      <c r="F1381" s="13">
        <v>2019</v>
      </c>
      <c r="G1381" s="2">
        <v>74179</v>
      </c>
      <c r="H1381" s="8" t="s">
        <v>19</v>
      </c>
      <c r="I1381" s="8" t="s">
        <v>40</v>
      </c>
      <c r="J1381" s="8" t="s">
        <v>77</v>
      </c>
      <c r="K1381" t="s">
        <v>21</v>
      </c>
      <c r="L1381" t="s">
        <v>140</v>
      </c>
      <c r="M1381" s="2">
        <f>VALUE(MID(L1381,1,FIND("@",L1381)-6))</f>
        <v>89</v>
      </c>
      <c r="N1381">
        <v>5</v>
      </c>
      <c r="O1381" t="str">
        <f>IF(datos_limpios[[#This Row],[Seating Capacity ]]&gt;4,"SI","NO")</f>
        <v>SI</v>
      </c>
      <c r="P1381">
        <v>48</v>
      </c>
    </row>
    <row r="1382" spans="1:16" x14ac:dyDescent="0.3">
      <c r="A1382" s="8" t="s">
        <v>17</v>
      </c>
      <c r="B1382" s="8" t="s">
        <v>524</v>
      </c>
      <c r="C1382" s="9">
        <v>1383</v>
      </c>
      <c r="D1382" s="3">
        <v>1025000</v>
      </c>
      <c r="E1382" s="1">
        <f>datos_limpios[[#This Row],[Price INR   ]]*0.011</f>
        <v>11275</v>
      </c>
      <c r="F1382" s="13">
        <v>2019</v>
      </c>
      <c r="G1382" s="2">
        <v>90000</v>
      </c>
      <c r="H1382" s="8" t="s">
        <v>19</v>
      </c>
      <c r="I1382" s="8" t="s">
        <v>13</v>
      </c>
      <c r="J1382" s="8" t="s">
        <v>20</v>
      </c>
      <c r="K1382" t="s">
        <v>21</v>
      </c>
      <c r="L1382" t="s">
        <v>140</v>
      </c>
      <c r="M1382" s="2">
        <f>VALUE(MID(L1382,1,FIND("@",L1382)-6))</f>
        <v>89</v>
      </c>
      <c r="N1382">
        <v>5</v>
      </c>
      <c r="O1382" t="str">
        <f>IF(datos_limpios[[#This Row],[Seating Capacity ]]&gt;4,"SI","NO")</f>
        <v>SI</v>
      </c>
      <c r="P1382">
        <v>48</v>
      </c>
    </row>
    <row r="1383" spans="1:16" x14ac:dyDescent="0.3">
      <c r="A1383" s="8" t="s">
        <v>17</v>
      </c>
      <c r="B1383" s="8" t="s">
        <v>784</v>
      </c>
      <c r="C1383" s="9">
        <v>1384</v>
      </c>
      <c r="D1383" s="3">
        <v>1025000</v>
      </c>
      <c r="E1383" s="1">
        <f>datos_limpios[[#This Row],[Price INR   ]]*0.011</f>
        <v>11275</v>
      </c>
      <c r="F1383" s="13">
        <v>2019</v>
      </c>
      <c r="G1383" s="2">
        <v>42000</v>
      </c>
      <c r="H1383" s="8" t="s">
        <v>89</v>
      </c>
      <c r="I1383" s="8" t="s">
        <v>13</v>
      </c>
      <c r="J1383" s="8" t="s">
        <v>82</v>
      </c>
      <c r="K1383" t="s">
        <v>36</v>
      </c>
      <c r="L1383" t="s">
        <v>785</v>
      </c>
      <c r="M1383" s="2">
        <f>VALUE(MID(L1383,1,FIND("@",L1383)-6))</f>
        <v>94</v>
      </c>
      <c r="N1383">
        <v>7</v>
      </c>
      <c r="O1383" t="str">
        <f>IF(datos_limpios[[#This Row],[Seating Capacity ]]&gt;4,"SI","NO")</f>
        <v>SI</v>
      </c>
      <c r="P1383">
        <v>45</v>
      </c>
    </row>
    <row r="1384" spans="1:16" x14ac:dyDescent="0.3">
      <c r="A1384" s="8" t="s">
        <v>17</v>
      </c>
      <c r="B1384" s="8" t="s">
        <v>169</v>
      </c>
      <c r="C1384" s="9">
        <v>1385</v>
      </c>
      <c r="D1384" s="3">
        <v>1044999</v>
      </c>
      <c r="E1384" s="1">
        <f>datos_limpios[[#This Row],[Price INR   ]]*0.011</f>
        <v>11494.989</v>
      </c>
      <c r="F1384" s="13">
        <v>2021</v>
      </c>
      <c r="G1384" s="2">
        <v>24000</v>
      </c>
      <c r="H1384" s="8" t="s">
        <v>12</v>
      </c>
      <c r="I1384" s="8" t="s">
        <v>13</v>
      </c>
      <c r="J1384" s="8" t="s">
        <v>77</v>
      </c>
      <c r="K1384" t="s">
        <v>58</v>
      </c>
      <c r="L1384" t="s">
        <v>59</v>
      </c>
      <c r="M1384" s="2">
        <f>VALUE(MID(L1384,1,FIND("@",L1384)-6))</f>
        <v>103</v>
      </c>
      <c r="N1384">
        <v>5</v>
      </c>
      <c r="O1384" t="str">
        <f>IF(datos_limpios[[#This Row],[Seating Capacity ]]&gt;4,"SI","NO")</f>
        <v>SI</v>
      </c>
      <c r="P1384">
        <v>48</v>
      </c>
    </row>
    <row r="1385" spans="1:16" x14ac:dyDescent="0.3">
      <c r="A1385" s="8" t="s">
        <v>17</v>
      </c>
      <c r="B1385" s="8" t="s">
        <v>1412</v>
      </c>
      <c r="C1385" s="9">
        <v>1386</v>
      </c>
      <c r="D1385" s="3">
        <v>1050000</v>
      </c>
      <c r="E1385" s="1">
        <f>datos_limpios[[#This Row],[Price INR   ]]*0.011</f>
        <v>11550</v>
      </c>
      <c r="F1385" s="13">
        <v>2021</v>
      </c>
      <c r="G1385" s="2">
        <v>5000</v>
      </c>
      <c r="H1385" s="8" t="s">
        <v>19</v>
      </c>
      <c r="I1385" s="8" t="s">
        <v>13</v>
      </c>
      <c r="J1385" s="8" t="s">
        <v>20</v>
      </c>
      <c r="K1385" t="s">
        <v>21</v>
      </c>
      <c r="L1385" t="s">
        <v>140</v>
      </c>
      <c r="M1385" s="2">
        <f>VALUE(MID(L1385,1,FIND("@",L1385)-6))</f>
        <v>89</v>
      </c>
      <c r="N1385">
        <v>5</v>
      </c>
      <c r="O1385" t="str">
        <f>IF(datos_limpios[[#This Row],[Seating Capacity ]]&gt;4,"SI","NO")</f>
        <v>SI</v>
      </c>
      <c r="P1385">
        <v>43</v>
      </c>
    </row>
    <row r="1386" spans="1:16" x14ac:dyDescent="0.3">
      <c r="A1386" s="8" t="s">
        <v>17</v>
      </c>
      <c r="B1386" s="8" t="s">
        <v>687</v>
      </c>
      <c r="C1386" s="9">
        <v>1387</v>
      </c>
      <c r="D1386" s="3">
        <v>1063000</v>
      </c>
      <c r="E1386" s="1">
        <f>datos_limpios[[#This Row],[Price INR   ]]*0.011</f>
        <v>11693</v>
      </c>
      <c r="F1386" s="13">
        <v>2019</v>
      </c>
      <c r="G1386" s="2">
        <v>31056</v>
      </c>
      <c r="H1386" s="8" t="s">
        <v>19</v>
      </c>
      <c r="I1386" s="8" t="s">
        <v>13</v>
      </c>
      <c r="J1386" s="8" t="s">
        <v>713</v>
      </c>
      <c r="K1386" t="s">
        <v>210</v>
      </c>
      <c r="L1386" t="s">
        <v>688</v>
      </c>
      <c r="M1386" s="2">
        <f>VALUE(MID(L1386,1,FIND("@",L1386)-6))</f>
        <v>118</v>
      </c>
      <c r="N1386">
        <v>5</v>
      </c>
      <c r="O1386" t="str">
        <f>IF(datos_limpios[[#This Row],[Seating Capacity ]]&gt;4,"SI","NO")</f>
        <v>SI</v>
      </c>
      <c r="P1386">
        <v>48</v>
      </c>
    </row>
    <row r="1387" spans="1:16" x14ac:dyDescent="0.3">
      <c r="A1387" s="8" t="s">
        <v>17</v>
      </c>
      <c r="B1387" s="8" t="s">
        <v>56</v>
      </c>
      <c r="C1387" s="9">
        <v>1388</v>
      </c>
      <c r="D1387" s="3">
        <v>1075000</v>
      </c>
      <c r="E1387" s="1">
        <f>datos_limpios[[#This Row],[Price INR   ]]*0.011</f>
        <v>11825</v>
      </c>
      <c r="F1387" s="13">
        <v>2019</v>
      </c>
      <c r="G1387" s="2">
        <v>30672</v>
      </c>
      <c r="H1387" s="8" t="s">
        <v>12</v>
      </c>
      <c r="I1387" s="8" t="s">
        <v>40</v>
      </c>
      <c r="J1387" s="8" t="s">
        <v>57</v>
      </c>
      <c r="K1387" t="s">
        <v>58</v>
      </c>
      <c r="L1387" t="s">
        <v>59</v>
      </c>
      <c r="M1387" s="2">
        <f>VALUE(MID(L1387,1,FIND("@",L1387)-6))</f>
        <v>103</v>
      </c>
      <c r="N1387">
        <v>5</v>
      </c>
      <c r="O1387" t="str">
        <f>IF(datos_limpios[[#This Row],[Seating Capacity ]]&gt;4,"SI","NO")</f>
        <v>SI</v>
      </c>
      <c r="P1387">
        <v>43</v>
      </c>
    </row>
    <row r="1388" spans="1:16" x14ac:dyDescent="0.3">
      <c r="A1388" s="8" t="s">
        <v>17</v>
      </c>
      <c r="B1388" s="8" t="s">
        <v>784</v>
      </c>
      <c r="C1388" s="9">
        <v>1389</v>
      </c>
      <c r="D1388" s="3">
        <v>1080000</v>
      </c>
      <c r="E1388" s="1">
        <f>datos_limpios[[#This Row],[Price INR   ]]*0.011</f>
        <v>11880</v>
      </c>
      <c r="F1388" s="13">
        <v>2021</v>
      </c>
      <c r="G1388" s="2">
        <v>38000</v>
      </c>
      <c r="H1388" s="8" t="s">
        <v>89</v>
      </c>
      <c r="I1388" s="8" t="s">
        <v>13</v>
      </c>
      <c r="J1388" s="8" t="s">
        <v>20</v>
      </c>
      <c r="K1388" t="s">
        <v>36</v>
      </c>
      <c r="L1388" t="s">
        <v>785</v>
      </c>
      <c r="M1388" s="2">
        <f>VALUE(MID(L1388,1,FIND("@",L1388)-6))</f>
        <v>94</v>
      </c>
      <c r="N1388">
        <v>7</v>
      </c>
      <c r="O1388" t="str">
        <f>IF(datos_limpios[[#This Row],[Seating Capacity ]]&gt;4,"SI","NO")</f>
        <v>SI</v>
      </c>
      <c r="P1388">
        <v>45</v>
      </c>
    </row>
    <row r="1389" spans="1:16" x14ac:dyDescent="0.3">
      <c r="A1389" s="8" t="s">
        <v>17</v>
      </c>
      <c r="B1389" s="8" t="s">
        <v>1105</v>
      </c>
      <c r="C1389" s="9">
        <v>1390</v>
      </c>
      <c r="D1389" s="3">
        <v>1190000</v>
      </c>
      <c r="E1389" s="1">
        <f>datos_limpios[[#This Row],[Price INR   ]]*0.011</f>
        <v>13090</v>
      </c>
      <c r="F1389" s="13">
        <v>2020</v>
      </c>
      <c r="G1389" s="2">
        <v>47248</v>
      </c>
      <c r="H1389" s="8" t="s">
        <v>12</v>
      </c>
      <c r="I1389" s="8" t="s">
        <v>40</v>
      </c>
      <c r="J1389" s="8" t="s">
        <v>57</v>
      </c>
      <c r="K1389" t="s">
        <v>58</v>
      </c>
      <c r="L1389" t="s">
        <v>59</v>
      </c>
      <c r="M1389" s="2">
        <f>VALUE(MID(L1389,1,FIND("@",L1389)-6))</f>
        <v>103</v>
      </c>
      <c r="N1389">
        <v>6</v>
      </c>
      <c r="O1389" t="str">
        <f>IF(datos_limpios[[#This Row],[Seating Capacity ]]&gt;4,"SI","NO")</f>
        <v>SI</v>
      </c>
      <c r="P1389">
        <v>45</v>
      </c>
    </row>
    <row r="1390" spans="1:16" x14ac:dyDescent="0.3">
      <c r="A1390" s="8" t="s">
        <v>17</v>
      </c>
      <c r="B1390" s="8" t="s">
        <v>762</v>
      </c>
      <c r="C1390" s="9">
        <v>1391</v>
      </c>
      <c r="D1390" s="3">
        <v>1225000</v>
      </c>
      <c r="E1390" s="1">
        <f>datos_limpios[[#This Row],[Price INR   ]]*0.011</f>
        <v>13475</v>
      </c>
      <c r="F1390" s="13">
        <v>2022</v>
      </c>
      <c r="G1390" s="2">
        <v>16000</v>
      </c>
      <c r="H1390" s="8" t="s">
        <v>12</v>
      </c>
      <c r="I1390" s="8" t="s">
        <v>13</v>
      </c>
      <c r="J1390" s="8" t="s">
        <v>14</v>
      </c>
      <c r="K1390" t="s">
        <v>58</v>
      </c>
      <c r="L1390" t="s">
        <v>59</v>
      </c>
      <c r="M1390" s="2">
        <f>VALUE(MID(L1390,1,FIND("@",L1390)-6))</f>
        <v>103</v>
      </c>
      <c r="N1390">
        <v>6</v>
      </c>
      <c r="O1390" t="str">
        <f>IF(datos_limpios[[#This Row],[Seating Capacity ]]&gt;4,"SI","NO")</f>
        <v>SI</v>
      </c>
      <c r="P1390">
        <v>45</v>
      </c>
    </row>
    <row r="1391" spans="1:16" x14ac:dyDescent="0.3">
      <c r="A1391" s="8" t="s">
        <v>17</v>
      </c>
      <c r="B1391" s="8" t="s">
        <v>1275</v>
      </c>
      <c r="C1391" s="9">
        <v>1392</v>
      </c>
      <c r="D1391" s="3">
        <v>1225000</v>
      </c>
      <c r="E1391" s="1">
        <f>datos_limpios[[#This Row],[Price INR   ]]*0.011</f>
        <v>13475</v>
      </c>
      <c r="F1391" s="13">
        <v>2021</v>
      </c>
      <c r="G1391" s="2">
        <v>23000</v>
      </c>
      <c r="H1391" s="8" t="s">
        <v>12</v>
      </c>
      <c r="I1391" s="8" t="s">
        <v>13</v>
      </c>
      <c r="J1391" s="8" t="s">
        <v>20</v>
      </c>
      <c r="K1391" t="s">
        <v>58</v>
      </c>
      <c r="L1391" t="s">
        <v>59</v>
      </c>
      <c r="M1391" s="2">
        <f>VALUE(MID(L1391,1,FIND("@",L1391)-6))</f>
        <v>103</v>
      </c>
      <c r="N1391">
        <v>7</v>
      </c>
      <c r="O1391" t="str">
        <f>IF(datos_limpios[[#This Row],[Seating Capacity ]]&gt;4,"SI","NO")</f>
        <v>SI</v>
      </c>
      <c r="P1391">
        <v>45</v>
      </c>
    </row>
    <row r="1392" spans="1:16" x14ac:dyDescent="0.3">
      <c r="A1392" s="8" t="s">
        <v>17</v>
      </c>
      <c r="B1392" s="8" t="s">
        <v>762</v>
      </c>
      <c r="C1392" s="9">
        <v>1393</v>
      </c>
      <c r="D1392" s="3">
        <v>1245000</v>
      </c>
      <c r="E1392" s="1">
        <f>datos_limpios[[#This Row],[Price INR   ]]*0.011</f>
        <v>13695</v>
      </c>
      <c r="F1392" s="13">
        <v>2021</v>
      </c>
      <c r="G1392" s="2">
        <v>7239</v>
      </c>
      <c r="H1392" s="8" t="s">
        <v>12</v>
      </c>
      <c r="I1392" s="8" t="s">
        <v>13</v>
      </c>
      <c r="J1392" s="8" t="s">
        <v>20</v>
      </c>
      <c r="K1392" t="s">
        <v>58</v>
      </c>
      <c r="L1392" t="s">
        <v>59</v>
      </c>
      <c r="M1392" s="2">
        <f>VALUE(MID(L1392,1,FIND("@",L1392)-6))</f>
        <v>103</v>
      </c>
      <c r="N1392">
        <v>6</v>
      </c>
      <c r="O1392" t="str">
        <f>IF(datos_limpios[[#This Row],[Seating Capacity ]]&gt;4,"SI","NO")</f>
        <v>SI</v>
      </c>
      <c r="P1392">
        <v>45</v>
      </c>
    </row>
    <row r="1393" spans="1:16" x14ac:dyDescent="0.3">
      <c r="A1393" s="8" t="s">
        <v>17</v>
      </c>
      <c r="B1393" s="8" t="s">
        <v>622</v>
      </c>
      <c r="C1393" s="9">
        <v>1394</v>
      </c>
      <c r="D1393" s="3">
        <v>1299000</v>
      </c>
      <c r="E1393" s="1">
        <f>datos_limpios[[#This Row],[Price INR   ]]*0.011</f>
        <v>14289</v>
      </c>
      <c r="F1393" s="13">
        <v>2021</v>
      </c>
      <c r="G1393" s="2">
        <v>13400</v>
      </c>
      <c r="H1393" s="8" t="s">
        <v>12</v>
      </c>
      <c r="I1393" s="8" t="s">
        <v>13</v>
      </c>
      <c r="J1393" s="8" t="s">
        <v>20</v>
      </c>
      <c r="K1393" t="s">
        <v>58</v>
      </c>
      <c r="L1393" t="s">
        <v>59</v>
      </c>
      <c r="M1393" s="2">
        <f>VALUE(MID(L1393,1,FIND("@",L1393)-6))</f>
        <v>103</v>
      </c>
      <c r="N1393">
        <v>6</v>
      </c>
      <c r="O1393" t="str">
        <f>IF(datos_limpios[[#This Row],[Seating Capacity ]]&gt;4,"SI","NO")</f>
        <v>SI</v>
      </c>
      <c r="P1393">
        <v>45</v>
      </c>
    </row>
    <row r="1394" spans="1:16" x14ac:dyDescent="0.3">
      <c r="A1394" s="8" t="s">
        <v>400</v>
      </c>
      <c r="B1394" s="8" t="s">
        <v>401</v>
      </c>
      <c r="C1394" s="9">
        <v>1395</v>
      </c>
      <c r="D1394" s="3">
        <v>9000000</v>
      </c>
      <c r="E1394" s="1">
        <f>datos_limpios[[#This Row],[Price INR   ]]*0.011</f>
        <v>99000</v>
      </c>
      <c r="F1394" s="13">
        <v>2017</v>
      </c>
      <c r="G1394" s="2">
        <v>40000</v>
      </c>
      <c r="H1394" s="8" t="s">
        <v>19</v>
      </c>
      <c r="I1394" s="8" t="s">
        <v>40</v>
      </c>
      <c r="J1394" s="8" t="s">
        <v>20</v>
      </c>
      <c r="K1394" t="s">
        <v>402</v>
      </c>
      <c r="L1394" t="s">
        <v>403</v>
      </c>
      <c r="M1394" s="2">
        <f>VALUE(MID(L1394,1,FIND("@",L1394)-6))</f>
        <v>275</v>
      </c>
      <c r="N1394">
        <v>5</v>
      </c>
      <c r="O1394" t="str">
        <f>IF(datos_limpios[[#This Row],[Seating Capacity ]]&gt;4,"SI","NO")</f>
        <v>SI</v>
      </c>
      <c r="P1394">
        <v>80</v>
      </c>
    </row>
    <row r="1395" spans="1:16" x14ac:dyDescent="0.3">
      <c r="A1395" s="8" t="s">
        <v>116</v>
      </c>
      <c r="B1395" s="8" t="s">
        <v>1426</v>
      </c>
      <c r="C1395" s="9">
        <v>1396</v>
      </c>
      <c r="D1395" s="3">
        <v>335000</v>
      </c>
      <c r="E1395" s="1">
        <f>datos_limpios[[#This Row],[Price INR   ]]*0.011</f>
        <v>3685</v>
      </c>
      <c r="F1395" s="13">
        <v>2008</v>
      </c>
      <c r="G1395" s="2">
        <v>140987</v>
      </c>
      <c r="H1395" s="8" t="s">
        <v>19</v>
      </c>
      <c r="I1395" s="8" t="s">
        <v>40</v>
      </c>
      <c r="J1395" s="8" t="s">
        <v>131</v>
      </c>
      <c r="K1395" t="s">
        <v>354</v>
      </c>
      <c r="L1395" t="s">
        <v>1513</v>
      </c>
      <c r="M1395" s="2">
        <f>VALUE(MID(L1395,1,FIND("@",L1395)-6))</f>
        <v>198</v>
      </c>
      <c r="N1395">
        <v>5</v>
      </c>
      <c r="O1395" t="str">
        <f>IF(datos_limpios[[#This Row],[Seating Capacity ]]&gt;4,"SI","NO")</f>
        <v>SI</v>
      </c>
      <c r="P1395">
        <v>80</v>
      </c>
    </row>
    <row r="1396" spans="1:16" x14ac:dyDescent="0.3">
      <c r="A1396" s="8" t="s">
        <v>116</v>
      </c>
      <c r="B1396" s="8" t="s">
        <v>1135</v>
      </c>
      <c r="C1396" s="9">
        <v>1397</v>
      </c>
      <c r="D1396" s="3">
        <v>495000</v>
      </c>
      <c r="E1396" s="1">
        <f>datos_limpios[[#This Row],[Price INR   ]]*0.011</f>
        <v>5445</v>
      </c>
      <c r="F1396" s="13">
        <v>2008</v>
      </c>
      <c r="G1396" s="2">
        <v>95200</v>
      </c>
      <c r="H1396" s="8" t="s">
        <v>19</v>
      </c>
      <c r="I1396" s="8" t="s">
        <v>40</v>
      </c>
      <c r="J1396" s="8" t="s">
        <v>14</v>
      </c>
      <c r="K1396" t="s">
        <v>853</v>
      </c>
      <c r="L1396" t="s">
        <v>1521</v>
      </c>
      <c r="M1396" s="2">
        <f>VALUE(MID(L1396,1,FIND("@",L1396)-6))</f>
        <v>170</v>
      </c>
      <c r="N1396">
        <v>5</v>
      </c>
      <c r="O1396" t="str">
        <f>IF(datos_limpios[[#This Row],[Seating Capacity ]]&gt;4,"SI","NO")</f>
        <v>SI</v>
      </c>
      <c r="P1396">
        <v>66</v>
      </c>
    </row>
    <row r="1397" spans="1:16" x14ac:dyDescent="0.3">
      <c r="A1397" s="8" t="s">
        <v>116</v>
      </c>
      <c r="B1397" s="8" t="s">
        <v>1233</v>
      </c>
      <c r="C1397" s="9">
        <v>1398</v>
      </c>
      <c r="D1397" s="3">
        <v>675000</v>
      </c>
      <c r="E1397" s="1">
        <f>datos_limpios[[#This Row],[Price INR   ]]*0.011</f>
        <v>7425</v>
      </c>
      <c r="F1397" s="13">
        <v>2011</v>
      </c>
      <c r="G1397" s="2">
        <v>97000</v>
      </c>
      <c r="H1397" s="8" t="s">
        <v>19</v>
      </c>
      <c r="I1397" s="8" t="s">
        <v>40</v>
      </c>
      <c r="J1397" s="8" t="s">
        <v>101</v>
      </c>
      <c r="K1397" t="s">
        <v>118</v>
      </c>
      <c r="L1397" t="s">
        <v>1490</v>
      </c>
      <c r="M1397" s="2">
        <f>VALUE(MID(L1397,1,FIND("@",L1397)-6))</f>
        <v>207</v>
      </c>
      <c r="N1397">
        <v>5</v>
      </c>
      <c r="O1397" t="str">
        <f>IF(datos_limpios[[#This Row],[Seating Capacity ]]&gt;4,"SI","NO")</f>
        <v>SI</v>
      </c>
      <c r="P1397">
        <v>66</v>
      </c>
    </row>
    <row r="1398" spans="1:16" x14ac:dyDescent="0.3">
      <c r="A1398" s="8" t="s">
        <v>116</v>
      </c>
      <c r="B1398" s="8" t="s">
        <v>909</v>
      </c>
      <c r="C1398" s="9">
        <v>1399</v>
      </c>
      <c r="D1398" s="3">
        <v>750000</v>
      </c>
      <c r="E1398" s="1">
        <f>datos_limpios[[#This Row],[Price INR   ]]*0.011</f>
        <v>8250</v>
      </c>
      <c r="F1398" s="13">
        <v>2007</v>
      </c>
      <c r="G1398" s="2">
        <v>102000</v>
      </c>
      <c r="H1398" s="8" t="s">
        <v>12</v>
      </c>
      <c r="I1398" s="8" t="s">
        <v>40</v>
      </c>
      <c r="J1398" s="8" t="s">
        <v>77</v>
      </c>
      <c r="K1398" t="s">
        <v>576</v>
      </c>
      <c r="L1398" t="s">
        <v>1529</v>
      </c>
      <c r="M1398" s="2">
        <f>VALUE(MID(L1398,1,FIND("@",L1398)-6))</f>
        <v>272</v>
      </c>
      <c r="N1398">
        <v>5</v>
      </c>
      <c r="O1398" t="str">
        <f>IF(datos_limpios[[#This Row],[Seating Capacity ]]&gt;4,"SI","NO")</f>
        <v>SI</v>
      </c>
      <c r="P1398">
        <v>90</v>
      </c>
    </row>
    <row r="1399" spans="1:16" x14ac:dyDescent="0.3">
      <c r="A1399" s="8" t="s">
        <v>116</v>
      </c>
      <c r="B1399" s="8" t="s">
        <v>418</v>
      </c>
      <c r="C1399" s="9">
        <v>1400</v>
      </c>
      <c r="D1399" s="3">
        <v>850000</v>
      </c>
      <c r="E1399" s="1">
        <f>datos_limpios[[#This Row],[Price INR   ]]*0.011</f>
        <v>9350</v>
      </c>
      <c r="F1399" s="13">
        <v>2011</v>
      </c>
      <c r="G1399" s="2">
        <v>85000</v>
      </c>
      <c r="H1399" s="8" t="s">
        <v>19</v>
      </c>
      <c r="I1399" s="8" t="s">
        <v>40</v>
      </c>
      <c r="J1399" s="8" t="s">
        <v>20</v>
      </c>
      <c r="K1399" t="s">
        <v>118</v>
      </c>
      <c r="L1399" t="s">
        <v>122</v>
      </c>
      <c r="M1399" s="2">
        <f>VALUE(MID(L1399,1,FIND("@",L1399)-6))</f>
        <v>203</v>
      </c>
      <c r="N1399">
        <v>5</v>
      </c>
      <c r="O1399" t="str">
        <f>IF(datos_limpios[[#This Row],[Seating Capacity ]]&gt;4,"SI","NO")</f>
        <v>SI</v>
      </c>
      <c r="P1399">
        <v>90</v>
      </c>
    </row>
    <row r="1400" spans="1:16" x14ac:dyDescent="0.3">
      <c r="A1400" s="8" t="s">
        <v>116</v>
      </c>
      <c r="B1400" s="8" t="s">
        <v>1431</v>
      </c>
      <c r="C1400" s="9">
        <v>1401</v>
      </c>
      <c r="D1400" s="3">
        <v>950000</v>
      </c>
      <c r="E1400" s="1">
        <f>datos_limpios[[#This Row],[Price INR   ]]*0.011</f>
        <v>10450</v>
      </c>
      <c r="F1400" s="13">
        <v>2011</v>
      </c>
      <c r="G1400" s="2">
        <v>65000</v>
      </c>
      <c r="H1400" s="8" t="s">
        <v>12</v>
      </c>
      <c r="I1400" s="8" t="s">
        <v>40</v>
      </c>
      <c r="J1400" s="8" t="s">
        <v>101</v>
      </c>
      <c r="K1400" t="s">
        <v>227</v>
      </c>
      <c r="L1400" t="s">
        <v>788</v>
      </c>
      <c r="M1400" s="2">
        <f>VALUE(MID(L1400,1,FIND("@",L1400)-6))</f>
        <v>184</v>
      </c>
      <c r="N1400">
        <v>5</v>
      </c>
      <c r="O1400" t="str">
        <f>IF(datos_limpios[[#This Row],[Seating Capacity ]]&gt;4,"SI","NO")</f>
        <v>SI</v>
      </c>
      <c r="P1400">
        <v>80</v>
      </c>
    </row>
    <row r="1401" spans="1:16" x14ac:dyDescent="0.3">
      <c r="A1401" s="8" t="s">
        <v>116</v>
      </c>
      <c r="B1401" s="8" t="s">
        <v>212</v>
      </c>
      <c r="C1401" s="9">
        <v>1402</v>
      </c>
      <c r="D1401" s="3">
        <v>975000</v>
      </c>
      <c r="E1401" s="1">
        <f>datos_limpios[[#This Row],[Price INR   ]]*0.011</f>
        <v>10725</v>
      </c>
      <c r="F1401" s="13">
        <v>2013</v>
      </c>
      <c r="G1401" s="2">
        <v>102000</v>
      </c>
      <c r="H1401" s="8" t="s">
        <v>19</v>
      </c>
      <c r="I1401" s="8" t="s">
        <v>40</v>
      </c>
      <c r="J1401" s="8" t="s">
        <v>20</v>
      </c>
      <c r="K1401" t="s">
        <v>118</v>
      </c>
      <c r="L1401" t="s">
        <v>213</v>
      </c>
      <c r="M1401" s="2">
        <f>VALUE(MID(L1401,1,FIND("@",L1401)-6))</f>
        <v>170</v>
      </c>
      <c r="N1401">
        <v>5</v>
      </c>
      <c r="O1401" t="str">
        <f>IF(datos_limpios[[#This Row],[Seating Capacity ]]&gt;4,"SI","NO")</f>
        <v>SI</v>
      </c>
      <c r="P1401">
        <v>66</v>
      </c>
    </row>
    <row r="1402" spans="1:16" x14ac:dyDescent="0.3">
      <c r="A1402" s="8" t="s">
        <v>116</v>
      </c>
      <c r="B1402" s="8" t="s">
        <v>595</v>
      </c>
      <c r="C1402" s="9">
        <v>1403</v>
      </c>
      <c r="D1402" s="3">
        <v>980000</v>
      </c>
      <c r="E1402" s="1">
        <f>datos_limpios[[#This Row],[Price INR   ]]*0.011</f>
        <v>10780</v>
      </c>
      <c r="F1402" s="13">
        <v>2011</v>
      </c>
      <c r="G1402" s="2">
        <v>78000</v>
      </c>
      <c r="H1402" s="8" t="s">
        <v>12</v>
      </c>
      <c r="I1402" s="8" t="s">
        <v>40</v>
      </c>
      <c r="J1402" s="8" t="s">
        <v>20</v>
      </c>
      <c r="K1402" t="s">
        <v>446</v>
      </c>
      <c r="L1402" t="s">
        <v>1497</v>
      </c>
      <c r="M1402" s="2">
        <f>VALUE(MID(L1402,1,FIND("@",L1402)-6))</f>
        <v>204</v>
      </c>
      <c r="N1402">
        <v>5</v>
      </c>
      <c r="O1402" t="str">
        <f>IF(datos_limpios[[#This Row],[Seating Capacity ]]&gt;4,"SI","NO")</f>
        <v>SI</v>
      </c>
      <c r="P1402">
        <v>80</v>
      </c>
    </row>
    <row r="1403" spans="1:16" x14ac:dyDescent="0.3">
      <c r="A1403" s="8" t="s">
        <v>116</v>
      </c>
      <c r="B1403" s="8" t="s">
        <v>203</v>
      </c>
      <c r="C1403" s="9">
        <v>1404</v>
      </c>
      <c r="D1403" s="3">
        <v>1100000</v>
      </c>
      <c r="E1403" s="1">
        <f>datos_limpios[[#This Row],[Price INR   ]]*0.011</f>
        <v>12100</v>
      </c>
      <c r="F1403" s="13">
        <v>2011</v>
      </c>
      <c r="G1403" s="2">
        <v>51500</v>
      </c>
      <c r="H1403" s="8" t="s">
        <v>19</v>
      </c>
      <c r="I1403" s="8" t="s">
        <v>40</v>
      </c>
      <c r="J1403" s="8" t="s">
        <v>101</v>
      </c>
      <c r="K1403" t="s">
        <v>118</v>
      </c>
      <c r="L1403" t="s">
        <v>1490</v>
      </c>
      <c r="M1403" s="2">
        <f>VALUE(MID(L1403,1,FIND("@",L1403)-6))</f>
        <v>207</v>
      </c>
      <c r="N1403">
        <v>5</v>
      </c>
      <c r="O1403" t="str">
        <f>IF(datos_limpios[[#This Row],[Seating Capacity ]]&gt;4,"SI","NO")</f>
        <v>SI</v>
      </c>
      <c r="P1403">
        <v>66</v>
      </c>
    </row>
    <row r="1404" spans="1:16" x14ac:dyDescent="0.3">
      <c r="A1404" s="8" t="s">
        <v>116</v>
      </c>
      <c r="B1404" s="8" t="s">
        <v>364</v>
      </c>
      <c r="C1404" s="9">
        <v>1405</v>
      </c>
      <c r="D1404" s="3">
        <v>1150000</v>
      </c>
      <c r="E1404" s="1">
        <f>datos_limpios[[#This Row],[Price INR   ]]*0.011</f>
        <v>12650</v>
      </c>
      <c r="F1404" s="13">
        <v>2010</v>
      </c>
      <c r="G1404" s="2">
        <v>120000</v>
      </c>
      <c r="H1404" s="8" t="s">
        <v>19</v>
      </c>
      <c r="I1404" s="8" t="s">
        <v>40</v>
      </c>
      <c r="J1404" s="8" t="s">
        <v>77</v>
      </c>
      <c r="K1404" t="s">
        <v>354</v>
      </c>
      <c r="L1404" t="s">
        <v>1532</v>
      </c>
      <c r="M1404" s="2">
        <f>VALUE(MID(L1404,1,FIND("@",L1404)-6))</f>
        <v>231</v>
      </c>
      <c r="N1404">
        <v>5</v>
      </c>
      <c r="O1404" t="str">
        <f>IF(datos_limpios[[#This Row],[Seating Capacity ]]&gt;4,"SI","NO")</f>
        <v>SI</v>
      </c>
      <c r="P1404">
        <v>80</v>
      </c>
    </row>
    <row r="1405" spans="1:16" x14ac:dyDescent="0.3">
      <c r="A1405" s="8" t="s">
        <v>116</v>
      </c>
      <c r="B1405" s="8" t="s">
        <v>1397</v>
      </c>
      <c r="C1405" s="9">
        <v>1406</v>
      </c>
      <c r="D1405" s="3">
        <v>1150000</v>
      </c>
      <c r="E1405" s="1">
        <f>datos_limpios[[#This Row],[Price INR   ]]*0.011</f>
        <v>12650</v>
      </c>
      <c r="F1405" s="13">
        <v>2013</v>
      </c>
      <c r="G1405" s="2">
        <v>52000</v>
      </c>
      <c r="H1405" s="8" t="s">
        <v>12</v>
      </c>
      <c r="I1405" s="8" t="s">
        <v>40</v>
      </c>
      <c r="J1405" s="8" t="s">
        <v>77</v>
      </c>
      <c r="K1405" t="s">
        <v>1192</v>
      </c>
      <c r="L1405" t="s">
        <v>1398</v>
      </c>
      <c r="M1405" s="2">
        <f>VALUE(MID(L1405,1,FIND("@",L1405)-6))</f>
        <v>120</v>
      </c>
      <c r="N1405">
        <v>5</v>
      </c>
      <c r="O1405" t="str">
        <f>IF(datos_limpios[[#This Row],[Seating Capacity ]]&gt;4,"SI","NO")</f>
        <v>SI</v>
      </c>
      <c r="P1405">
        <v>50</v>
      </c>
    </row>
    <row r="1406" spans="1:16" x14ac:dyDescent="0.3">
      <c r="A1406" s="8" t="s">
        <v>116</v>
      </c>
      <c r="B1406" s="8" t="s">
        <v>1432</v>
      </c>
      <c r="C1406" s="9">
        <v>1407</v>
      </c>
      <c r="D1406" s="3">
        <v>1150000</v>
      </c>
      <c r="E1406" s="1">
        <f>datos_limpios[[#This Row],[Price INR   ]]*0.011</f>
        <v>12650</v>
      </c>
      <c r="F1406" s="13">
        <v>2014</v>
      </c>
      <c r="G1406" s="2">
        <v>39000</v>
      </c>
      <c r="H1406" s="8" t="s">
        <v>12</v>
      </c>
      <c r="I1406" s="8" t="s">
        <v>40</v>
      </c>
      <c r="J1406" s="8" t="s">
        <v>20</v>
      </c>
      <c r="K1406" t="s">
        <v>1192</v>
      </c>
      <c r="L1406" t="s">
        <v>1398</v>
      </c>
      <c r="M1406" s="2">
        <f>VALUE(MID(L1406,1,FIND("@",L1406)-6))</f>
        <v>120</v>
      </c>
      <c r="N1406">
        <v>5</v>
      </c>
      <c r="O1406" t="str">
        <f>IF(datos_limpios[[#This Row],[Seating Capacity ]]&gt;4,"SI","NO")</f>
        <v>SI</v>
      </c>
      <c r="P1406">
        <v>50</v>
      </c>
    </row>
    <row r="1407" spans="1:16" x14ac:dyDescent="0.3">
      <c r="A1407" s="8" t="s">
        <v>116</v>
      </c>
      <c r="B1407" s="8" t="s">
        <v>212</v>
      </c>
      <c r="C1407" s="9">
        <v>1408</v>
      </c>
      <c r="D1407" s="3">
        <v>1250000</v>
      </c>
      <c r="E1407" s="1">
        <f>datos_limpios[[#This Row],[Price INR   ]]*0.011</f>
        <v>13750</v>
      </c>
      <c r="F1407" s="13">
        <v>2012</v>
      </c>
      <c r="G1407" s="2">
        <v>78000</v>
      </c>
      <c r="H1407" s="8" t="s">
        <v>19</v>
      </c>
      <c r="I1407" s="8" t="s">
        <v>40</v>
      </c>
      <c r="J1407" s="8" t="s">
        <v>20</v>
      </c>
      <c r="K1407" t="s">
        <v>118</v>
      </c>
      <c r="L1407" t="s">
        <v>213</v>
      </c>
      <c r="M1407" s="2">
        <f>VALUE(MID(L1407,1,FIND("@",L1407)-6))</f>
        <v>170</v>
      </c>
      <c r="N1407">
        <v>5</v>
      </c>
      <c r="O1407" t="str">
        <f>IF(datos_limpios[[#This Row],[Seating Capacity ]]&gt;4,"SI","NO")</f>
        <v>SI</v>
      </c>
      <c r="P1407">
        <v>66</v>
      </c>
    </row>
    <row r="1408" spans="1:16" x14ac:dyDescent="0.3">
      <c r="A1408" s="8" t="s">
        <v>116</v>
      </c>
      <c r="B1408" s="8" t="s">
        <v>855</v>
      </c>
      <c r="C1408" s="9">
        <v>1409</v>
      </c>
      <c r="D1408" s="3">
        <v>1275000</v>
      </c>
      <c r="E1408" s="1">
        <f>datos_limpios[[#This Row],[Price INR   ]]*0.011</f>
        <v>14025</v>
      </c>
      <c r="F1408" s="13">
        <v>2012</v>
      </c>
      <c r="G1408" s="2">
        <v>101000</v>
      </c>
      <c r="H1408" s="8" t="s">
        <v>19</v>
      </c>
      <c r="I1408" s="8" t="s">
        <v>40</v>
      </c>
      <c r="J1408" s="8" t="s">
        <v>82</v>
      </c>
      <c r="K1408" t="s">
        <v>118</v>
      </c>
      <c r="L1408" t="s">
        <v>856</v>
      </c>
      <c r="M1408" s="2">
        <f>VALUE(MID(L1408,1,FIND("@",L1408)-6))</f>
        <v>231</v>
      </c>
      <c r="N1408">
        <v>5</v>
      </c>
      <c r="O1408" t="str">
        <f>IF(datos_limpios[[#This Row],[Seating Capacity ]]&gt;4,"SI","NO")</f>
        <v>SI</v>
      </c>
      <c r="P1408">
        <v>80</v>
      </c>
    </row>
    <row r="1409" spans="1:16" x14ac:dyDescent="0.3">
      <c r="A1409" s="8" t="s">
        <v>116</v>
      </c>
      <c r="B1409" s="8" t="s">
        <v>362</v>
      </c>
      <c r="C1409" s="9">
        <v>1410</v>
      </c>
      <c r="D1409" s="3">
        <v>1300000</v>
      </c>
      <c r="E1409" s="1">
        <f>datos_limpios[[#This Row],[Price INR   ]]*0.011</f>
        <v>14300</v>
      </c>
      <c r="F1409" s="13">
        <v>2012</v>
      </c>
      <c r="G1409" s="2">
        <v>64800</v>
      </c>
      <c r="H1409" s="8" t="s">
        <v>12</v>
      </c>
      <c r="I1409" s="8" t="s">
        <v>40</v>
      </c>
      <c r="J1409" s="8" t="s">
        <v>77</v>
      </c>
      <c r="K1409" t="s">
        <v>130</v>
      </c>
      <c r="L1409" t="s">
        <v>363</v>
      </c>
      <c r="M1409" s="2">
        <f>VALUE(MID(L1409,1,FIND("@",L1409)-6))</f>
        <v>186</v>
      </c>
      <c r="N1409">
        <v>5</v>
      </c>
      <c r="O1409" t="str">
        <f>IF(datos_limpios[[#This Row],[Seating Capacity ]]&gt;4,"SI","NO")</f>
        <v>SI</v>
      </c>
      <c r="P1409">
        <v>66</v>
      </c>
    </row>
    <row r="1410" spans="1:16" x14ac:dyDescent="0.3">
      <c r="A1410" s="8" t="s">
        <v>116</v>
      </c>
      <c r="B1410" s="8" t="s">
        <v>999</v>
      </c>
      <c r="C1410" s="9">
        <v>1411</v>
      </c>
      <c r="D1410" s="3">
        <v>1300000</v>
      </c>
      <c r="E1410" s="1">
        <f>datos_limpios[[#This Row],[Price INR   ]]*0.011</f>
        <v>14300</v>
      </c>
      <c r="F1410" s="13">
        <v>1988</v>
      </c>
      <c r="G1410" s="2">
        <v>71000</v>
      </c>
      <c r="H1410" s="8" t="s">
        <v>12</v>
      </c>
      <c r="I1410" s="8" t="s">
        <v>40</v>
      </c>
      <c r="J1410" s="8" t="s">
        <v>30</v>
      </c>
      <c r="K1410" t="s">
        <v>227</v>
      </c>
      <c r="L1410" t="s">
        <v>320</v>
      </c>
      <c r="M1410" s="2">
        <f>VALUE(MID(L1410,1,FIND("@",L1410)-6))</f>
        <v>181</v>
      </c>
      <c r="N1410">
        <v>5</v>
      </c>
      <c r="O1410" t="str">
        <f>IF(datos_limpios[[#This Row],[Seating Capacity ]]&gt;4,"SI","NO")</f>
        <v>SI</v>
      </c>
      <c r="P1410">
        <v>80</v>
      </c>
    </row>
    <row r="1411" spans="1:16" x14ac:dyDescent="0.3">
      <c r="A1411" s="8" t="s">
        <v>116</v>
      </c>
      <c r="B1411" s="8" t="s">
        <v>364</v>
      </c>
      <c r="C1411" s="9">
        <v>1412</v>
      </c>
      <c r="D1411" s="3">
        <v>1350000</v>
      </c>
      <c r="E1411" s="1">
        <f>datos_limpios[[#This Row],[Price INR   ]]*0.011</f>
        <v>14850</v>
      </c>
      <c r="F1411" s="13">
        <v>2012</v>
      </c>
      <c r="G1411" s="2">
        <v>72000</v>
      </c>
      <c r="H1411" s="8" t="s">
        <v>19</v>
      </c>
      <c r="I1411" s="8" t="s">
        <v>40</v>
      </c>
      <c r="J1411" s="8" t="s">
        <v>20</v>
      </c>
      <c r="K1411" t="s">
        <v>354</v>
      </c>
      <c r="L1411" t="s">
        <v>1532</v>
      </c>
      <c r="M1411" s="2">
        <f>VALUE(MID(L1411,1,FIND("@",L1411)-6))</f>
        <v>231</v>
      </c>
      <c r="N1411">
        <v>5</v>
      </c>
      <c r="O1411" t="str">
        <f>IF(datos_limpios[[#This Row],[Seating Capacity ]]&gt;4,"SI","NO")</f>
        <v>SI</v>
      </c>
      <c r="P1411">
        <v>80</v>
      </c>
    </row>
    <row r="1412" spans="1:16" x14ac:dyDescent="0.3">
      <c r="A1412" s="8" t="s">
        <v>116</v>
      </c>
      <c r="B1412" s="8" t="s">
        <v>1191</v>
      </c>
      <c r="C1412" s="9">
        <v>1413</v>
      </c>
      <c r="D1412" s="3">
        <v>1350000</v>
      </c>
      <c r="E1412" s="1">
        <f>datos_limpios[[#This Row],[Price INR   ]]*0.011</f>
        <v>14850</v>
      </c>
      <c r="F1412" s="13">
        <v>2014</v>
      </c>
      <c r="G1412" s="2">
        <v>80000</v>
      </c>
      <c r="H1412" s="8" t="s">
        <v>12</v>
      </c>
      <c r="I1412" s="8" t="s">
        <v>40</v>
      </c>
      <c r="J1412" s="8" t="s">
        <v>20</v>
      </c>
      <c r="K1412" t="s">
        <v>1192</v>
      </c>
      <c r="L1412" t="s">
        <v>1193</v>
      </c>
      <c r="M1412" s="2">
        <f>VALUE(MID(L1412,1,FIND("@",L1412)-6))</f>
        <v>121</v>
      </c>
      <c r="N1412">
        <v>4</v>
      </c>
      <c r="O1412" t="str">
        <f>IF(datos_limpios[[#This Row],[Seating Capacity ]]&gt;4,"SI","NO")</f>
        <v>NO</v>
      </c>
      <c r="P1412">
        <v>50</v>
      </c>
    </row>
    <row r="1413" spans="1:16" x14ac:dyDescent="0.3">
      <c r="A1413" s="8" t="s">
        <v>116</v>
      </c>
      <c r="B1413" s="8" t="s">
        <v>212</v>
      </c>
      <c r="C1413" s="9">
        <v>1414</v>
      </c>
      <c r="D1413" s="3">
        <v>1450000</v>
      </c>
      <c r="E1413" s="1">
        <f>datos_limpios[[#This Row],[Price INR   ]]*0.011</f>
        <v>15949.999999999998</v>
      </c>
      <c r="F1413" s="13">
        <v>2014</v>
      </c>
      <c r="G1413" s="2">
        <v>45000</v>
      </c>
      <c r="H1413" s="8" t="s">
        <v>19</v>
      </c>
      <c r="I1413" s="8" t="s">
        <v>40</v>
      </c>
      <c r="J1413" s="8" t="s">
        <v>20</v>
      </c>
      <c r="K1413" t="s">
        <v>118</v>
      </c>
      <c r="L1413" t="s">
        <v>213</v>
      </c>
      <c r="M1413" s="2">
        <f>VALUE(MID(L1413,1,FIND("@",L1413)-6))</f>
        <v>170</v>
      </c>
      <c r="N1413">
        <v>5</v>
      </c>
      <c r="O1413" t="str">
        <f>IF(datos_limpios[[#This Row],[Seating Capacity ]]&gt;4,"SI","NO")</f>
        <v>SI</v>
      </c>
      <c r="P1413">
        <v>66</v>
      </c>
    </row>
    <row r="1414" spans="1:16" x14ac:dyDescent="0.3">
      <c r="A1414" s="8" t="s">
        <v>116</v>
      </c>
      <c r="B1414" s="8" t="s">
        <v>1347</v>
      </c>
      <c r="C1414" s="9">
        <v>1415</v>
      </c>
      <c r="D1414" s="3">
        <v>1495000</v>
      </c>
      <c r="E1414" s="1">
        <f>datos_limpios[[#This Row],[Price INR   ]]*0.011</f>
        <v>16445</v>
      </c>
      <c r="F1414" s="13">
        <v>2011</v>
      </c>
      <c r="G1414" s="2">
        <v>72100</v>
      </c>
      <c r="H1414" s="8" t="s">
        <v>19</v>
      </c>
      <c r="I1414" s="8" t="s">
        <v>40</v>
      </c>
      <c r="J1414" s="8" t="s">
        <v>30</v>
      </c>
      <c r="K1414" t="s">
        <v>354</v>
      </c>
      <c r="L1414" t="s">
        <v>1348</v>
      </c>
      <c r="M1414" s="2">
        <f>VALUE(MID(L1414,1,FIND("@",L1414)-6))</f>
        <v>235</v>
      </c>
      <c r="N1414">
        <v>5</v>
      </c>
      <c r="O1414" t="str">
        <f>IF(datos_limpios[[#This Row],[Seating Capacity ]]&gt;4,"SI","NO")</f>
        <v>SI</v>
      </c>
      <c r="P1414">
        <v>90</v>
      </c>
    </row>
    <row r="1415" spans="1:16" x14ac:dyDescent="0.3">
      <c r="A1415" s="8" t="s">
        <v>116</v>
      </c>
      <c r="B1415" s="8" t="s">
        <v>909</v>
      </c>
      <c r="C1415" s="9">
        <v>1416</v>
      </c>
      <c r="D1415" s="3">
        <v>1500000</v>
      </c>
      <c r="E1415" s="1">
        <f>datos_limpios[[#This Row],[Price INR   ]]*0.011</f>
        <v>16500</v>
      </c>
      <c r="F1415" s="13">
        <v>2009</v>
      </c>
      <c r="G1415" s="2">
        <v>75000</v>
      </c>
      <c r="H1415" s="8" t="s">
        <v>12</v>
      </c>
      <c r="I1415" s="8" t="s">
        <v>40</v>
      </c>
      <c r="J1415" s="8" t="s">
        <v>30</v>
      </c>
      <c r="K1415" t="s">
        <v>576</v>
      </c>
      <c r="L1415" t="s">
        <v>1529</v>
      </c>
      <c r="M1415" s="2">
        <f>VALUE(MID(L1415,1,FIND("@",L1415)-6))</f>
        <v>272</v>
      </c>
      <c r="N1415">
        <v>5</v>
      </c>
      <c r="O1415" t="str">
        <f>IF(datos_limpios[[#This Row],[Seating Capacity ]]&gt;4,"SI","NO")</f>
        <v>SI</v>
      </c>
      <c r="P1415">
        <v>90</v>
      </c>
    </row>
    <row r="1416" spans="1:16" x14ac:dyDescent="0.3">
      <c r="A1416" s="8" t="s">
        <v>116</v>
      </c>
      <c r="B1416" s="8" t="s">
        <v>212</v>
      </c>
      <c r="C1416" s="9">
        <v>1417</v>
      </c>
      <c r="D1416" s="3">
        <v>1650000</v>
      </c>
      <c r="E1416" s="1">
        <f>datos_limpios[[#This Row],[Price INR   ]]*0.011</f>
        <v>18150</v>
      </c>
      <c r="F1416" s="13">
        <v>2013</v>
      </c>
      <c r="G1416" s="2">
        <v>58000</v>
      </c>
      <c r="H1416" s="8" t="s">
        <v>19</v>
      </c>
      <c r="I1416" s="8" t="s">
        <v>40</v>
      </c>
      <c r="J1416" s="8" t="s">
        <v>77</v>
      </c>
      <c r="K1416" t="s">
        <v>118</v>
      </c>
      <c r="L1416" t="s">
        <v>213</v>
      </c>
      <c r="M1416" s="2">
        <f>VALUE(MID(L1416,1,FIND("@",L1416)-6))</f>
        <v>170</v>
      </c>
      <c r="N1416">
        <v>5</v>
      </c>
      <c r="O1416" t="str">
        <f>IF(datos_limpios[[#This Row],[Seating Capacity ]]&gt;4,"SI","NO")</f>
        <v>SI</v>
      </c>
      <c r="P1416">
        <v>66</v>
      </c>
    </row>
    <row r="1417" spans="1:16" x14ac:dyDescent="0.3">
      <c r="A1417" s="8" t="s">
        <v>116</v>
      </c>
      <c r="B1417" s="8" t="s">
        <v>331</v>
      </c>
      <c r="C1417" s="9">
        <v>1418</v>
      </c>
      <c r="D1417" s="3">
        <v>1650000</v>
      </c>
      <c r="E1417" s="1">
        <f>datos_limpios[[#This Row],[Price INR   ]]*0.011</f>
        <v>18150</v>
      </c>
      <c r="F1417" s="13">
        <v>2015</v>
      </c>
      <c r="G1417" s="2">
        <v>75000</v>
      </c>
      <c r="H1417" s="8" t="s">
        <v>19</v>
      </c>
      <c r="I1417" s="8" t="s">
        <v>40</v>
      </c>
      <c r="J1417" s="8" t="s">
        <v>20</v>
      </c>
      <c r="K1417" t="s">
        <v>118</v>
      </c>
      <c r="L1417" t="s">
        <v>332</v>
      </c>
      <c r="M1417" s="2">
        <f>VALUE(MID(L1417,1,FIND("@",L1417)-6))</f>
        <v>134</v>
      </c>
      <c r="N1417">
        <v>5</v>
      </c>
      <c r="O1417" t="str">
        <f>IF(datos_limpios[[#This Row],[Seating Capacity ]]&gt;4,"SI","NO")</f>
        <v>SI</v>
      </c>
      <c r="P1417">
        <v>50</v>
      </c>
    </row>
    <row r="1418" spans="1:16" x14ac:dyDescent="0.3">
      <c r="A1418" s="8" t="s">
        <v>116</v>
      </c>
      <c r="B1418" s="8" t="s">
        <v>721</v>
      </c>
      <c r="C1418" s="9">
        <v>1419</v>
      </c>
      <c r="D1418" s="3">
        <v>1650000</v>
      </c>
      <c r="E1418" s="1">
        <f>datos_limpios[[#This Row],[Price INR   ]]*0.011</f>
        <v>18150</v>
      </c>
      <c r="F1418" s="13">
        <v>2012</v>
      </c>
      <c r="G1418" s="2">
        <v>44000</v>
      </c>
      <c r="H1418" s="8" t="s">
        <v>12</v>
      </c>
      <c r="I1418" s="8" t="s">
        <v>40</v>
      </c>
      <c r="J1418" s="8" t="s">
        <v>77</v>
      </c>
      <c r="K1418" t="s">
        <v>722</v>
      </c>
      <c r="L1418" t="s">
        <v>723</v>
      </c>
      <c r="M1418" s="2">
        <f>VALUE(MID(L1418,1,FIND("@",L1418)-6))</f>
        <v>368</v>
      </c>
      <c r="N1418">
        <v>5</v>
      </c>
      <c r="O1418" t="str">
        <f>IF(datos_limpios[[#This Row],[Seating Capacity ]]&gt;4,"SI","NO")</f>
        <v>SI</v>
      </c>
      <c r="P1418">
        <v>90</v>
      </c>
    </row>
    <row r="1419" spans="1:16" x14ac:dyDescent="0.3">
      <c r="A1419" s="8" t="s">
        <v>116</v>
      </c>
      <c r="B1419" s="8" t="s">
        <v>1242</v>
      </c>
      <c r="C1419" s="9">
        <v>1420</v>
      </c>
      <c r="D1419" s="3">
        <v>1650000</v>
      </c>
      <c r="E1419" s="1">
        <f>datos_limpios[[#This Row],[Price INR   ]]*0.011</f>
        <v>18150</v>
      </c>
      <c r="F1419" s="13">
        <v>2014</v>
      </c>
      <c r="G1419" s="2">
        <v>53089</v>
      </c>
      <c r="H1419" s="8" t="s">
        <v>12</v>
      </c>
      <c r="I1419" s="8" t="s">
        <v>40</v>
      </c>
      <c r="J1419" s="8" t="s">
        <v>77</v>
      </c>
      <c r="K1419" t="s">
        <v>130</v>
      </c>
      <c r="L1419" t="s">
        <v>363</v>
      </c>
      <c r="M1419" s="2">
        <f>VALUE(MID(L1419,1,FIND("@",L1419)-6))</f>
        <v>186</v>
      </c>
      <c r="N1419">
        <v>5</v>
      </c>
      <c r="O1419" t="str">
        <f>IF(datos_limpios[[#This Row],[Seating Capacity ]]&gt;4,"SI","NO")</f>
        <v>SI</v>
      </c>
      <c r="P1419">
        <v>80</v>
      </c>
    </row>
    <row r="1420" spans="1:16" x14ac:dyDescent="0.3">
      <c r="A1420" s="8" t="s">
        <v>116</v>
      </c>
      <c r="B1420" s="8" t="s">
        <v>975</v>
      </c>
      <c r="C1420" s="9">
        <v>1421</v>
      </c>
      <c r="D1420" s="3">
        <v>1691000</v>
      </c>
      <c r="E1420" s="1">
        <f>datos_limpios[[#This Row],[Price INR   ]]*0.011</f>
        <v>18601</v>
      </c>
      <c r="F1420" s="13">
        <v>2015</v>
      </c>
      <c r="G1420" s="2">
        <v>45000</v>
      </c>
      <c r="H1420" s="8" t="s">
        <v>12</v>
      </c>
      <c r="I1420" s="8" t="s">
        <v>40</v>
      </c>
      <c r="J1420" s="8" t="s">
        <v>20</v>
      </c>
      <c r="K1420" t="s">
        <v>227</v>
      </c>
      <c r="L1420" t="s">
        <v>320</v>
      </c>
      <c r="M1420" s="2">
        <f>VALUE(MID(L1420,1,FIND("@",L1420)-6))</f>
        <v>181</v>
      </c>
      <c r="N1420">
        <v>5</v>
      </c>
      <c r="O1420" t="str">
        <f>IF(datos_limpios[[#This Row],[Seating Capacity ]]&gt;4,"SI","NO")</f>
        <v>SI</v>
      </c>
      <c r="P1420">
        <v>50</v>
      </c>
    </row>
    <row r="1421" spans="1:16" x14ac:dyDescent="0.3">
      <c r="A1421" s="8" t="s">
        <v>116</v>
      </c>
      <c r="B1421" s="8" t="s">
        <v>864</v>
      </c>
      <c r="C1421" s="9">
        <v>1422</v>
      </c>
      <c r="D1421" s="3">
        <v>1750000</v>
      </c>
      <c r="E1421" s="1">
        <f>datos_limpios[[#This Row],[Price INR   ]]*0.011</f>
        <v>19250</v>
      </c>
      <c r="F1421" s="13">
        <v>2014</v>
      </c>
      <c r="G1421" s="2">
        <v>59000</v>
      </c>
      <c r="H1421" s="8" t="s">
        <v>19</v>
      </c>
      <c r="I1421" s="8" t="s">
        <v>40</v>
      </c>
      <c r="J1421" s="8" t="s">
        <v>82</v>
      </c>
      <c r="K1421" t="s">
        <v>118</v>
      </c>
      <c r="L1421" t="s">
        <v>243</v>
      </c>
      <c r="M1421" s="2">
        <f>VALUE(MID(L1421,1,FIND("@",L1421)-6))</f>
        <v>204</v>
      </c>
      <c r="N1421">
        <v>5</v>
      </c>
      <c r="O1421" t="str">
        <f>IF(datos_limpios[[#This Row],[Seating Capacity ]]&gt;4,"SI","NO")</f>
        <v>SI</v>
      </c>
      <c r="P1421">
        <v>80</v>
      </c>
    </row>
    <row r="1422" spans="1:16" x14ac:dyDescent="0.3">
      <c r="A1422" s="8" t="s">
        <v>116</v>
      </c>
      <c r="B1422" s="8" t="s">
        <v>1149</v>
      </c>
      <c r="C1422" s="9">
        <v>1423</v>
      </c>
      <c r="D1422" s="3">
        <v>1750000</v>
      </c>
      <c r="E1422" s="1">
        <f>datos_limpios[[#This Row],[Price INR   ]]*0.011</f>
        <v>19250</v>
      </c>
      <c r="F1422" s="13">
        <v>2015</v>
      </c>
      <c r="G1422" s="2">
        <v>99000</v>
      </c>
      <c r="H1422" s="8" t="s">
        <v>19</v>
      </c>
      <c r="I1422" s="8" t="s">
        <v>40</v>
      </c>
      <c r="J1422" s="8" t="s">
        <v>20</v>
      </c>
      <c r="K1422" t="s">
        <v>118</v>
      </c>
      <c r="L1422" t="s">
        <v>332</v>
      </c>
      <c r="M1422" s="2">
        <f>VALUE(MID(L1422,1,FIND("@",L1422)-6))</f>
        <v>134</v>
      </c>
      <c r="N1422">
        <v>5</v>
      </c>
      <c r="O1422" t="str">
        <f>IF(datos_limpios[[#This Row],[Seating Capacity ]]&gt;4,"SI","NO")</f>
        <v>SI</v>
      </c>
      <c r="P1422">
        <v>50</v>
      </c>
    </row>
    <row r="1423" spans="1:16" x14ac:dyDescent="0.3">
      <c r="A1423" s="8" t="s">
        <v>116</v>
      </c>
      <c r="B1423" s="8" t="s">
        <v>331</v>
      </c>
      <c r="C1423" s="9">
        <v>1424</v>
      </c>
      <c r="D1423" s="3">
        <v>1789999</v>
      </c>
      <c r="E1423" s="1">
        <f>datos_limpios[[#This Row],[Price INR   ]]*0.011</f>
        <v>19689.988999999998</v>
      </c>
      <c r="F1423" s="13">
        <v>2015</v>
      </c>
      <c r="G1423" s="2">
        <v>45000</v>
      </c>
      <c r="H1423" s="8" t="s">
        <v>19</v>
      </c>
      <c r="I1423" s="8" t="s">
        <v>40</v>
      </c>
      <c r="J1423" s="8" t="s">
        <v>20</v>
      </c>
      <c r="K1423" t="s">
        <v>118</v>
      </c>
      <c r="L1423" t="s">
        <v>332</v>
      </c>
      <c r="M1423" s="2">
        <f>VALUE(MID(L1423,1,FIND("@",L1423)-6))</f>
        <v>134</v>
      </c>
      <c r="N1423">
        <v>5</v>
      </c>
      <c r="O1423" t="str">
        <f>IF(datos_limpios[[#This Row],[Seating Capacity ]]&gt;4,"SI","NO")</f>
        <v>SI</v>
      </c>
      <c r="P1423">
        <v>50</v>
      </c>
    </row>
    <row r="1424" spans="1:16" x14ac:dyDescent="0.3">
      <c r="A1424" s="8" t="s">
        <v>116</v>
      </c>
      <c r="B1424" s="8" t="s">
        <v>667</v>
      </c>
      <c r="C1424" s="9">
        <v>1425</v>
      </c>
      <c r="D1424" s="3">
        <v>1825000</v>
      </c>
      <c r="E1424" s="1">
        <f>datos_limpios[[#This Row],[Price INR   ]]*0.011</f>
        <v>20075</v>
      </c>
      <c r="F1424" s="13">
        <v>2016</v>
      </c>
      <c r="G1424" s="2">
        <v>58000</v>
      </c>
      <c r="H1424" s="8" t="s">
        <v>19</v>
      </c>
      <c r="I1424" s="8" t="s">
        <v>40</v>
      </c>
      <c r="J1424" s="8" t="s">
        <v>20</v>
      </c>
      <c r="K1424" t="s">
        <v>118</v>
      </c>
      <c r="L1424" t="s">
        <v>332</v>
      </c>
      <c r="M1424" s="2">
        <f>VALUE(MID(L1424,1,FIND("@",L1424)-6))</f>
        <v>134</v>
      </c>
      <c r="N1424">
        <v>5</v>
      </c>
      <c r="O1424" t="str">
        <f>IF(datos_limpios[[#This Row],[Seating Capacity ]]&gt;4,"SI","NO")</f>
        <v>SI</v>
      </c>
      <c r="P1424">
        <v>50</v>
      </c>
    </row>
    <row r="1425" spans="1:16" x14ac:dyDescent="0.3">
      <c r="A1425" s="8" t="s">
        <v>116</v>
      </c>
      <c r="B1425" s="8" t="s">
        <v>575</v>
      </c>
      <c r="C1425" s="9">
        <v>1426</v>
      </c>
      <c r="D1425" s="3">
        <v>1850000</v>
      </c>
      <c r="E1425" s="1">
        <f>datos_limpios[[#This Row],[Price INR   ]]*0.011</f>
        <v>20350</v>
      </c>
      <c r="F1425" s="13">
        <v>2011</v>
      </c>
      <c r="G1425" s="2">
        <v>26000</v>
      </c>
      <c r="H1425" s="8" t="s">
        <v>12</v>
      </c>
      <c r="I1425" s="8" t="s">
        <v>40</v>
      </c>
      <c r="J1425" s="8" t="s">
        <v>101</v>
      </c>
      <c r="K1425" t="s">
        <v>576</v>
      </c>
      <c r="L1425" t="s">
        <v>577</v>
      </c>
      <c r="M1425" s="2">
        <f>VALUE(MID(L1425,1,FIND("@",L1425)-6))</f>
        <v>272</v>
      </c>
      <c r="N1425">
        <v>5</v>
      </c>
      <c r="O1425" t="str">
        <f>IF(datos_limpios[[#This Row],[Seating Capacity ]]&gt;4,"SI","NO")</f>
        <v>SI</v>
      </c>
      <c r="P1425">
        <v>90</v>
      </c>
    </row>
    <row r="1426" spans="1:16" x14ac:dyDescent="0.3">
      <c r="A1426" s="8" t="s">
        <v>116</v>
      </c>
      <c r="B1426" s="8" t="s">
        <v>776</v>
      </c>
      <c r="C1426" s="9">
        <v>1427</v>
      </c>
      <c r="D1426" s="3">
        <v>1850000</v>
      </c>
      <c r="E1426" s="1">
        <f>datos_limpios[[#This Row],[Price INR   ]]*0.011</f>
        <v>20350</v>
      </c>
      <c r="F1426" s="13">
        <v>2016</v>
      </c>
      <c r="G1426" s="2">
        <v>37600</v>
      </c>
      <c r="H1426" s="8" t="s">
        <v>19</v>
      </c>
      <c r="I1426" s="8" t="s">
        <v>40</v>
      </c>
      <c r="J1426" s="8" t="s">
        <v>30</v>
      </c>
      <c r="K1426" t="s">
        <v>118</v>
      </c>
      <c r="L1426" t="s">
        <v>332</v>
      </c>
      <c r="M1426" s="2">
        <f>VALUE(MID(L1426,1,FIND("@",L1426)-6))</f>
        <v>134</v>
      </c>
      <c r="N1426">
        <v>4</v>
      </c>
      <c r="O1426" t="str">
        <f>IF(datos_limpios[[#This Row],[Seating Capacity ]]&gt;4,"SI","NO")</f>
        <v>NO</v>
      </c>
      <c r="P1426">
        <v>50</v>
      </c>
    </row>
    <row r="1427" spans="1:16" x14ac:dyDescent="0.3">
      <c r="A1427" s="8" t="s">
        <v>116</v>
      </c>
      <c r="B1427" s="8" t="s">
        <v>1330</v>
      </c>
      <c r="C1427" s="9">
        <v>1428</v>
      </c>
      <c r="D1427" s="3">
        <v>1875000</v>
      </c>
      <c r="E1427" s="1">
        <f>datos_limpios[[#This Row],[Price INR   ]]*0.011</f>
        <v>20625</v>
      </c>
      <c r="F1427" s="13">
        <v>2011</v>
      </c>
      <c r="G1427" s="2">
        <v>72000</v>
      </c>
      <c r="H1427" s="8" t="s">
        <v>12</v>
      </c>
      <c r="I1427" s="8" t="s">
        <v>40</v>
      </c>
      <c r="J1427" s="8" t="s">
        <v>77</v>
      </c>
      <c r="K1427" t="s">
        <v>307</v>
      </c>
      <c r="L1427" t="s">
        <v>308</v>
      </c>
      <c r="M1427" s="2">
        <f>VALUE(MID(L1427,1,FIND("@",L1427)-6))</f>
        <v>453</v>
      </c>
      <c r="N1427">
        <v>4</v>
      </c>
      <c r="O1427" t="str">
        <f>IF(datos_limpios[[#This Row],[Seating Capacity ]]&gt;4,"SI","NO")</f>
        <v>NO</v>
      </c>
      <c r="P1427">
        <v>80</v>
      </c>
    </row>
    <row r="1428" spans="1:16" x14ac:dyDescent="0.3">
      <c r="A1428" s="8" t="s">
        <v>116</v>
      </c>
      <c r="B1428" s="8" t="s">
        <v>611</v>
      </c>
      <c r="C1428" s="9">
        <v>1429</v>
      </c>
      <c r="D1428" s="3">
        <v>1998999</v>
      </c>
      <c r="E1428" s="1">
        <f>datos_limpios[[#This Row],[Price INR   ]]*0.011</f>
        <v>21988.988999999998</v>
      </c>
      <c r="F1428" s="13">
        <v>2017</v>
      </c>
      <c r="G1428" s="2">
        <v>39328</v>
      </c>
      <c r="H1428" s="8" t="s">
        <v>19</v>
      </c>
      <c r="I1428" s="8" t="s">
        <v>40</v>
      </c>
      <c r="J1428" s="8" t="s">
        <v>77</v>
      </c>
      <c r="K1428" t="s">
        <v>118</v>
      </c>
      <c r="L1428" t="s">
        <v>332</v>
      </c>
      <c r="M1428" s="2">
        <f>VALUE(MID(L1428,1,FIND("@",L1428)-6))</f>
        <v>134</v>
      </c>
      <c r="N1428">
        <v>5</v>
      </c>
      <c r="O1428" t="str">
        <f>IF(datos_limpios[[#This Row],[Seating Capacity ]]&gt;4,"SI","NO")</f>
        <v>SI</v>
      </c>
      <c r="P1428">
        <v>56</v>
      </c>
    </row>
    <row r="1429" spans="1:16" x14ac:dyDescent="0.3">
      <c r="A1429" s="8" t="s">
        <v>116</v>
      </c>
      <c r="B1429" s="8" t="s">
        <v>331</v>
      </c>
      <c r="C1429" s="9">
        <v>1430</v>
      </c>
      <c r="D1429" s="3">
        <v>2145000</v>
      </c>
      <c r="E1429" s="1">
        <f>datos_limpios[[#This Row],[Price INR   ]]*0.011</f>
        <v>23595</v>
      </c>
      <c r="F1429" s="13">
        <v>2016</v>
      </c>
      <c r="G1429" s="2">
        <v>55000</v>
      </c>
      <c r="H1429" s="8" t="s">
        <v>19</v>
      </c>
      <c r="I1429" s="8" t="s">
        <v>40</v>
      </c>
      <c r="J1429" s="8" t="s">
        <v>20</v>
      </c>
      <c r="K1429" t="s">
        <v>118</v>
      </c>
      <c r="L1429" t="s">
        <v>332</v>
      </c>
      <c r="M1429" s="2">
        <f>VALUE(MID(L1429,1,FIND("@",L1429)-6))</f>
        <v>134</v>
      </c>
      <c r="N1429">
        <v>5</v>
      </c>
      <c r="O1429" t="str">
        <f>IF(datos_limpios[[#This Row],[Seating Capacity ]]&gt;4,"SI","NO")</f>
        <v>SI</v>
      </c>
      <c r="P1429">
        <v>50</v>
      </c>
    </row>
    <row r="1430" spans="1:16" x14ac:dyDescent="0.3">
      <c r="A1430" s="8" t="s">
        <v>116</v>
      </c>
      <c r="B1430" s="8" t="s">
        <v>353</v>
      </c>
      <c r="C1430" s="9">
        <v>1431</v>
      </c>
      <c r="D1430" s="3">
        <v>2150000</v>
      </c>
      <c r="E1430" s="1">
        <f>datos_limpios[[#This Row],[Price INR   ]]*0.011</f>
        <v>23650</v>
      </c>
      <c r="F1430" s="13">
        <v>2014</v>
      </c>
      <c r="G1430" s="2">
        <v>81000</v>
      </c>
      <c r="H1430" s="8" t="s">
        <v>19</v>
      </c>
      <c r="I1430" s="8" t="s">
        <v>40</v>
      </c>
      <c r="J1430" s="8" t="s">
        <v>14</v>
      </c>
      <c r="K1430" t="s">
        <v>354</v>
      </c>
      <c r="L1430" t="s">
        <v>1522</v>
      </c>
      <c r="M1430" s="2">
        <f>VALUE(MID(L1430,1,FIND("@",L1430)-6))</f>
        <v>234</v>
      </c>
      <c r="N1430">
        <v>5</v>
      </c>
      <c r="O1430" t="str">
        <f>IF(datos_limpios[[#This Row],[Seating Capacity ]]&gt;4,"SI","NO")</f>
        <v>SI</v>
      </c>
      <c r="P1430">
        <v>95</v>
      </c>
    </row>
    <row r="1431" spans="1:16" x14ac:dyDescent="0.3">
      <c r="A1431" s="8" t="s">
        <v>116</v>
      </c>
      <c r="B1431" s="8" t="s">
        <v>319</v>
      </c>
      <c r="C1431" s="9">
        <v>1432</v>
      </c>
      <c r="D1431" s="3">
        <v>2225000</v>
      </c>
      <c r="E1431" s="1">
        <f>datos_limpios[[#This Row],[Price INR   ]]*0.011</f>
        <v>24475</v>
      </c>
      <c r="F1431" s="13">
        <v>2015</v>
      </c>
      <c r="G1431" s="2">
        <v>31000</v>
      </c>
      <c r="H1431" s="8" t="s">
        <v>12</v>
      </c>
      <c r="I1431" s="8" t="s">
        <v>40</v>
      </c>
      <c r="J1431" s="8" t="s">
        <v>57</v>
      </c>
      <c r="K1431" t="s">
        <v>227</v>
      </c>
      <c r="L1431" t="s">
        <v>320</v>
      </c>
      <c r="M1431" s="2">
        <f>VALUE(MID(L1431,1,FIND("@",L1431)-6))</f>
        <v>181</v>
      </c>
      <c r="N1431">
        <v>5</v>
      </c>
      <c r="O1431" t="str">
        <f>IF(datos_limpios[[#This Row],[Seating Capacity ]]&gt;4,"SI","NO")</f>
        <v>SI</v>
      </c>
      <c r="P1431">
        <v>66</v>
      </c>
    </row>
    <row r="1432" spans="1:16" x14ac:dyDescent="0.3">
      <c r="A1432" s="8" t="s">
        <v>116</v>
      </c>
      <c r="B1432" s="8" t="s">
        <v>242</v>
      </c>
      <c r="C1432" s="9">
        <v>1433</v>
      </c>
      <c r="D1432" s="3">
        <v>2250000</v>
      </c>
      <c r="E1432" s="1">
        <f>datos_limpios[[#This Row],[Price INR   ]]*0.011</f>
        <v>24750</v>
      </c>
      <c r="F1432" s="13">
        <v>2015</v>
      </c>
      <c r="G1432" s="2">
        <v>48000</v>
      </c>
      <c r="H1432" s="8" t="s">
        <v>19</v>
      </c>
      <c r="I1432" s="8" t="s">
        <v>40</v>
      </c>
      <c r="J1432" s="8" t="s">
        <v>20</v>
      </c>
      <c r="K1432" t="s">
        <v>118</v>
      </c>
      <c r="L1432" t="s">
        <v>243</v>
      </c>
      <c r="M1432" s="2">
        <f>VALUE(MID(L1432,1,FIND("@",L1432)-6))</f>
        <v>204</v>
      </c>
      <c r="N1432">
        <v>5</v>
      </c>
      <c r="O1432" t="str">
        <f>IF(datos_limpios[[#This Row],[Seating Capacity ]]&gt;4,"SI","NO")</f>
        <v>SI</v>
      </c>
      <c r="P1432">
        <v>80</v>
      </c>
    </row>
    <row r="1433" spans="1:16" x14ac:dyDescent="0.3">
      <c r="A1433" s="8" t="s">
        <v>116</v>
      </c>
      <c r="B1433" s="8" t="s">
        <v>975</v>
      </c>
      <c r="C1433" s="9">
        <v>1434</v>
      </c>
      <c r="D1433" s="3">
        <v>2250000</v>
      </c>
      <c r="E1433" s="1">
        <f>datos_limpios[[#This Row],[Price INR   ]]*0.011</f>
        <v>24750</v>
      </c>
      <c r="F1433" s="13">
        <v>2015</v>
      </c>
      <c r="G1433" s="2">
        <v>43200</v>
      </c>
      <c r="H1433" s="8" t="s">
        <v>12</v>
      </c>
      <c r="I1433" s="8" t="s">
        <v>40</v>
      </c>
      <c r="J1433" s="8" t="s">
        <v>77</v>
      </c>
      <c r="K1433" t="s">
        <v>227</v>
      </c>
      <c r="L1433" t="s">
        <v>320</v>
      </c>
      <c r="M1433" s="2">
        <f>VALUE(MID(L1433,1,FIND("@",L1433)-6))</f>
        <v>181</v>
      </c>
      <c r="N1433">
        <v>5</v>
      </c>
      <c r="O1433" t="str">
        <f>IF(datos_limpios[[#This Row],[Seating Capacity ]]&gt;4,"SI","NO")</f>
        <v>SI</v>
      </c>
      <c r="P1433">
        <v>50</v>
      </c>
    </row>
    <row r="1434" spans="1:16" x14ac:dyDescent="0.3">
      <c r="A1434" s="8" t="s">
        <v>116</v>
      </c>
      <c r="B1434" s="8" t="s">
        <v>121</v>
      </c>
      <c r="C1434" s="9">
        <v>1435</v>
      </c>
      <c r="D1434" s="3">
        <v>2250000</v>
      </c>
      <c r="E1434" s="1">
        <f>datos_limpios[[#This Row],[Price INR   ]]*0.011</f>
        <v>24750</v>
      </c>
      <c r="F1434" s="13">
        <v>2014</v>
      </c>
      <c r="G1434" s="2">
        <v>85000</v>
      </c>
      <c r="H1434" s="8" t="s">
        <v>19</v>
      </c>
      <c r="I1434" s="8" t="s">
        <v>40</v>
      </c>
      <c r="J1434" s="8" t="s">
        <v>20</v>
      </c>
      <c r="K1434" t="s">
        <v>118</v>
      </c>
      <c r="L1434" t="s">
        <v>122</v>
      </c>
      <c r="M1434" s="2">
        <f>VALUE(MID(L1434,1,FIND("@",L1434)-6))</f>
        <v>203</v>
      </c>
      <c r="N1434">
        <v>5</v>
      </c>
      <c r="O1434" t="str">
        <f>IF(datos_limpios[[#This Row],[Seating Capacity ]]&gt;4,"SI","NO")</f>
        <v>SI</v>
      </c>
      <c r="P1434">
        <v>70</v>
      </c>
    </row>
    <row r="1435" spans="1:16" x14ac:dyDescent="0.3">
      <c r="A1435" s="8" t="s">
        <v>116</v>
      </c>
      <c r="B1435" s="8" t="s">
        <v>1184</v>
      </c>
      <c r="C1435" s="9">
        <v>1436</v>
      </c>
      <c r="D1435" s="3">
        <v>2250000</v>
      </c>
      <c r="E1435" s="1">
        <f>datos_limpios[[#This Row],[Price INR   ]]*0.011</f>
        <v>24750</v>
      </c>
      <c r="F1435" s="13">
        <v>2016</v>
      </c>
      <c r="G1435" s="2">
        <v>79000</v>
      </c>
      <c r="H1435" s="8" t="s">
        <v>19</v>
      </c>
      <c r="I1435" s="8" t="s">
        <v>40</v>
      </c>
      <c r="J1435" s="8" t="s">
        <v>30</v>
      </c>
      <c r="K1435" t="s">
        <v>118</v>
      </c>
      <c r="L1435" t="s">
        <v>1185</v>
      </c>
      <c r="M1435" s="2">
        <f>VALUE(MID(L1435,1,FIND("@",L1435)-6))</f>
        <v>168</v>
      </c>
      <c r="N1435">
        <v>5</v>
      </c>
      <c r="O1435" t="str">
        <f>IF(datos_limpios[[#This Row],[Seating Capacity ]]&gt;4,"SI","NO")</f>
        <v>SI</v>
      </c>
      <c r="P1435">
        <v>50</v>
      </c>
    </row>
    <row r="1436" spans="1:16" x14ac:dyDescent="0.3">
      <c r="A1436" s="8" t="s">
        <v>116</v>
      </c>
      <c r="B1436" s="8" t="s">
        <v>667</v>
      </c>
      <c r="C1436" s="9">
        <v>1437</v>
      </c>
      <c r="D1436" s="3">
        <v>2275000</v>
      </c>
      <c r="E1436" s="1">
        <f>datos_limpios[[#This Row],[Price INR   ]]*0.011</f>
        <v>25025</v>
      </c>
      <c r="F1436" s="13">
        <v>2016</v>
      </c>
      <c r="G1436" s="2">
        <v>61109</v>
      </c>
      <c r="H1436" s="8" t="s">
        <v>19</v>
      </c>
      <c r="I1436" s="8" t="s">
        <v>40</v>
      </c>
      <c r="J1436" s="8" t="s">
        <v>82</v>
      </c>
      <c r="K1436" t="s">
        <v>118</v>
      </c>
      <c r="L1436" t="s">
        <v>332</v>
      </c>
      <c r="M1436" s="2">
        <f>VALUE(MID(L1436,1,FIND("@",L1436)-6))</f>
        <v>134</v>
      </c>
      <c r="N1436">
        <v>5</v>
      </c>
      <c r="O1436" t="str">
        <f>IF(datos_limpios[[#This Row],[Seating Capacity ]]&gt;4,"SI","NO")</f>
        <v>SI</v>
      </c>
      <c r="P1436">
        <v>50</v>
      </c>
    </row>
    <row r="1437" spans="1:16" x14ac:dyDescent="0.3">
      <c r="A1437" s="8" t="s">
        <v>116</v>
      </c>
      <c r="B1437" s="8" t="s">
        <v>121</v>
      </c>
      <c r="C1437" s="9">
        <v>1438</v>
      </c>
      <c r="D1437" s="3">
        <v>2300000</v>
      </c>
      <c r="E1437" s="1">
        <f>datos_limpios[[#This Row],[Price INR   ]]*0.011</f>
        <v>25300</v>
      </c>
      <c r="F1437" s="13">
        <v>2014</v>
      </c>
      <c r="G1437" s="2">
        <v>105101</v>
      </c>
      <c r="H1437" s="8" t="s">
        <v>19</v>
      </c>
      <c r="I1437" s="8" t="s">
        <v>40</v>
      </c>
      <c r="J1437" s="8" t="s">
        <v>20</v>
      </c>
      <c r="K1437" t="s">
        <v>118</v>
      </c>
      <c r="L1437" t="s">
        <v>122</v>
      </c>
      <c r="M1437" s="2">
        <f>VALUE(MID(L1437,1,FIND("@",L1437)-6))</f>
        <v>203</v>
      </c>
      <c r="N1437">
        <v>5</v>
      </c>
      <c r="O1437" t="str">
        <f>IF(datos_limpios[[#This Row],[Seating Capacity ]]&gt;4,"SI","NO")</f>
        <v>SI</v>
      </c>
      <c r="P1437">
        <v>70</v>
      </c>
    </row>
    <row r="1438" spans="1:16" x14ac:dyDescent="0.3">
      <c r="A1438" s="8" t="s">
        <v>116</v>
      </c>
      <c r="B1438" s="8" t="s">
        <v>319</v>
      </c>
      <c r="C1438" s="9">
        <v>1439</v>
      </c>
      <c r="D1438" s="3">
        <v>2385000</v>
      </c>
      <c r="E1438" s="1">
        <f>datos_limpios[[#This Row],[Price INR   ]]*0.011</f>
        <v>26235</v>
      </c>
      <c r="F1438" s="13">
        <v>2015</v>
      </c>
      <c r="G1438" s="2">
        <v>60921</v>
      </c>
      <c r="H1438" s="8" t="s">
        <v>12</v>
      </c>
      <c r="I1438" s="8" t="s">
        <v>40</v>
      </c>
      <c r="J1438" s="8" t="s">
        <v>101</v>
      </c>
      <c r="K1438" t="s">
        <v>227</v>
      </c>
      <c r="L1438" t="s">
        <v>320</v>
      </c>
      <c r="M1438" s="2">
        <f>VALUE(MID(L1438,1,FIND("@",L1438)-6))</f>
        <v>181</v>
      </c>
      <c r="N1438">
        <v>5</v>
      </c>
      <c r="O1438" t="str">
        <f>IF(datos_limpios[[#This Row],[Seating Capacity ]]&gt;4,"SI","NO")</f>
        <v>SI</v>
      </c>
      <c r="P1438">
        <v>66</v>
      </c>
    </row>
    <row r="1439" spans="1:16" x14ac:dyDescent="0.3">
      <c r="A1439" s="8" t="s">
        <v>116</v>
      </c>
      <c r="B1439" s="8" t="s">
        <v>701</v>
      </c>
      <c r="C1439" s="9">
        <v>1440</v>
      </c>
      <c r="D1439" s="3">
        <v>2390000</v>
      </c>
      <c r="E1439" s="1">
        <f>datos_limpios[[#This Row],[Price INR   ]]*0.011</f>
        <v>26290</v>
      </c>
      <c r="F1439" s="13">
        <v>2013</v>
      </c>
      <c r="G1439" s="2">
        <v>107021</v>
      </c>
      <c r="H1439" s="8" t="s">
        <v>19</v>
      </c>
      <c r="I1439" s="8" t="s">
        <v>40</v>
      </c>
      <c r="J1439" s="8" t="s">
        <v>20</v>
      </c>
      <c r="K1439" t="s">
        <v>354</v>
      </c>
      <c r="L1439" t="s">
        <v>702</v>
      </c>
      <c r="M1439" s="2">
        <f>VALUE(MID(L1439,1,FIND("@",L1439)-6))</f>
        <v>258</v>
      </c>
      <c r="N1439">
        <v>7</v>
      </c>
      <c r="O1439" t="str">
        <f>IF(datos_limpios[[#This Row],[Seating Capacity ]]&gt;4,"SI","NO")</f>
        <v>SI</v>
      </c>
      <c r="P1439">
        <v>100</v>
      </c>
    </row>
    <row r="1440" spans="1:16" x14ac:dyDescent="0.3">
      <c r="A1440" s="8" t="s">
        <v>116</v>
      </c>
      <c r="B1440" s="8" t="s">
        <v>129</v>
      </c>
      <c r="C1440" s="9">
        <v>1441</v>
      </c>
      <c r="D1440" s="3">
        <v>2400000</v>
      </c>
      <c r="E1440" s="1">
        <f>datos_limpios[[#This Row],[Price INR   ]]*0.011</f>
        <v>26400</v>
      </c>
      <c r="F1440" s="13">
        <v>2010</v>
      </c>
      <c r="G1440" s="2">
        <v>34105</v>
      </c>
      <c r="H1440" s="8" t="s">
        <v>12</v>
      </c>
      <c r="I1440" s="8" t="s">
        <v>40</v>
      </c>
      <c r="J1440" s="8" t="s">
        <v>14</v>
      </c>
      <c r="K1440" t="s">
        <v>130</v>
      </c>
      <c r="L1440" t="s">
        <v>1525</v>
      </c>
      <c r="M1440" s="2">
        <f>VALUE(MID(L1440,1,FIND("@",L1440)-6))</f>
        <v>165</v>
      </c>
      <c r="N1440">
        <v>2</v>
      </c>
      <c r="O1440" t="str">
        <f>IF(datos_limpios[[#This Row],[Seating Capacity ]]&gt;4,"SI","NO")</f>
        <v>NO</v>
      </c>
      <c r="P1440">
        <v>70</v>
      </c>
    </row>
    <row r="1441" spans="1:16" x14ac:dyDescent="0.3">
      <c r="A1441" s="8" t="s">
        <v>116</v>
      </c>
      <c r="B1441" s="8" t="s">
        <v>787</v>
      </c>
      <c r="C1441" s="9">
        <v>1442</v>
      </c>
      <c r="D1441" s="3">
        <v>2400000</v>
      </c>
      <c r="E1441" s="1">
        <f>datos_limpios[[#This Row],[Price INR   ]]*0.011</f>
        <v>26400</v>
      </c>
      <c r="F1441" s="13">
        <v>2016</v>
      </c>
      <c r="G1441" s="2">
        <v>61159</v>
      </c>
      <c r="H1441" s="8" t="s">
        <v>12</v>
      </c>
      <c r="I1441" s="8" t="s">
        <v>40</v>
      </c>
      <c r="J1441" s="8" t="s">
        <v>101</v>
      </c>
      <c r="K1441" t="s">
        <v>227</v>
      </c>
      <c r="L1441" t="s">
        <v>788</v>
      </c>
      <c r="M1441" s="2">
        <f>VALUE(MID(L1441,1,FIND("@",L1441)-6))</f>
        <v>184</v>
      </c>
      <c r="N1441">
        <v>5</v>
      </c>
      <c r="O1441" t="str">
        <f>IF(datos_limpios[[#This Row],[Seating Capacity ]]&gt;4,"SI","NO")</f>
        <v>SI</v>
      </c>
      <c r="P1441">
        <v>80</v>
      </c>
    </row>
    <row r="1442" spans="1:16" x14ac:dyDescent="0.3">
      <c r="A1442" s="8" t="s">
        <v>116</v>
      </c>
      <c r="B1442" s="8" t="s">
        <v>787</v>
      </c>
      <c r="C1442" s="9">
        <v>1443</v>
      </c>
      <c r="D1442" s="3">
        <v>2400000</v>
      </c>
      <c r="E1442" s="1">
        <f>datos_limpios[[#This Row],[Price INR   ]]*0.011</f>
        <v>26400</v>
      </c>
      <c r="F1442" s="13">
        <v>2016</v>
      </c>
      <c r="G1442" s="2">
        <v>60000</v>
      </c>
      <c r="H1442" s="8" t="s">
        <v>12</v>
      </c>
      <c r="I1442" s="8" t="s">
        <v>40</v>
      </c>
      <c r="J1442" s="8" t="s">
        <v>101</v>
      </c>
      <c r="K1442" t="s">
        <v>227</v>
      </c>
      <c r="L1442" t="s">
        <v>788</v>
      </c>
      <c r="M1442" s="2">
        <f>VALUE(MID(L1442,1,FIND("@",L1442)-6))</f>
        <v>184</v>
      </c>
      <c r="N1442">
        <v>5</v>
      </c>
      <c r="O1442" t="str">
        <f>IF(datos_limpios[[#This Row],[Seating Capacity ]]&gt;4,"SI","NO")</f>
        <v>SI</v>
      </c>
      <c r="P1442">
        <v>80</v>
      </c>
    </row>
    <row r="1443" spans="1:16" x14ac:dyDescent="0.3">
      <c r="A1443" s="8" t="s">
        <v>116</v>
      </c>
      <c r="B1443" s="8" t="s">
        <v>365</v>
      </c>
      <c r="C1443" s="9">
        <v>1444</v>
      </c>
      <c r="D1443" s="3">
        <v>2450000</v>
      </c>
      <c r="E1443" s="1">
        <f>datos_limpios[[#This Row],[Price INR   ]]*0.011</f>
        <v>26950</v>
      </c>
      <c r="F1443" s="13">
        <v>2014</v>
      </c>
      <c r="G1443" s="2">
        <v>65000</v>
      </c>
      <c r="H1443" s="8" t="s">
        <v>19</v>
      </c>
      <c r="I1443" s="8" t="s">
        <v>40</v>
      </c>
      <c r="J1443" s="8" t="s">
        <v>20</v>
      </c>
      <c r="K1443" t="s">
        <v>366</v>
      </c>
      <c r="L1443" t="s">
        <v>367</v>
      </c>
      <c r="M1443" s="2">
        <f>VALUE(MID(L1443,1,FIND("@",L1443)-6))</f>
        <v>254</v>
      </c>
      <c r="N1443">
        <v>5</v>
      </c>
      <c r="O1443" t="str">
        <f>IF(datos_limpios[[#This Row],[Seating Capacity ]]&gt;4,"SI","NO")</f>
        <v>SI</v>
      </c>
      <c r="P1443">
        <v>70</v>
      </c>
    </row>
    <row r="1444" spans="1:16" x14ac:dyDescent="0.3">
      <c r="A1444" s="8" t="s">
        <v>116</v>
      </c>
      <c r="B1444" s="8" t="s">
        <v>667</v>
      </c>
      <c r="C1444" s="9">
        <v>1445</v>
      </c>
      <c r="D1444" s="3">
        <v>2450000</v>
      </c>
      <c r="E1444" s="1">
        <f>datos_limpios[[#This Row],[Price INR   ]]*0.011</f>
        <v>26950</v>
      </c>
      <c r="F1444" s="13">
        <v>2018</v>
      </c>
      <c r="G1444" s="2">
        <v>61000</v>
      </c>
      <c r="H1444" s="8" t="s">
        <v>19</v>
      </c>
      <c r="I1444" s="8" t="s">
        <v>40</v>
      </c>
      <c r="J1444" s="8" t="s">
        <v>131</v>
      </c>
      <c r="K1444" t="s">
        <v>118</v>
      </c>
      <c r="L1444" t="s">
        <v>332</v>
      </c>
      <c r="M1444" s="2">
        <f>VALUE(MID(L1444,1,FIND("@",L1444)-6))</f>
        <v>134</v>
      </c>
      <c r="N1444">
        <v>5</v>
      </c>
      <c r="O1444" t="str">
        <f>IF(datos_limpios[[#This Row],[Seating Capacity ]]&gt;4,"SI","NO")</f>
        <v>SI</v>
      </c>
      <c r="P1444">
        <v>50</v>
      </c>
    </row>
    <row r="1445" spans="1:16" x14ac:dyDescent="0.3">
      <c r="A1445" s="8" t="s">
        <v>116</v>
      </c>
      <c r="B1445" s="8" t="s">
        <v>331</v>
      </c>
      <c r="C1445" s="9">
        <v>1446</v>
      </c>
      <c r="D1445" s="3">
        <v>2450000</v>
      </c>
      <c r="E1445" s="1">
        <f>datos_limpios[[#This Row],[Price INR   ]]*0.011</f>
        <v>26950</v>
      </c>
      <c r="F1445" s="13">
        <v>2017</v>
      </c>
      <c r="G1445" s="2">
        <v>25000</v>
      </c>
      <c r="H1445" s="8" t="s">
        <v>19</v>
      </c>
      <c r="I1445" s="8" t="s">
        <v>40</v>
      </c>
      <c r="J1445" s="8" t="s">
        <v>20</v>
      </c>
      <c r="K1445" t="s">
        <v>118</v>
      </c>
      <c r="L1445" t="s">
        <v>332</v>
      </c>
      <c r="M1445" s="2">
        <f>VALUE(MID(L1445,1,FIND("@",L1445)-6))</f>
        <v>134</v>
      </c>
      <c r="N1445">
        <v>5</v>
      </c>
      <c r="O1445" t="str">
        <f>IF(datos_limpios[[#This Row],[Seating Capacity ]]&gt;4,"SI","NO")</f>
        <v>SI</v>
      </c>
      <c r="P1445">
        <v>50</v>
      </c>
    </row>
    <row r="1446" spans="1:16" x14ac:dyDescent="0.3">
      <c r="A1446" s="8" t="s">
        <v>116</v>
      </c>
      <c r="B1446" s="8" t="s">
        <v>121</v>
      </c>
      <c r="C1446" s="9">
        <v>1447</v>
      </c>
      <c r="D1446" s="3">
        <v>2450000</v>
      </c>
      <c r="E1446" s="1">
        <f>datos_limpios[[#This Row],[Price INR   ]]*0.011</f>
        <v>26950</v>
      </c>
      <c r="F1446" s="13">
        <v>2015</v>
      </c>
      <c r="G1446" s="2">
        <v>103000</v>
      </c>
      <c r="H1446" s="8" t="s">
        <v>19</v>
      </c>
      <c r="I1446" s="8" t="s">
        <v>40</v>
      </c>
      <c r="J1446" s="8" t="s">
        <v>20</v>
      </c>
      <c r="K1446" t="s">
        <v>118</v>
      </c>
      <c r="L1446" t="s">
        <v>122</v>
      </c>
      <c r="M1446" s="2">
        <f>VALUE(MID(L1446,1,FIND("@",L1446)-6))</f>
        <v>203</v>
      </c>
      <c r="N1446">
        <v>5</v>
      </c>
      <c r="O1446" t="str">
        <f>IF(datos_limpios[[#This Row],[Seating Capacity ]]&gt;4,"SI","NO")</f>
        <v>SI</v>
      </c>
      <c r="P1446">
        <v>70</v>
      </c>
    </row>
    <row r="1447" spans="1:16" x14ac:dyDescent="0.3">
      <c r="A1447" s="8" t="s">
        <v>116</v>
      </c>
      <c r="B1447" s="8" t="s">
        <v>830</v>
      </c>
      <c r="C1447" s="9">
        <v>1448</v>
      </c>
      <c r="D1447" s="3">
        <v>2450000</v>
      </c>
      <c r="E1447" s="1">
        <f>datos_limpios[[#This Row],[Price INR   ]]*0.011</f>
        <v>26950</v>
      </c>
      <c r="F1447" s="13">
        <v>2014</v>
      </c>
      <c r="G1447" s="2">
        <v>80000</v>
      </c>
      <c r="H1447" s="8" t="s">
        <v>19</v>
      </c>
      <c r="I1447" s="8" t="s">
        <v>40</v>
      </c>
      <c r="J1447" s="8" t="s">
        <v>20</v>
      </c>
      <c r="K1447" t="s">
        <v>118</v>
      </c>
      <c r="L1447" t="s">
        <v>119</v>
      </c>
      <c r="M1447" s="2">
        <f>VALUE(MID(L1447,1,FIND("@",L1447)-6))</f>
        <v>168</v>
      </c>
      <c r="N1447">
        <v>5</v>
      </c>
      <c r="O1447" t="str">
        <f>IF(datos_limpios[[#This Row],[Seating Capacity ]]&gt;4,"SI","NO")</f>
        <v>SI</v>
      </c>
      <c r="P1447">
        <v>66</v>
      </c>
    </row>
    <row r="1448" spans="1:16" x14ac:dyDescent="0.3">
      <c r="A1448" s="8" t="s">
        <v>116</v>
      </c>
      <c r="B1448" s="8" t="s">
        <v>382</v>
      </c>
      <c r="C1448" s="9">
        <v>1449</v>
      </c>
      <c r="D1448" s="3">
        <v>2485000</v>
      </c>
      <c r="E1448" s="1">
        <f>datos_limpios[[#This Row],[Price INR   ]]*0.011</f>
        <v>27335</v>
      </c>
      <c r="F1448" s="13">
        <v>2012</v>
      </c>
      <c r="G1448" s="2">
        <v>44724</v>
      </c>
      <c r="H1448" s="8" t="s">
        <v>12</v>
      </c>
      <c r="I1448" s="8" t="s">
        <v>40</v>
      </c>
      <c r="J1448" s="8" t="s">
        <v>20</v>
      </c>
      <c r="K1448" t="s">
        <v>383</v>
      </c>
      <c r="L1448" t="s">
        <v>384</v>
      </c>
      <c r="M1448" s="2">
        <f>VALUE(MID(L1448,1,FIND("@",L1448)-6))</f>
        <v>272</v>
      </c>
      <c r="N1448">
        <v>7</v>
      </c>
      <c r="O1448" t="str">
        <f>IF(datos_limpios[[#This Row],[Seating Capacity ]]&gt;4,"SI","NO")</f>
        <v>SI</v>
      </c>
      <c r="P1448">
        <v>80</v>
      </c>
    </row>
    <row r="1449" spans="1:16" x14ac:dyDescent="0.3">
      <c r="A1449" s="8" t="s">
        <v>116</v>
      </c>
      <c r="B1449" s="8" t="s">
        <v>1419</v>
      </c>
      <c r="C1449" s="9">
        <v>1450</v>
      </c>
      <c r="D1449" s="3">
        <v>2500000</v>
      </c>
      <c r="E1449" s="1">
        <f>datos_limpios[[#This Row],[Price INR   ]]*0.011</f>
        <v>27500</v>
      </c>
      <c r="F1449" s="13">
        <v>2018</v>
      </c>
      <c r="G1449" s="2">
        <v>90000</v>
      </c>
      <c r="H1449" s="8" t="s">
        <v>19</v>
      </c>
      <c r="I1449" s="8" t="s">
        <v>40</v>
      </c>
      <c r="J1449" s="8" t="s">
        <v>115</v>
      </c>
      <c r="K1449" t="s">
        <v>118</v>
      </c>
      <c r="L1449" t="s">
        <v>332</v>
      </c>
      <c r="M1449" s="2">
        <f>VALUE(MID(L1449,1,FIND("@",L1449)-6))</f>
        <v>134</v>
      </c>
      <c r="N1449">
        <v>5</v>
      </c>
      <c r="O1449" t="str">
        <f>IF(datos_limpios[[#This Row],[Seating Capacity ]]&gt;4,"SI","NO")</f>
        <v>SI</v>
      </c>
      <c r="P1449">
        <v>50</v>
      </c>
    </row>
    <row r="1450" spans="1:16" x14ac:dyDescent="0.3">
      <c r="A1450" s="8" t="s">
        <v>116</v>
      </c>
      <c r="B1450" s="8" t="s">
        <v>365</v>
      </c>
      <c r="C1450" s="9">
        <v>1451</v>
      </c>
      <c r="D1450" s="3">
        <v>2600000</v>
      </c>
      <c r="E1450" s="1">
        <f>datos_limpios[[#This Row],[Price INR   ]]*0.011</f>
        <v>28600</v>
      </c>
      <c r="F1450" s="13">
        <v>2014</v>
      </c>
      <c r="G1450" s="2">
        <v>94000</v>
      </c>
      <c r="H1450" s="8" t="s">
        <v>19</v>
      </c>
      <c r="I1450" s="8" t="s">
        <v>40</v>
      </c>
      <c r="J1450" s="8" t="s">
        <v>20</v>
      </c>
      <c r="K1450" t="s">
        <v>366</v>
      </c>
      <c r="L1450" t="s">
        <v>367</v>
      </c>
      <c r="M1450" s="2">
        <f>VALUE(MID(L1450,1,FIND("@",L1450)-6))</f>
        <v>254</v>
      </c>
      <c r="N1450">
        <v>5</v>
      </c>
      <c r="O1450" t="str">
        <f>IF(datos_limpios[[#This Row],[Seating Capacity ]]&gt;4,"SI","NO")</f>
        <v>SI</v>
      </c>
      <c r="P1450">
        <v>70</v>
      </c>
    </row>
    <row r="1451" spans="1:16" x14ac:dyDescent="0.3">
      <c r="A1451" s="8" t="s">
        <v>116</v>
      </c>
      <c r="B1451" s="8" t="s">
        <v>667</v>
      </c>
      <c r="C1451" s="9">
        <v>1452</v>
      </c>
      <c r="D1451" s="3">
        <v>2650000</v>
      </c>
      <c r="E1451" s="1">
        <f>datos_limpios[[#This Row],[Price INR   ]]*0.011</f>
        <v>29150</v>
      </c>
      <c r="F1451" s="13">
        <v>2018</v>
      </c>
      <c r="G1451" s="2">
        <v>43000</v>
      </c>
      <c r="H1451" s="8" t="s">
        <v>19</v>
      </c>
      <c r="I1451" s="8" t="s">
        <v>40</v>
      </c>
      <c r="J1451" s="8" t="s">
        <v>14</v>
      </c>
      <c r="K1451" t="s">
        <v>118</v>
      </c>
      <c r="L1451" t="s">
        <v>332</v>
      </c>
      <c r="M1451" s="2">
        <f>VALUE(MID(L1451,1,FIND("@",L1451)-6))</f>
        <v>134</v>
      </c>
      <c r="N1451">
        <v>5</v>
      </c>
      <c r="O1451" t="str">
        <f>IF(datos_limpios[[#This Row],[Seating Capacity ]]&gt;4,"SI","NO")</f>
        <v>SI</v>
      </c>
      <c r="P1451">
        <v>50</v>
      </c>
    </row>
    <row r="1452" spans="1:16" x14ac:dyDescent="0.3">
      <c r="A1452" s="8" t="s">
        <v>116</v>
      </c>
      <c r="B1452" s="8" t="s">
        <v>830</v>
      </c>
      <c r="C1452" s="9">
        <v>1453</v>
      </c>
      <c r="D1452" s="3">
        <v>2650000</v>
      </c>
      <c r="E1452" s="1">
        <f>datos_limpios[[#This Row],[Price INR   ]]*0.011</f>
        <v>29150</v>
      </c>
      <c r="F1452" s="13">
        <v>2017</v>
      </c>
      <c r="G1452" s="2">
        <v>70000</v>
      </c>
      <c r="H1452" s="8" t="s">
        <v>19</v>
      </c>
      <c r="I1452" s="8" t="s">
        <v>40</v>
      </c>
      <c r="J1452" s="8" t="s">
        <v>82</v>
      </c>
      <c r="K1452" t="s">
        <v>118</v>
      </c>
      <c r="L1452" t="s">
        <v>119</v>
      </c>
      <c r="M1452" s="2">
        <f>VALUE(MID(L1452,1,FIND("@",L1452)-6))</f>
        <v>168</v>
      </c>
      <c r="N1452">
        <v>5</v>
      </c>
      <c r="O1452" t="str">
        <f>IF(datos_limpios[[#This Row],[Seating Capacity ]]&gt;4,"SI","NO")</f>
        <v>SI</v>
      </c>
      <c r="P1452">
        <v>66</v>
      </c>
    </row>
    <row r="1453" spans="1:16" x14ac:dyDescent="0.3">
      <c r="A1453" s="8" t="s">
        <v>116</v>
      </c>
      <c r="B1453" s="8" t="s">
        <v>319</v>
      </c>
      <c r="C1453" s="9">
        <v>1454</v>
      </c>
      <c r="D1453" s="3">
        <v>2675000</v>
      </c>
      <c r="E1453" s="1">
        <f>datos_limpios[[#This Row],[Price INR   ]]*0.011</f>
        <v>29425</v>
      </c>
      <c r="F1453" s="13">
        <v>2016</v>
      </c>
      <c r="G1453" s="2">
        <v>28000</v>
      </c>
      <c r="H1453" s="8" t="s">
        <v>12</v>
      </c>
      <c r="I1453" s="8" t="s">
        <v>40</v>
      </c>
      <c r="J1453" s="8" t="s">
        <v>77</v>
      </c>
      <c r="K1453" t="s">
        <v>227</v>
      </c>
      <c r="L1453" t="s">
        <v>320</v>
      </c>
      <c r="M1453" s="2">
        <f>VALUE(MID(L1453,1,FIND("@",L1453)-6))</f>
        <v>181</v>
      </c>
      <c r="N1453">
        <v>5</v>
      </c>
      <c r="O1453" t="str">
        <f>IF(datos_limpios[[#This Row],[Seating Capacity ]]&gt;4,"SI","NO")</f>
        <v>SI</v>
      </c>
      <c r="P1453">
        <v>66</v>
      </c>
    </row>
    <row r="1454" spans="1:16" x14ac:dyDescent="0.3">
      <c r="A1454" s="8" t="s">
        <v>116</v>
      </c>
      <c r="B1454" s="8" t="s">
        <v>365</v>
      </c>
      <c r="C1454" s="9">
        <v>1455</v>
      </c>
      <c r="D1454" s="3">
        <v>2682000</v>
      </c>
      <c r="E1454" s="1">
        <f>datos_limpios[[#This Row],[Price INR   ]]*0.011</f>
        <v>29502</v>
      </c>
      <c r="F1454" s="13">
        <v>2015</v>
      </c>
      <c r="G1454" s="2">
        <v>76345</v>
      </c>
      <c r="H1454" s="8" t="s">
        <v>19</v>
      </c>
      <c r="I1454" s="8" t="s">
        <v>40</v>
      </c>
      <c r="J1454" s="8" t="s">
        <v>20</v>
      </c>
      <c r="K1454" t="s">
        <v>366</v>
      </c>
      <c r="L1454" t="s">
        <v>367</v>
      </c>
      <c r="M1454" s="2">
        <f>VALUE(MID(L1454,1,FIND("@",L1454)-6))</f>
        <v>254</v>
      </c>
      <c r="N1454">
        <v>5</v>
      </c>
      <c r="O1454" t="str">
        <f>IF(datos_limpios[[#This Row],[Seating Capacity ]]&gt;4,"SI","NO")</f>
        <v>SI</v>
      </c>
      <c r="P1454">
        <v>70</v>
      </c>
    </row>
    <row r="1455" spans="1:16" x14ac:dyDescent="0.3">
      <c r="A1455" s="8" t="s">
        <v>116</v>
      </c>
      <c r="B1455" s="8" t="s">
        <v>242</v>
      </c>
      <c r="C1455" s="9">
        <v>1456</v>
      </c>
      <c r="D1455" s="3">
        <v>2690000</v>
      </c>
      <c r="E1455" s="1">
        <f>datos_limpios[[#This Row],[Price INR   ]]*0.011</f>
        <v>29590</v>
      </c>
      <c r="F1455" s="13">
        <v>2016</v>
      </c>
      <c r="G1455" s="2">
        <v>43323</v>
      </c>
      <c r="H1455" s="8" t="s">
        <v>19</v>
      </c>
      <c r="I1455" s="8" t="s">
        <v>40</v>
      </c>
      <c r="J1455" s="8" t="s">
        <v>77</v>
      </c>
      <c r="K1455" t="s">
        <v>118</v>
      </c>
      <c r="L1455" t="s">
        <v>243</v>
      </c>
      <c r="M1455" s="2">
        <f>VALUE(MID(L1455,1,FIND("@",L1455)-6))</f>
        <v>204</v>
      </c>
      <c r="N1455">
        <v>5</v>
      </c>
      <c r="O1455" t="str">
        <f>IF(datos_limpios[[#This Row],[Seating Capacity ]]&gt;4,"SI","NO")</f>
        <v>SI</v>
      </c>
      <c r="P1455">
        <v>80</v>
      </c>
    </row>
    <row r="1456" spans="1:16" x14ac:dyDescent="0.3">
      <c r="A1456" s="8" t="s">
        <v>116</v>
      </c>
      <c r="B1456" s="8" t="s">
        <v>667</v>
      </c>
      <c r="C1456" s="9">
        <v>1457</v>
      </c>
      <c r="D1456" s="3">
        <v>2750000</v>
      </c>
      <c r="E1456" s="1">
        <f>datos_limpios[[#This Row],[Price INR   ]]*0.011</f>
        <v>30250</v>
      </c>
      <c r="F1456" s="13">
        <v>2019</v>
      </c>
      <c r="G1456" s="2">
        <v>56500</v>
      </c>
      <c r="H1456" s="8" t="s">
        <v>19</v>
      </c>
      <c r="I1456" s="8" t="s">
        <v>40</v>
      </c>
      <c r="J1456" s="8" t="s">
        <v>20</v>
      </c>
      <c r="K1456" t="s">
        <v>118</v>
      </c>
      <c r="L1456" t="s">
        <v>332</v>
      </c>
      <c r="M1456" s="2">
        <f>VALUE(MID(L1456,1,FIND("@",L1456)-6))</f>
        <v>134</v>
      </c>
      <c r="N1456">
        <v>5</v>
      </c>
      <c r="O1456" t="str">
        <f>IF(datos_limpios[[#This Row],[Seating Capacity ]]&gt;4,"SI","NO")</f>
        <v>SI</v>
      </c>
      <c r="P1456">
        <v>50</v>
      </c>
    </row>
    <row r="1457" spans="1:16" x14ac:dyDescent="0.3">
      <c r="A1457" s="8" t="s">
        <v>116</v>
      </c>
      <c r="B1457" s="8" t="s">
        <v>341</v>
      </c>
      <c r="C1457" s="9">
        <v>1458</v>
      </c>
      <c r="D1457" s="3">
        <v>2775000</v>
      </c>
      <c r="E1457" s="1">
        <f>datos_limpios[[#This Row],[Price INR   ]]*0.011</f>
        <v>30525</v>
      </c>
      <c r="F1457" s="13">
        <v>2016</v>
      </c>
      <c r="G1457" s="2">
        <v>48000</v>
      </c>
      <c r="H1457" s="8" t="s">
        <v>19</v>
      </c>
      <c r="I1457" s="8" t="s">
        <v>40</v>
      </c>
      <c r="J1457" s="8" t="s">
        <v>101</v>
      </c>
      <c r="K1457" t="s">
        <v>118</v>
      </c>
      <c r="L1457" t="s">
        <v>342</v>
      </c>
      <c r="M1457" s="2">
        <f>VALUE(MID(L1457,1,FIND("@",L1457)-6))</f>
        <v>204</v>
      </c>
      <c r="N1457">
        <v>5</v>
      </c>
      <c r="O1457" t="str">
        <f>IF(datos_limpios[[#This Row],[Seating Capacity ]]&gt;4,"SI","NO")</f>
        <v>SI</v>
      </c>
      <c r="P1457">
        <v>66</v>
      </c>
    </row>
    <row r="1458" spans="1:16" x14ac:dyDescent="0.3">
      <c r="A1458" s="8" t="s">
        <v>116</v>
      </c>
      <c r="B1458" s="8" t="s">
        <v>602</v>
      </c>
      <c r="C1458" s="9">
        <v>1459</v>
      </c>
      <c r="D1458" s="3">
        <v>2800000</v>
      </c>
      <c r="E1458" s="1">
        <f>datos_limpios[[#This Row],[Price INR   ]]*0.011</f>
        <v>30800</v>
      </c>
      <c r="F1458" s="13">
        <v>2018</v>
      </c>
      <c r="G1458" s="2">
        <v>20000</v>
      </c>
      <c r="H1458" s="8" t="s">
        <v>19</v>
      </c>
      <c r="I1458" s="8" t="s">
        <v>40</v>
      </c>
      <c r="J1458" s="8" t="s">
        <v>30</v>
      </c>
      <c r="K1458" t="s">
        <v>118</v>
      </c>
      <c r="L1458" t="s">
        <v>603</v>
      </c>
      <c r="M1458" s="2">
        <f>VALUE(MID(L1458,1,FIND("@",L1458)-6))</f>
        <v>136</v>
      </c>
      <c r="N1458">
        <v>5</v>
      </c>
      <c r="O1458" t="str">
        <f>IF(datos_limpios[[#This Row],[Seating Capacity ]]&gt;4,"SI","NO")</f>
        <v>SI</v>
      </c>
      <c r="P1458">
        <v>56</v>
      </c>
    </row>
    <row r="1459" spans="1:16" x14ac:dyDescent="0.3">
      <c r="A1459" s="8" t="s">
        <v>116</v>
      </c>
      <c r="B1459" s="8" t="s">
        <v>830</v>
      </c>
      <c r="C1459" s="9">
        <v>1460</v>
      </c>
      <c r="D1459" s="3">
        <v>2850000</v>
      </c>
      <c r="E1459" s="1">
        <f>datos_limpios[[#This Row],[Price INR   ]]*0.011</f>
        <v>31350</v>
      </c>
      <c r="F1459" s="13">
        <v>2016</v>
      </c>
      <c r="G1459" s="2">
        <v>7000</v>
      </c>
      <c r="H1459" s="8" t="s">
        <v>19</v>
      </c>
      <c r="I1459" s="8" t="s">
        <v>40</v>
      </c>
      <c r="J1459" s="8" t="s">
        <v>20</v>
      </c>
      <c r="K1459" t="s">
        <v>118</v>
      </c>
      <c r="L1459" t="s">
        <v>119</v>
      </c>
      <c r="M1459" s="2">
        <f>VALUE(MID(L1459,1,FIND("@",L1459)-6))</f>
        <v>168</v>
      </c>
      <c r="N1459">
        <v>5</v>
      </c>
      <c r="O1459" t="str">
        <f>IF(datos_limpios[[#This Row],[Seating Capacity ]]&gt;4,"SI","NO")</f>
        <v>SI</v>
      </c>
      <c r="P1459">
        <v>66</v>
      </c>
    </row>
    <row r="1460" spans="1:16" x14ac:dyDescent="0.3">
      <c r="A1460" s="8" t="s">
        <v>116</v>
      </c>
      <c r="B1460" s="8" t="s">
        <v>830</v>
      </c>
      <c r="C1460" s="9">
        <v>1461</v>
      </c>
      <c r="D1460" s="3">
        <v>2850000</v>
      </c>
      <c r="E1460" s="1">
        <f>datos_limpios[[#This Row],[Price INR   ]]*0.011</f>
        <v>31350</v>
      </c>
      <c r="F1460" s="13">
        <v>2016</v>
      </c>
      <c r="G1460" s="2">
        <v>21200</v>
      </c>
      <c r="H1460" s="8" t="s">
        <v>19</v>
      </c>
      <c r="I1460" s="8" t="s">
        <v>40</v>
      </c>
      <c r="J1460" s="8" t="s">
        <v>77</v>
      </c>
      <c r="K1460" t="s">
        <v>118</v>
      </c>
      <c r="L1460" t="s">
        <v>119</v>
      </c>
      <c r="M1460" s="2">
        <f>VALUE(MID(L1460,1,FIND("@",L1460)-6))</f>
        <v>168</v>
      </c>
      <c r="N1460">
        <v>5</v>
      </c>
      <c r="O1460" t="str">
        <f>IF(datos_limpios[[#This Row],[Seating Capacity ]]&gt;4,"SI","NO")</f>
        <v>SI</v>
      </c>
      <c r="P1460">
        <v>66</v>
      </c>
    </row>
    <row r="1461" spans="1:16" x14ac:dyDescent="0.3">
      <c r="A1461" s="8" t="s">
        <v>116</v>
      </c>
      <c r="B1461" s="8" t="s">
        <v>975</v>
      </c>
      <c r="C1461" s="9">
        <v>1462</v>
      </c>
      <c r="D1461" s="3">
        <v>3100000</v>
      </c>
      <c r="E1461" s="1">
        <f>datos_limpios[[#This Row],[Price INR   ]]*0.011</f>
        <v>34100</v>
      </c>
      <c r="F1461" s="13">
        <v>2019</v>
      </c>
      <c r="G1461" s="2">
        <v>24000</v>
      </c>
      <c r="H1461" s="8" t="s">
        <v>12</v>
      </c>
      <c r="I1461" s="8" t="s">
        <v>40</v>
      </c>
      <c r="J1461" s="8" t="s">
        <v>30</v>
      </c>
      <c r="K1461" t="s">
        <v>227</v>
      </c>
      <c r="L1461" t="s">
        <v>320</v>
      </c>
      <c r="M1461" s="2">
        <f>VALUE(MID(L1461,1,FIND("@",L1461)-6))</f>
        <v>181</v>
      </c>
      <c r="N1461">
        <v>5</v>
      </c>
      <c r="O1461" t="str">
        <f>IF(datos_limpios[[#This Row],[Seating Capacity ]]&gt;4,"SI","NO")</f>
        <v>SI</v>
      </c>
      <c r="P1461">
        <v>50</v>
      </c>
    </row>
    <row r="1462" spans="1:16" x14ac:dyDescent="0.3">
      <c r="A1462" s="8" t="s">
        <v>116</v>
      </c>
      <c r="B1462" s="8" t="s">
        <v>602</v>
      </c>
      <c r="C1462" s="9">
        <v>1463</v>
      </c>
      <c r="D1462" s="3">
        <v>3100000</v>
      </c>
      <c r="E1462" s="1">
        <f>datos_limpios[[#This Row],[Price INR   ]]*0.011</f>
        <v>34100</v>
      </c>
      <c r="F1462" s="13">
        <v>2019</v>
      </c>
      <c r="G1462" s="2">
        <v>17000</v>
      </c>
      <c r="H1462" s="8" t="s">
        <v>19</v>
      </c>
      <c r="I1462" s="8" t="s">
        <v>40</v>
      </c>
      <c r="J1462" s="8" t="s">
        <v>30</v>
      </c>
      <c r="K1462" t="s">
        <v>118</v>
      </c>
      <c r="L1462" t="s">
        <v>603</v>
      </c>
      <c r="M1462" s="2">
        <f>VALUE(MID(L1462,1,FIND("@",L1462)-6))</f>
        <v>136</v>
      </c>
      <c r="N1462">
        <v>5</v>
      </c>
      <c r="O1462" t="str">
        <f>IF(datos_limpios[[#This Row],[Seating Capacity ]]&gt;4,"SI","NO")</f>
        <v>SI</v>
      </c>
      <c r="P1462">
        <v>56</v>
      </c>
    </row>
    <row r="1463" spans="1:16" x14ac:dyDescent="0.3">
      <c r="A1463" s="8" t="s">
        <v>116</v>
      </c>
      <c r="B1463" s="8" t="s">
        <v>353</v>
      </c>
      <c r="C1463" s="9">
        <v>1464</v>
      </c>
      <c r="D1463" s="3">
        <v>3200000</v>
      </c>
      <c r="E1463" s="1">
        <f>datos_limpios[[#This Row],[Price INR   ]]*0.011</f>
        <v>35200</v>
      </c>
      <c r="F1463" s="13">
        <v>2014</v>
      </c>
      <c r="G1463" s="2">
        <v>60514</v>
      </c>
      <c r="H1463" s="8" t="s">
        <v>19</v>
      </c>
      <c r="I1463" s="8" t="s">
        <v>40</v>
      </c>
      <c r="J1463" s="8" t="s">
        <v>77</v>
      </c>
      <c r="K1463" t="s">
        <v>354</v>
      </c>
      <c r="L1463" t="s">
        <v>1522</v>
      </c>
      <c r="M1463" s="2">
        <f>VALUE(MID(L1463,1,FIND("@",L1463)-6))</f>
        <v>234</v>
      </c>
      <c r="N1463">
        <v>5</v>
      </c>
      <c r="O1463" t="str">
        <f>IF(datos_limpios[[#This Row],[Seating Capacity ]]&gt;4,"SI","NO")</f>
        <v>SI</v>
      </c>
      <c r="P1463">
        <v>95</v>
      </c>
    </row>
    <row r="1464" spans="1:16" x14ac:dyDescent="0.3">
      <c r="A1464" s="8" t="s">
        <v>116</v>
      </c>
      <c r="B1464" s="8" t="s">
        <v>365</v>
      </c>
      <c r="C1464" s="9">
        <v>1465</v>
      </c>
      <c r="D1464" s="3">
        <v>3200000</v>
      </c>
      <c r="E1464" s="1">
        <f>datos_limpios[[#This Row],[Price INR   ]]*0.011</f>
        <v>35200</v>
      </c>
      <c r="F1464" s="13">
        <v>2014</v>
      </c>
      <c r="G1464" s="2">
        <v>60513</v>
      </c>
      <c r="H1464" s="8" t="s">
        <v>19</v>
      </c>
      <c r="I1464" s="8" t="s">
        <v>40</v>
      </c>
      <c r="J1464" s="8" t="s">
        <v>77</v>
      </c>
      <c r="K1464" t="s">
        <v>366</v>
      </c>
      <c r="L1464" t="s">
        <v>367</v>
      </c>
      <c r="M1464" s="2">
        <f>VALUE(MID(L1464,1,FIND("@",L1464)-6))</f>
        <v>254</v>
      </c>
      <c r="N1464">
        <v>5</v>
      </c>
      <c r="O1464" t="str">
        <f>IF(datos_limpios[[#This Row],[Seating Capacity ]]&gt;4,"SI","NO")</f>
        <v>SI</v>
      </c>
      <c r="P1464">
        <v>70</v>
      </c>
    </row>
    <row r="1465" spans="1:16" x14ac:dyDescent="0.3">
      <c r="A1465" s="8" t="s">
        <v>116</v>
      </c>
      <c r="B1465" s="8" t="s">
        <v>701</v>
      </c>
      <c r="C1465" s="9">
        <v>1466</v>
      </c>
      <c r="D1465" s="3">
        <v>3390000</v>
      </c>
      <c r="E1465" s="1">
        <f>datos_limpios[[#This Row],[Price INR   ]]*0.011</f>
        <v>37290</v>
      </c>
      <c r="F1465" s="13">
        <v>2015</v>
      </c>
      <c r="G1465" s="2">
        <v>91100</v>
      </c>
      <c r="H1465" s="8" t="s">
        <v>19</v>
      </c>
      <c r="I1465" s="8" t="s">
        <v>40</v>
      </c>
      <c r="J1465" s="8" t="s">
        <v>77</v>
      </c>
      <c r="K1465" t="s">
        <v>354</v>
      </c>
      <c r="L1465" t="s">
        <v>702</v>
      </c>
      <c r="M1465" s="2">
        <f>VALUE(MID(L1465,1,FIND("@",L1465)-6))</f>
        <v>258</v>
      </c>
      <c r="N1465">
        <v>7</v>
      </c>
      <c r="O1465" t="str">
        <f>IF(datos_limpios[[#This Row],[Seating Capacity ]]&gt;4,"SI","NO")</f>
        <v>SI</v>
      </c>
      <c r="P1465">
        <v>100</v>
      </c>
    </row>
    <row r="1466" spans="1:16" x14ac:dyDescent="0.3">
      <c r="A1466" s="8" t="s">
        <v>116</v>
      </c>
      <c r="B1466" s="8" t="s">
        <v>668</v>
      </c>
      <c r="C1466" s="9">
        <v>1467</v>
      </c>
      <c r="D1466" s="3">
        <v>3400000</v>
      </c>
      <c r="E1466" s="1">
        <f>datos_limpios[[#This Row],[Price INR   ]]*0.011</f>
        <v>37400</v>
      </c>
      <c r="F1466" s="13">
        <v>2018</v>
      </c>
      <c r="G1466" s="2">
        <v>68000</v>
      </c>
      <c r="H1466" s="8" t="s">
        <v>19</v>
      </c>
      <c r="I1466" s="8" t="s">
        <v>40</v>
      </c>
      <c r="J1466" s="8" t="s">
        <v>20</v>
      </c>
      <c r="K1466" t="s">
        <v>295</v>
      </c>
      <c r="L1466" t="s">
        <v>296</v>
      </c>
      <c r="M1466" s="2">
        <f>VALUE(MID(L1466,1,FIND("@",L1466)-6))</f>
        <v>192</v>
      </c>
      <c r="N1466">
        <v>5</v>
      </c>
      <c r="O1466" t="str">
        <f>IF(datos_limpios[[#This Row],[Seating Capacity ]]&gt;4,"SI","NO")</f>
        <v>SI</v>
      </c>
      <c r="P1466">
        <v>66</v>
      </c>
    </row>
    <row r="1467" spans="1:16" x14ac:dyDescent="0.3">
      <c r="A1467" s="8" t="s">
        <v>116</v>
      </c>
      <c r="B1467" s="8" t="s">
        <v>117</v>
      </c>
      <c r="C1467" s="9">
        <v>1468</v>
      </c>
      <c r="D1467" s="3">
        <v>3400000</v>
      </c>
      <c r="E1467" s="1">
        <f>datos_limpios[[#This Row],[Price INR   ]]*0.011</f>
        <v>37400</v>
      </c>
      <c r="F1467" s="13">
        <v>2018</v>
      </c>
      <c r="G1467" s="2">
        <v>50000</v>
      </c>
      <c r="H1467" s="8" t="s">
        <v>19</v>
      </c>
      <c r="I1467" s="8" t="s">
        <v>40</v>
      </c>
      <c r="J1467" s="8" t="s">
        <v>57</v>
      </c>
      <c r="K1467" t="s">
        <v>118</v>
      </c>
      <c r="L1467" t="s">
        <v>119</v>
      </c>
      <c r="M1467" s="2">
        <f>VALUE(MID(L1467,1,FIND("@",L1467)-6))</f>
        <v>168</v>
      </c>
      <c r="N1467">
        <v>5</v>
      </c>
      <c r="O1467" t="str">
        <f>IF(datos_limpios[[#This Row],[Seating Capacity ]]&gt;4,"SI","NO")</f>
        <v>SI</v>
      </c>
      <c r="P1467">
        <v>66</v>
      </c>
    </row>
    <row r="1468" spans="1:16" x14ac:dyDescent="0.3">
      <c r="A1468" s="8" t="s">
        <v>116</v>
      </c>
      <c r="B1468" s="8" t="s">
        <v>117</v>
      </c>
      <c r="C1468" s="9">
        <v>1469</v>
      </c>
      <c r="D1468" s="3">
        <v>3500000</v>
      </c>
      <c r="E1468" s="1">
        <f>datos_limpios[[#This Row],[Price INR   ]]*0.011</f>
        <v>38500</v>
      </c>
      <c r="F1468" s="13">
        <v>2017</v>
      </c>
      <c r="G1468" s="2">
        <v>72000</v>
      </c>
      <c r="H1468" s="8" t="s">
        <v>19</v>
      </c>
      <c r="I1468" s="8" t="s">
        <v>40</v>
      </c>
      <c r="J1468" s="8" t="s">
        <v>20</v>
      </c>
      <c r="K1468" t="s">
        <v>118</v>
      </c>
      <c r="L1468" t="s">
        <v>119</v>
      </c>
      <c r="M1468" s="2">
        <f>VALUE(MID(L1468,1,FIND("@",L1468)-6))</f>
        <v>168</v>
      </c>
      <c r="N1468">
        <v>5</v>
      </c>
      <c r="O1468" t="str">
        <f>IF(datos_limpios[[#This Row],[Seating Capacity ]]&gt;4,"SI","NO")</f>
        <v>SI</v>
      </c>
      <c r="P1468">
        <v>66</v>
      </c>
    </row>
    <row r="1469" spans="1:16" x14ac:dyDescent="0.3">
      <c r="A1469" s="8" t="s">
        <v>116</v>
      </c>
      <c r="B1469" s="8" t="s">
        <v>668</v>
      </c>
      <c r="C1469" s="9">
        <v>1470</v>
      </c>
      <c r="D1469" s="3">
        <v>3500000</v>
      </c>
      <c r="E1469" s="1">
        <f>datos_limpios[[#This Row],[Price INR   ]]*0.011</f>
        <v>38500</v>
      </c>
      <c r="F1469" s="13">
        <v>2019</v>
      </c>
      <c r="G1469" s="2">
        <v>55000</v>
      </c>
      <c r="H1469" s="8" t="s">
        <v>19</v>
      </c>
      <c r="I1469" s="8" t="s">
        <v>40</v>
      </c>
      <c r="J1469" s="8" t="s">
        <v>101</v>
      </c>
      <c r="K1469" t="s">
        <v>295</v>
      </c>
      <c r="L1469" t="s">
        <v>296</v>
      </c>
      <c r="M1469" s="2">
        <f>VALUE(MID(L1469,1,FIND("@",L1469)-6))</f>
        <v>192</v>
      </c>
      <c r="N1469">
        <v>5</v>
      </c>
      <c r="O1469" t="str">
        <f>IF(datos_limpios[[#This Row],[Seating Capacity ]]&gt;4,"SI","NO")</f>
        <v>SI</v>
      </c>
      <c r="P1469">
        <v>66</v>
      </c>
    </row>
    <row r="1470" spans="1:16" x14ac:dyDescent="0.3">
      <c r="A1470" s="8" t="s">
        <v>116</v>
      </c>
      <c r="B1470" s="8" t="s">
        <v>701</v>
      </c>
      <c r="C1470" s="9">
        <v>1471</v>
      </c>
      <c r="D1470" s="3">
        <v>3700000</v>
      </c>
      <c r="E1470" s="1">
        <f>datos_limpios[[#This Row],[Price INR   ]]*0.011</f>
        <v>40700</v>
      </c>
      <c r="F1470" s="13">
        <v>2015</v>
      </c>
      <c r="G1470" s="2">
        <v>103890</v>
      </c>
      <c r="H1470" s="8" t="s">
        <v>19</v>
      </c>
      <c r="I1470" s="8" t="s">
        <v>40</v>
      </c>
      <c r="J1470" s="8" t="s">
        <v>101</v>
      </c>
      <c r="K1470" t="s">
        <v>354</v>
      </c>
      <c r="L1470" t="s">
        <v>702</v>
      </c>
      <c r="M1470" s="2">
        <f>VALUE(MID(L1470,1,FIND("@",L1470)-6))</f>
        <v>258</v>
      </c>
      <c r="N1470">
        <v>7</v>
      </c>
      <c r="O1470" t="str">
        <f>IF(datos_limpios[[#This Row],[Seating Capacity ]]&gt;4,"SI","NO")</f>
        <v>SI</v>
      </c>
      <c r="P1470">
        <v>100</v>
      </c>
    </row>
    <row r="1471" spans="1:16" x14ac:dyDescent="0.3">
      <c r="A1471" s="8" t="s">
        <v>116</v>
      </c>
      <c r="B1471" s="8" t="s">
        <v>117</v>
      </c>
      <c r="C1471" s="9">
        <v>1472</v>
      </c>
      <c r="D1471" s="3">
        <v>3850000</v>
      </c>
      <c r="E1471" s="1">
        <f>datos_limpios[[#This Row],[Price INR   ]]*0.011</f>
        <v>42350</v>
      </c>
      <c r="F1471" s="13">
        <v>2017</v>
      </c>
      <c r="G1471" s="2">
        <v>45600</v>
      </c>
      <c r="H1471" s="8" t="s">
        <v>19</v>
      </c>
      <c r="I1471" s="8" t="s">
        <v>40</v>
      </c>
      <c r="J1471" s="8" t="s">
        <v>101</v>
      </c>
      <c r="K1471" t="s">
        <v>118</v>
      </c>
      <c r="L1471" t="s">
        <v>119</v>
      </c>
      <c r="M1471" s="2">
        <f>VALUE(MID(L1471,1,FIND("@",L1471)-6))</f>
        <v>168</v>
      </c>
      <c r="N1471">
        <v>5</v>
      </c>
      <c r="O1471" t="str">
        <f>IF(datos_limpios[[#This Row],[Seating Capacity ]]&gt;4,"SI","NO")</f>
        <v>SI</v>
      </c>
      <c r="P1471">
        <v>66</v>
      </c>
    </row>
    <row r="1472" spans="1:16" x14ac:dyDescent="0.3">
      <c r="A1472" s="8" t="s">
        <v>116</v>
      </c>
      <c r="B1472" s="8" t="s">
        <v>668</v>
      </c>
      <c r="C1472" s="9">
        <v>1473</v>
      </c>
      <c r="D1472" s="3">
        <v>3900000</v>
      </c>
      <c r="E1472" s="1">
        <f>datos_limpios[[#This Row],[Price INR   ]]*0.011</f>
        <v>42900</v>
      </c>
      <c r="F1472" s="13">
        <v>2019</v>
      </c>
      <c r="G1472" s="2">
        <v>33000</v>
      </c>
      <c r="H1472" s="8" t="s">
        <v>19</v>
      </c>
      <c r="I1472" s="8" t="s">
        <v>40</v>
      </c>
      <c r="J1472" s="8" t="s">
        <v>249</v>
      </c>
      <c r="K1472" t="s">
        <v>295</v>
      </c>
      <c r="L1472" t="s">
        <v>296</v>
      </c>
      <c r="M1472" s="2">
        <f>VALUE(MID(L1472,1,FIND("@",L1472)-6))</f>
        <v>192</v>
      </c>
      <c r="N1472">
        <v>5</v>
      </c>
      <c r="O1472" t="str">
        <f>IF(datos_limpios[[#This Row],[Seating Capacity ]]&gt;4,"SI","NO")</f>
        <v>SI</v>
      </c>
      <c r="P1472">
        <v>66</v>
      </c>
    </row>
    <row r="1473" spans="1:16" x14ac:dyDescent="0.3">
      <c r="A1473" s="8" t="s">
        <v>116</v>
      </c>
      <c r="B1473" s="8" t="s">
        <v>668</v>
      </c>
      <c r="C1473" s="9">
        <v>1474</v>
      </c>
      <c r="D1473" s="3">
        <v>3950000</v>
      </c>
      <c r="E1473" s="1">
        <f>datos_limpios[[#This Row],[Price INR   ]]*0.011</f>
        <v>43450</v>
      </c>
      <c r="F1473" s="13">
        <v>2019</v>
      </c>
      <c r="G1473" s="2">
        <v>33000</v>
      </c>
      <c r="H1473" s="8" t="s">
        <v>19</v>
      </c>
      <c r="I1473" s="8" t="s">
        <v>40</v>
      </c>
      <c r="J1473" s="8" t="s">
        <v>20</v>
      </c>
      <c r="K1473" t="s">
        <v>295</v>
      </c>
      <c r="L1473" t="s">
        <v>296</v>
      </c>
      <c r="M1473" s="2">
        <f>VALUE(MID(L1473,1,FIND("@",L1473)-6))</f>
        <v>192</v>
      </c>
      <c r="N1473">
        <v>5</v>
      </c>
      <c r="O1473" t="str">
        <f>IF(datos_limpios[[#This Row],[Seating Capacity ]]&gt;4,"SI","NO")</f>
        <v>SI</v>
      </c>
      <c r="P1473">
        <v>66</v>
      </c>
    </row>
    <row r="1474" spans="1:16" x14ac:dyDescent="0.3">
      <c r="A1474" s="8" t="s">
        <v>116</v>
      </c>
      <c r="B1474" s="8" t="s">
        <v>906</v>
      </c>
      <c r="C1474" s="9">
        <v>1475</v>
      </c>
      <c r="D1474" s="3">
        <v>4100000</v>
      </c>
      <c r="E1474" s="1">
        <f>datos_limpios[[#This Row],[Price INR   ]]*0.011</f>
        <v>45100</v>
      </c>
      <c r="F1474" s="13">
        <v>2022</v>
      </c>
      <c r="G1474" s="2">
        <v>3826</v>
      </c>
      <c r="H1474" s="8" t="s">
        <v>19</v>
      </c>
      <c r="I1474" s="8" t="s">
        <v>40</v>
      </c>
      <c r="J1474" s="8" t="s">
        <v>20</v>
      </c>
      <c r="K1474" t="s">
        <v>295</v>
      </c>
      <c r="L1474" t="s">
        <v>907</v>
      </c>
      <c r="M1474" s="2">
        <f>VALUE(MID(L1474,1,FIND("@",L1474)-6))</f>
        <v>147</v>
      </c>
      <c r="N1474">
        <v>5</v>
      </c>
      <c r="O1474" t="str">
        <f>IF(datos_limpios[[#This Row],[Seating Capacity ]]&gt;4,"SI","NO")</f>
        <v>SI</v>
      </c>
      <c r="P1474">
        <v>43</v>
      </c>
    </row>
    <row r="1475" spans="1:16" x14ac:dyDescent="0.3">
      <c r="A1475" s="8" t="s">
        <v>116</v>
      </c>
      <c r="B1475" s="8" t="s">
        <v>1285</v>
      </c>
      <c r="C1475" s="9">
        <v>1476</v>
      </c>
      <c r="D1475" s="3">
        <v>4100000</v>
      </c>
      <c r="E1475" s="1">
        <f>datos_limpios[[#This Row],[Price INR   ]]*0.011</f>
        <v>45100</v>
      </c>
      <c r="F1475" s="13">
        <v>2021</v>
      </c>
      <c r="G1475" s="2">
        <v>9000</v>
      </c>
      <c r="H1475" s="8" t="s">
        <v>12</v>
      </c>
      <c r="I1475" s="8" t="s">
        <v>40</v>
      </c>
      <c r="J1475" s="8" t="s">
        <v>57</v>
      </c>
      <c r="K1475" t="s">
        <v>1286</v>
      </c>
      <c r="L1475" t="s">
        <v>1101</v>
      </c>
      <c r="M1475" s="2">
        <f>VALUE(MID(L1475,1,FIND("@",L1475)-6))</f>
        <v>161</v>
      </c>
      <c r="N1475">
        <v>5</v>
      </c>
      <c r="O1475" t="str">
        <f>IF(datos_limpios[[#This Row],[Seating Capacity ]]&gt;4,"SI","NO")</f>
        <v>SI</v>
      </c>
      <c r="P1475">
        <v>43</v>
      </c>
    </row>
    <row r="1476" spans="1:16" x14ac:dyDescent="0.3">
      <c r="A1476" s="8" t="s">
        <v>116</v>
      </c>
      <c r="B1476" s="8" t="s">
        <v>294</v>
      </c>
      <c r="C1476" s="9">
        <v>1477</v>
      </c>
      <c r="D1476" s="3">
        <v>4150000</v>
      </c>
      <c r="E1476" s="1">
        <f>datos_limpios[[#This Row],[Price INR   ]]*0.011</f>
        <v>45650</v>
      </c>
      <c r="F1476" s="13">
        <v>2017</v>
      </c>
      <c r="G1476" s="2">
        <v>48000</v>
      </c>
      <c r="H1476" s="8" t="s">
        <v>19</v>
      </c>
      <c r="I1476" s="8" t="s">
        <v>40</v>
      </c>
      <c r="J1476" s="8" t="s">
        <v>101</v>
      </c>
      <c r="K1476" t="s">
        <v>295</v>
      </c>
      <c r="L1476" t="s">
        <v>296</v>
      </c>
      <c r="M1476" s="2">
        <f>VALUE(MID(L1476,1,FIND("@",L1476)-6))</f>
        <v>192</v>
      </c>
      <c r="N1476">
        <v>5</v>
      </c>
      <c r="O1476" t="str">
        <f>IF(datos_limpios[[#This Row],[Seating Capacity ]]&gt;4,"SI","NO")</f>
        <v>SI</v>
      </c>
      <c r="P1476">
        <v>80</v>
      </c>
    </row>
    <row r="1477" spans="1:16" x14ac:dyDescent="0.3">
      <c r="A1477" s="8" t="s">
        <v>116</v>
      </c>
      <c r="B1477" s="8" t="s">
        <v>668</v>
      </c>
      <c r="C1477" s="9">
        <v>1478</v>
      </c>
      <c r="D1477" s="3">
        <v>4150000</v>
      </c>
      <c r="E1477" s="1">
        <f>datos_limpios[[#This Row],[Price INR   ]]*0.011</f>
        <v>45650</v>
      </c>
      <c r="F1477" s="13">
        <v>2019</v>
      </c>
      <c r="G1477" s="2">
        <v>8000</v>
      </c>
      <c r="H1477" s="8" t="s">
        <v>19</v>
      </c>
      <c r="I1477" s="8" t="s">
        <v>40</v>
      </c>
      <c r="J1477" s="8" t="s">
        <v>57</v>
      </c>
      <c r="K1477" t="s">
        <v>295</v>
      </c>
      <c r="L1477" t="s">
        <v>296</v>
      </c>
      <c r="M1477" s="2">
        <f>VALUE(MID(L1477,1,FIND("@",L1477)-6))</f>
        <v>192</v>
      </c>
      <c r="N1477">
        <v>5</v>
      </c>
      <c r="O1477" t="str">
        <f>IF(datos_limpios[[#This Row],[Seating Capacity ]]&gt;4,"SI","NO")</f>
        <v>SI</v>
      </c>
      <c r="P1477">
        <v>66</v>
      </c>
    </row>
    <row r="1478" spans="1:16" x14ac:dyDescent="0.3">
      <c r="A1478" s="8" t="s">
        <v>116</v>
      </c>
      <c r="B1478" s="8" t="s">
        <v>1285</v>
      </c>
      <c r="C1478" s="9">
        <v>1479</v>
      </c>
      <c r="D1478" s="3">
        <v>4150000</v>
      </c>
      <c r="E1478" s="1">
        <f>datos_limpios[[#This Row],[Price INR   ]]*0.011</f>
        <v>45650</v>
      </c>
      <c r="F1478" s="13">
        <v>2021</v>
      </c>
      <c r="G1478" s="2">
        <v>6000</v>
      </c>
      <c r="H1478" s="8" t="s">
        <v>12</v>
      </c>
      <c r="I1478" s="8" t="s">
        <v>40</v>
      </c>
      <c r="J1478" s="8" t="s">
        <v>20</v>
      </c>
      <c r="K1478" t="s">
        <v>1286</v>
      </c>
      <c r="L1478" t="s">
        <v>1101</v>
      </c>
      <c r="M1478" s="2">
        <f>VALUE(MID(L1478,1,FIND("@",L1478)-6))</f>
        <v>161</v>
      </c>
      <c r="N1478">
        <v>5</v>
      </c>
      <c r="O1478" t="str">
        <f>IF(datos_limpios[[#This Row],[Seating Capacity ]]&gt;4,"SI","NO")</f>
        <v>SI</v>
      </c>
      <c r="P1478">
        <v>43</v>
      </c>
    </row>
    <row r="1479" spans="1:16" x14ac:dyDescent="0.3">
      <c r="A1479" s="8" t="s">
        <v>116</v>
      </c>
      <c r="B1479" s="8" t="s">
        <v>303</v>
      </c>
      <c r="C1479" s="9">
        <v>1480</v>
      </c>
      <c r="D1479" s="3">
        <v>4190000</v>
      </c>
      <c r="E1479" s="1">
        <f>datos_limpios[[#This Row],[Price INR   ]]*0.011</f>
        <v>46090</v>
      </c>
      <c r="F1479" s="13">
        <v>2017</v>
      </c>
      <c r="G1479" s="2">
        <v>90000</v>
      </c>
      <c r="H1479" s="8" t="s">
        <v>19</v>
      </c>
      <c r="I1479" s="8" t="s">
        <v>40</v>
      </c>
      <c r="J1479" s="8" t="s">
        <v>101</v>
      </c>
      <c r="K1479" t="s">
        <v>118</v>
      </c>
      <c r="L1479" t="s">
        <v>304</v>
      </c>
      <c r="M1479" s="2">
        <f>VALUE(MID(L1479,1,FIND("@",L1479)-6))</f>
        <v>201</v>
      </c>
      <c r="N1479">
        <v>5</v>
      </c>
      <c r="O1479" t="str">
        <f>IF(datos_limpios[[#This Row],[Seating Capacity ]]&gt;4,"SI","NO")</f>
        <v>SI</v>
      </c>
      <c r="P1479">
        <v>93</v>
      </c>
    </row>
    <row r="1480" spans="1:16" x14ac:dyDescent="0.3">
      <c r="A1480" s="8" t="s">
        <v>116</v>
      </c>
      <c r="B1480" s="8" t="s">
        <v>701</v>
      </c>
      <c r="C1480" s="9">
        <v>1481</v>
      </c>
      <c r="D1480" s="3">
        <v>4200000</v>
      </c>
      <c r="E1480" s="1">
        <f>datos_limpios[[#This Row],[Price INR   ]]*0.011</f>
        <v>46200</v>
      </c>
      <c r="F1480" s="13">
        <v>2015</v>
      </c>
      <c r="G1480" s="2">
        <v>77000</v>
      </c>
      <c r="H1480" s="8" t="s">
        <v>19</v>
      </c>
      <c r="I1480" s="8" t="s">
        <v>40</v>
      </c>
      <c r="J1480" s="8" t="s">
        <v>101</v>
      </c>
      <c r="K1480" t="s">
        <v>354</v>
      </c>
      <c r="L1480" t="s">
        <v>702</v>
      </c>
      <c r="M1480" s="2">
        <f>VALUE(MID(L1480,1,FIND("@",L1480)-6))</f>
        <v>258</v>
      </c>
      <c r="N1480">
        <v>7</v>
      </c>
      <c r="O1480" t="str">
        <f>IF(datos_limpios[[#This Row],[Seating Capacity ]]&gt;4,"SI","NO")</f>
        <v>SI</v>
      </c>
      <c r="P1480">
        <v>100</v>
      </c>
    </row>
    <row r="1481" spans="1:16" x14ac:dyDescent="0.3">
      <c r="A1481" s="8" t="s">
        <v>116</v>
      </c>
      <c r="B1481" s="8" t="s">
        <v>117</v>
      </c>
      <c r="C1481" s="9">
        <v>1482</v>
      </c>
      <c r="D1481" s="3">
        <v>4200000</v>
      </c>
      <c r="E1481" s="1">
        <f>datos_limpios[[#This Row],[Price INR   ]]*0.011</f>
        <v>46200</v>
      </c>
      <c r="F1481" s="13">
        <v>2017</v>
      </c>
      <c r="G1481" s="2">
        <v>77000</v>
      </c>
      <c r="H1481" s="8" t="s">
        <v>19</v>
      </c>
      <c r="I1481" s="8" t="s">
        <v>40</v>
      </c>
      <c r="J1481" s="8" t="s">
        <v>20</v>
      </c>
      <c r="K1481" t="s">
        <v>118</v>
      </c>
      <c r="L1481" t="s">
        <v>119</v>
      </c>
      <c r="M1481" s="2">
        <f>VALUE(MID(L1481,1,FIND("@",L1481)-6))</f>
        <v>168</v>
      </c>
      <c r="N1481">
        <v>5</v>
      </c>
      <c r="O1481" t="str">
        <f>IF(datos_limpios[[#This Row],[Seating Capacity ]]&gt;4,"SI","NO")</f>
        <v>SI</v>
      </c>
      <c r="P1481">
        <v>66</v>
      </c>
    </row>
    <row r="1482" spans="1:16" x14ac:dyDescent="0.3">
      <c r="A1482" s="8" t="s">
        <v>116</v>
      </c>
      <c r="B1482" s="8" t="s">
        <v>906</v>
      </c>
      <c r="C1482" s="9">
        <v>1483</v>
      </c>
      <c r="D1482" s="3">
        <v>4200000</v>
      </c>
      <c r="E1482" s="1">
        <f>datos_limpios[[#This Row],[Price INR   ]]*0.011</f>
        <v>46200</v>
      </c>
      <c r="F1482" s="13">
        <v>2021</v>
      </c>
      <c r="G1482" s="2">
        <v>5600</v>
      </c>
      <c r="H1482" s="8" t="s">
        <v>19</v>
      </c>
      <c r="I1482" s="8" t="s">
        <v>40</v>
      </c>
      <c r="J1482" s="8" t="s">
        <v>14</v>
      </c>
      <c r="K1482" t="s">
        <v>295</v>
      </c>
      <c r="L1482" t="s">
        <v>907</v>
      </c>
      <c r="M1482" s="2">
        <f>VALUE(MID(L1482,1,FIND("@",L1482)-6))</f>
        <v>147</v>
      </c>
      <c r="N1482">
        <v>5</v>
      </c>
      <c r="O1482" t="str">
        <f>IF(datos_limpios[[#This Row],[Seating Capacity ]]&gt;4,"SI","NO")</f>
        <v>SI</v>
      </c>
      <c r="P1482">
        <v>43</v>
      </c>
    </row>
    <row r="1483" spans="1:16" x14ac:dyDescent="0.3">
      <c r="A1483" s="8" t="s">
        <v>116</v>
      </c>
      <c r="B1483" s="8" t="s">
        <v>303</v>
      </c>
      <c r="C1483" s="9">
        <v>1484</v>
      </c>
      <c r="D1483" s="3">
        <v>4200000</v>
      </c>
      <c r="E1483" s="1">
        <f>datos_limpios[[#This Row],[Price INR   ]]*0.011</f>
        <v>46200</v>
      </c>
      <c r="F1483" s="13">
        <v>2018</v>
      </c>
      <c r="G1483" s="2">
        <v>102000</v>
      </c>
      <c r="H1483" s="8" t="s">
        <v>19</v>
      </c>
      <c r="I1483" s="8" t="s">
        <v>40</v>
      </c>
      <c r="J1483" s="8" t="s">
        <v>101</v>
      </c>
      <c r="K1483" t="s">
        <v>118</v>
      </c>
      <c r="L1483" t="s">
        <v>304</v>
      </c>
      <c r="M1483" s="2">
        <f>VALUE(MID(L1483,1,FIND("@",L1483)-6))</f>
        <v>201</v>
      </c>
      <c r="N1483">
        <v>5</v>
      </c>
      <c r="O1483" t="str">
        <f>IF(datos_limpios[[#This Row],[Seating Capacity ]]&gt;4,"SI","NO")</f>
        <v>SI</v>
      </c>
      <c r="P1483">
        <v>93</v>
      </c>
    </row>
    <row r="1484" spans="1:16" x14ac:dyDescent="0.3">
      <c r="A1484" s="8" t="s">
        <v>116</v>
      </c>
      <c r="B1484" s="8" t="s">
        <v>303</v>
      </c>
      <c r="C1484" s="9">
        <v>1485</v>
      </c>
      <c r="D1484" s="3">
        <v>4200000</v>
      </c>
      <c r="E1484" s="1">
        <f>datos_limpios[[#This Row],[Price INR   ]]*0.011</f>
        <v>46200</v>
      </c>
      <c r="F1484" s="13">
        <v>2017</v>
      </c>
      <c r="G1484" s="2">
        <v>85000</v>
      </c>
      <c r="H1484" s="8" t="s">
        <v>19</v>
      </c>
      <c r="I1484" s="8" t="s">
        <v>40</v>
      </c>
      <c r="J1484" s="8" t="s">
        <v>101</v>
      </c>
      <c r="K1484" t="s">
        <v>118</v>
      </c>
      <c r="L1484" t="s">
        <v>304</v>
      </c>
      <c r="M1484" s="2">
        <f>VALUE(MID(L1484,1,FIND("@",L1484)-6))</f>
        <v>201</v>
      </c>
      <c r="N1484">
        <v>5</v>
      </c>
      <c r="O1484" t="str">
        <f>IF(datos_limpios[[#This Row],[Seating Capacity ]]&gt;4,"SI","NO")</f>
        <v>SI</v>
      </c>
      <c r="P1484">
        <v>93</v>
      </c>
    </row>
    <row r="1485" spans="1:16" x14ac:dyDescent="0.3">
      <c r="A1485" s="8" t="s">
        <v>116</v>
      </c>
      <c r="B1485" s="8" t="s">
        <v>668</v>
      </c>
      <c r="C1485" s="9">
        <v>1486</v>
      </c>
      <c r="D1485" s="3">
        <v>4250000</v>
      </c>
      <c r="E1485" s="1">
        <f>datos_limpios[[#This Row],[Price INR   ]]*0.011</f>
        <v>46750</v>
      </c>
      <c r="F1485" s="13">
        <v>2018</v>
      </c>
      <c r="G1485" s="2">
        <v>24000</v>
      </c>
      <c r="H1485" s="8" t="s">
        <v>19</v>
      </c>
      <c r="I1485" s="8" t="s">
        <v>40</v>
      </c>
      <c r="J1485" s="8" t="s">
        <v>20</v>
      </c>
      <c r="K1485" t="s">
        <v>295</v>
      </c>
      <c r="L1485" t="s">
        <v>296</v>
      </c>
      <c r="M1485" s="2">
        <f>VALUE(MID(L1485,1,FIND("@",L1485)-6))</f>
        <v>192</v>
      </c>
      <c r="N1485">
        <v>5</v>
      </c>
      <c r="O1485" t="str">
        <f>IF(datos_limpios[[#This Row],[Seating Capacity ]]&gt;4,"SI","NO")</f>
        <v>SI</v>
      </c>
      <c r="P1485">
        <v>66</v>
      </c>
    </row>
    <row r="1486" spans="1:16" x14ac:dyDescent="0.3">
      <c r="A1486" s="8" t="s">
        <v>116</v>
      </c>
      <c r="B1486" s="8" t="s">
        <v>668</v>
      </c>
      <c r="C1486" s="9">
        <v>1487</v>
      </c>
      <c r="D1486" s="3">
        <v>4275000</v>
      </c>
      <c r="E1486" s="1">
        <f>datos_limpios[[#This Row],[Price INR   ]]*0.011</f>
        <v>47025</v>
      </c>
      <c r="F1486" s="13">
        <v>2019</v>
      </c>
      <c r="G1486" s="2">
        <v>31000</v>
      </c>
      <c r="H1486" s="8" t="s">
        <v>19</v>
      </c>
      <c r="I1486" s="8" t="s">
        <v>40</v>
      </c>
      <c r="J1486" s="8" t="s">
        <v>57</v>
      </c>
      <c r="K1486" t="s">
        <v>295</v>
      </c>
      <c r="L1486" t="s">
        <v>296</v>
      </c>
      <c r="M1486" s="2">
        <f>VALUE(MID(L1486,1,FIND("@",L1486)-6))</f>
        <v>192</v>
      </c>
      <c r="N1486">
        <v>5</v>
      </c>
      <c r="O1486" t="str">
        <f>IF(datos_limpios[[#This Row],[Seating Capacity ]]&gt;4,"SI","NO")</f>
        <v>SI</v>
      </c>
      <c r="P1486">
        <v>66</v>
      </c>
    </row>
    <row r="1487" spans="1:16" x14ac:dyDescent="0.3">
      <c r="A1487" s="8" t="s">
        <v>116</v>
      </c>
      <c r="B1487" s="8" t="s">
        <v>294</v>
      </c>
      <c r="C1487" s="9">
        <v>1488</v>
      </c>
      <c r="D1487" s="3">
        <v>4500000</v>
      </c>
      <c r="E1487" s="1">
        <f>datos_limpios[[#This Row],[Price INR   ]]*0.011</f>
        <v>49500</v>
      </c>
      <c r="F1487" s="13">
        <v>2019</v>
      </c>
      <c r="G1487" s="2">
        <v>72000</v>
      </c>
      <c r="H1487" s="8" t="s">
        <v>19</v>
      </c>
      <c r="I1487" s="8" t="s">
        <v>40</v>
      </c>
      <c r="J1487" s="8" t="s">
        <v>20</v>
      </c>
      <c r="K1487" t="s">
        <v>295</v>
      </c>
      <c r="L1487" t="s">
        <v>296</v>
      </c>
      <c r="M1487" s="2">
        <f>VALUE(MID(L1487,1,FIND("@",L1487)-6))</f>
        <v>192</v>
      </c>
      <c r="N1487">
        <v>5</v>
      </c>
      <c r="O1487" t="str">
        <f>IF(datos_limpios[[#This Row],[Seating Capacity ]]&gt;4,"SI","NO")</f>
        <v>SI</v>
      </c>
      <c r="P1487">
        <v>80</v>
      </c>
    </row>
    <row r="1488" spans="1:16" x14ac:dyDescent="0.3">
      <c r="A1488" s="8" t="s">
        <v>116</v>
      </c>
      <c r="B1488" s="8" t="s">
        <v>303</v>
      </c>
      <c r="C1488" s="9">
        <v>1489</v>
      </c>
      <c r="D1488" s="3">
        <v>4550000</v>
      </c>
      <c r="E1488" s="1">
        <f>datos_limpios[[#This Row],[Price INR   ]]*0.011</f>
        <v>50050</v>
      </c>
      <c r="F1488" s="13">
        <v>2017</v>
      </c>
      <c r="G1488" s="2">
        <v>34000</v>
      </c>
      <c r="H1488" s="8" t="s">
        <v>19</v>
      </c>
      <c r="I1488" s="8" t="s">
        <v>40</v>
      </c>
      <c r="J1488" s="8" t="s">
        <v>77</v>
      </c>
      <c r="K1488" t="s">
        <v>118</v>
      </c>
      <c r="L1488" t="s">
        <v>304</v>
      </c>
      <c r="M1488" s="2">
        <f>VALUE(MID(L1488,1,FIND("@",L1488)-6))</f>
        <v>201</v>
      </c>
      <c r="N1488">
        <v>5</v>
      </c>
      <c r="O1488" t="str">
        <f>IF(datos_limpios[[#This Row],[Seating Capacity ]]&gt;4,"SI","NO")</f>
        <v>SI</v>
      </c>
      <c r="P1488">
        <v>93</v>
      </c>
    </row>
    <row r="1489" spans="1:16" x14ac:dyDescent="0.3">
      <c r="A1489" s="8" t="s">
        <v>116</v>
      </c>
      <c r="B1489" s="8" t="s">
        <v>117</v>
      </c>
      <c r="C1489" s="9">
        <v>1490</v>
      </c>
      <c r="D1489" s="3">
        <v>4550000</v>
      </c>
      <c r="E1489" s="1">
        <f>datos_limpios[[#This Row],[Price INR   ]]*0.011</f>
        <v>50050</v>
      </c>
      <c r="F1489" s="13">
        <v>2018</v>
      </c>
      <c r="G1489" s="2">
        <v>45000</v>
      </c>
      <c r="H1489" s="8" t="s">
        <v>19</v>
      </c>
      <c r="I1489" s="8" t="s">
        <v>40</v>
      </c>
      <c r="J1489" s="8" t="s">
        <v>14</v>
      </c>
      <c r="K1489" t="s">
        <v>118</v>
      </c>
      <c r="L1489" t="s">
        <v>119</v>
      </c>
      <c r="M1489" s="2">
        <f>VALUE(MID(L1489,1,FIND("@",L1489)-6))</f>
        <v>168</v>
      </c>
      <c r="N1489">
        <v>5</v>
      </c>
      <c r="O1489" t="str">
        <f>IF(datos_limpios[[#This Row],[Seating Capacity ]]&gt;4,"SI","NO")</f>
        <v>SI</v>
      </c>
      <c r="P1489">
        <v>66</v>
      </c>
    </row>
    <row r="1490" spans="1:16" x14ac:dyDescent="0.3">
      <c r="A1490" s="8" t="s">
        <v>116</v>
      </c>
      <c r="B1490" s="8" t="s">
        <v>303</v>
      </c>
      <c r="C1490" s="9">
        <v>1491</v>
      </c>
      <c r="D1490" s="3">
        <v>4590000</v>
      </c>
      <c r="E1490" s="1">
        <f>datos_limpios[[#This Row],[Price INR   ]]*0.011</f>
        <v>50490</v>
      </c>
      <c r="F1490" s="13">
        <v>2018</v>
      </c>
      <c r="G1490" s="2">
        <v>95786</v>
      </c>
      <c r="H1490" s="8" t="s">
        <v>19</v>
      </c>
      <c r="I1490" s="8" t="s">
        <v>40</v>
      </c>
      <c r="J1490" s="8" t="s">
        <v>101</v>
      </c>
      <c r="K1490" t="s">
        <v>118</v>
      </c>
      <c r="L1490" t="s">
        <v>304</v>
      </c>
      <c r="M1490" s="2">
        <f>VALUE(MID(L1490,1,FIND("@",L1490)-6))</f>
        <v>201</v>
      </c>
      <c r="N1490">
        <v>5</v>
      </c>
      <c r="O1490" t="str">
        <f>IF(datos_limpios[[#This Row],[Seating Capacity ]]&gt;4,"SI","NO")</f>
        <v>SI</v>
      </c>
      <c r="P1490">
        <v>93</v>
      </c>
    </row>
    <row r="1491" spans="1:16" x14ac:dyDescent="0.3">
      <c r="A1491" s="8" t="s">
        <v>116</v>
      </c>
      <c r="B1491" s="8" t="s">
        <v>294</v>
      </c>
      <c r="C1491" s="9">
        <v>1492</v>
      </c>
      <c r="D1491" s="3">
        <v>4775000</v>
      </c>
      <c r="E1491" s="1">
        <f>datos_limpios[[#This Row],[Price INR   ]]*0.011</f>
        <v>52525</v>
      </c>
      <c r="F1491" s="13">
        <v>2018</v>
      </c>
      <c r="G1491" s="2">
        <v>51529</v>
      </c>
      <c r="H1491" s="8" t="s">
        <v>19</v>
      </c>
      <c r="I1491" s="8" t="s">
        <v>40</v>
      </c>
      <c r="J1491" s="8" t="s">
        <v>20</v>
      </c>
      <c r="K1491" t="s">
        <v>295</v>
      </c>
      <c r="L1491" t="s">
        <v>296</v>
      </c>
      <c r="M1491" s="2">
        <f>VALUE(MID(L1491,1,FIND("@",L1491)-6))</f>
        <v>192</v>
      </c>
      <c r="N1491">
        <v>5</v>
      </c>
      <c r="O1491" t="str">
        <f>IF(datos_limpios[[#This Row],[Seating Capacity ]]&gt;4,"SI","NO")</f>
        <v>SI</v>
      </c>
      <c r="P1491">
        <v>80</v>
      </c>
    </row>
    <row r="1492" spans="1:16" x14ac:dyDescent="0.3">
      <c r="A1492" s="8" t="s">
        <v>116</v>
      </c>
      <c r="B1492" s="8" t="s">
        <v>546</v>
      </c>
      <c r="C1492" s="9">
        <v>1493</v>
      </c>
      <c r="D1492" s="3">
        <v>4900000</v>
      </c>
      <c r="E1492" s="1">
        <f>datos_limpios[[#This Row],[Price INR   ]]*0.011</f>
        <v>53900</v>
      </c>
      <c r="F1492" s="13">
        <v>2022</v>
      </c>
      <c r="G1492" s="2">
        <v>5000</v>
      </c>
      <c r="H1492" s="8" t="s">
        <v>12</v>
      </c>
      <c r="I1492" s="8" t="s">
        <v>40</v>
      </c>
      <c r="J1492" s="8" t="s">
        <v>20</v>
      </c>
      <c r="K1492" t="s">
        <v>165</v>
      </c>
      <c r="L1492" t="s">
        <v>547</v>
      </c>
      <c r="M1492" s="2">
        <f>VALUE(MID(L1492,1,FIND("@",L1492)-6))</f>
        <v>181</v>
      </c>
      <c r="N1492">
        <v>5</v>
      </c>
      <c r="O1492" t="str">
        <f>IF(datos_limpios[[#This Row],[Seating Capacity ]]&gt;4,"SI","NO")</f>
        <v>SI</v>
      </c>
      <c r="P1492">
        <v>66</v>
      </c>
    </row>
    <row r="1493" spans="1:16" x14ac:dyDescent="0.3">
      <c r="A1493" s="8" t="s">
        <v>116</v>
      </c>
      <c r="B1493" s="8" t="s">
        <v>793</v>
      </c>
      <c r="C1493" s="9">
        <v>1494</v>
      </c>
      <c r="D1493" s="3">
        <v>4950000</v>
      </c>
      <c r="E1493" s="1">
        <f>datos_limpios[[#This Row],[Price INR   ]]*0.011</f>
        <v>54450</v>
      </c>
      <c r="F1493" s="13">
        <v>2021</v>
      </c>
      <c r="G1493" s="2">
        <v>12400</v>
      </c>
      <c r="H1493" s="8" t="s">
        <v>12</v>
      </c>
      <c r="I1493" s="8" t="s">
        <v>40</v>
      </c>
      <c r="J1493" s="8" t="s">
        <v>57</v>
      </c>
      <c r="K1493" t="s">
        <v>227</v>
      </c>
      <c r="L1493" t="s">
        <v>794</v>
      </c>
      <c r="M1493" s="2">
        <f>VALUE(MID(L1493,1,FIND("@",L1493)-6))</f>
        <v>201</v>
      </c>
      <c r="N1493">
        <v>5</v>
      </c>
      <c r="O1493" t="str">
        <f>IF(datos_limpios[[#This Row],[Seating Capacity ]]&gt;4,"SI","NO")</f>
        <v>SI</v>
      </c>
      <c r="P1493">
        <v>66</v>
      </c>
    </row>
    <row r="1494" spans="1:16" x14ac:dyDescent="0.3">
      <c r="A1494" s="8" t="s">
        <v>116</v>
      </c>
      <c r="B1494" s="8" t="s">
        <v>793</v>
      </c>
      <c r="C1494" s="9">
        <v>1495</v>
      </c>
      <c r="D1494" s="3">
        <v>4975000</v>
      </c>
      <c r="E1494" s="1">
        <f>datos_limpios[[#This Row],[Price INR   ]]*0.011</f>
        <v>54725</v>
      </c>
      <c r="F1494" s="13">
        <v>2021</v>
      </c>
      <c r="G1494" s="2">
        <v>2610</v>
      </c>
      <c r="H1494" s="8" t="s">
        <v>12</v>
      </c>
      <c r="I1494" s="8" t="s">
        <v>40</v>
      </c>
      <c r="J1494" s="8" t="s">
        <v>20</v>
      </c>
      <c r="K1494" t="s">
        <v>227</v>
      </c>
      <c r="L1494" t="s">
        <v>794</v>
      </c>
      <c r="M1494" s="2">
        <f>VALUE(MID(L1494,1,FIND("@",L1494)-6))</f>
        <v>201</v>
      </c>
      <c r="N1494">
        <v>5</v>
      </c>
      <c r="O1494" t="str">
        <f>IF(datos_limpios[[#This Row],[Seating Capacity ]]&gt;4,"SI","NO")</f>
        <v>SI</v>
      </c>
      <c r="P1494">
        <v>66</v>
      </c>
    </row>
    <row r="1495" spans="1:16" x14ac:dyDescent="0.3">
      <c r="A1495" s="8" t="s">
        <v>116</v>
      </c>
      <c r="B1495" s="8" t="s">
        <v>1073</v>
      </c>
      <c r="C1495" s="9">
        <v>1496</v>
      </c>
      <c r="D1495" s="3">
        <v>5000000</v>
      </c>
      <c r="E1495" s="1">
        <f>datos_limpios[[#This Row],[Price INR   ]]*0.011</f>
        <v>55000</v>
      </c>
      <c r="F1495" s="13">
        <v>2016</v>
      </c>
      <c r="G1495" s="2">
        <v>61000</v>
      </c>
      <c r="H1495" s="8" t="s">
        <v>19</v>
      </c>
      <c r="I1495" s="8" t="s">
        <v>40</v>
      </c>
      <c r="J1495" s="8" t="s">
        <v>14</v>
      </c>
      <c r="K1495" t="s">
        <v>354</v>
      </c>
      <c r="L1495" t="s">
        <v>459</v>
      </c>
      <c r="M1495" s="2">
        <f>VALUE(MID(L1495,1,FIND("@",L1495)-6))</f>
        <v>255</v>
      </c>
      <c r="N1495">
        <v>5</v>
      </c>
      <c r="O1495" t="str">
        <f>IF(datos_limpios[[#This Row],[Seating Capacity ]]&gt;4,"SI","NO")</f>
        <v>SI</v>
      </c>
      <c r="P1495">
        <v>93</v>
      </c>
    </row>
    <row r="1496" spans="1:16" x14ac:dyDescent="0.3">
      <c r="A1496" s="8" t="s">
        <v>116</v>
      </c>
      <c r="B1496" s="8" t="s">
        <v>226</v>
      </c>
      <c r="C1496" s="9">
        <v>1497</v>
      </c>
      <c r="D1496" s="3">
        <v>5100000</v>
      </c>
      <c r="E1496" s="1">
        <f>datos_limpios[[#This Row],[Price INR   ]]*0.011</f>
        <v>56100</v>
      </c>
      <c r="F1496" s="13">
        <v>2017</v>
      </c>
      <c r="G1496" s="2">
        <v>56000</v>
      </c>
      <c r="H1496" s="8" t="s">
        <v>12</v>
      </c>
      <c r="I1496" s="8" t="s">
        <v>40</v>
      </c>
      <c r="J1496" s="8" t="s">
        <v>20</v>
      </c>
      <c r="K1496" t="s">
        <v>227</v>
      </c>
      <c r="L1496" t="s">
        <v>228</v>
      </c>
      <c r="M1496" s="2">
        <f>VALUE(MID(L1496,1,FIND("@",L1496)-6))</f>
        <v>241</v>
      </c>
      <c r="N1496">
        <v>4</v>
      </c>
      <c r="O1496" t="str">
        <f>IF(datos_limpios[[#This Row],[Seating Capacity ]]&gt;4,"SI","NO")</f>
        <v>NO</v>
      </c>
      <c r="P1496">
        <v>59</v>
      </c>
    </row>
    <row r="1497" spans="1:16" x14ac:dyDescent="0.3">
      <c r="A1497" s="8" t="s">
        <v>116</v>
      </c>
      <c r="B1497" s="8" t="s">
        <v>875</v>
      </c>
      <c r="C1497" s="9">
        <v>1498</v>
      </c>
      <c r="D1497" s="3">
        <v>5200000</v>
      </c>
      <c r="E1497" s="1">
        <f>datos_limpios[[#This Row],[Price INR   ]]*0.011</f>
        <v>57200</v>
      </c>
      <c r="F1497" s="13">
        <v>2019</v>
      </c>
      <c r="G1497" s="2">
        <v>10000</v>
      </c>
      <c r="H1497" s="8" t="s">
        <v>19</v>
      </c>
      <c r="I1497" s="8" t="s">
        <v>40</v>
      </c>
      <c r="J1497" s="8" t="s">
        <v>57</v>
      </c>
      <c r="K1497" t="s">
        <v>295</v>
      </c>
      <c r="L1497" t="s">
        <v>296</v>
      </c>
      <c r="M1497" s="2">
        <f>VALUE(MID(L1497,1,FIND("@",L1497)-6))</f>
        <v>192</v>
      </c>
      <c r="N1497">
        <v>5</v>
      </c>
      <c r="O1497" t="str">
        <f>IF(datos_limpios[[#This Row],[Seating Capacity ]]&gt;4,"SI","NO")</f>
        <v>SI</v>
      </c>
      <c r="P1497">
        <v>66</v>
      </c>
    </row>
    <row r="1498" spans="1:16" x14ac:dyDescent="0.3">
      <c r="A1498" s="8" t="s">
        <v>116</v>
      </c>
      <c r="B1498" s="8" t="s">
        <v>564</v>
      </c>
      <c r="C1498" s="9">
        <v>1499</v>
      </c>
      <c r="D1498" s="3">
        <v>5200000</v>
      </c>
      <c r="E1498" s="1">
        <f>datos_limpios[[#This Row],[Price INR   ]]*0.011</f>
        <v>57200</v>
      </c>
      <c r="F1498" s="13">
        <v>2020</v>
      </c>
      <c r="G1498" s="2">
        <v>18000</v>
      </c>
      <c r="H1498" s="8" t="s">
        <v>19</v>
      </c>
      <c r="I1498" s="8" t="s">
        <v>40</v>
      </c>
      <c r="J1498" s="8" t="s">
        <v>20</v>
      </c>
      <c r="K1498" t="s">
        <v>295</v>
      </c>
      <c r="L1498" t="s">
        <v>296</v>
      </c>
      <c r="M1498" s="2">
        <f>VALUE(MID(L1498,1,FIND("@",L1498)-6))</f>
        <v>192</v>
      </c>
      <c r="N1498">
        <v>5</v>
      </c>
      <c r="O1498" t="str">
        <f>IF(datos_limpios[[#This Row],[Seating Capacity ]]&gt;4,"SI","NO")</f>
        <v>SI</v>
      </c>
      <c r="P1498">
        <v>80</v>
      </c>
    </row>
    <row r="1499" spans="1:16" x14ac:dyDescent="0.3">
      <c r="A1499" s="8" t="s">
        <v>116</v>
      </c>
      <c r="B1499" s="8" t="s">
        <v>974</v>
      </c>
      <c r="C1499" s="9">
        <v>1500</v>
      </c>
      <c r="D1499" s="3">
        <v>5250000</v>
      </c>
      <c r="E1499" s="1">
        <f>datos_limpios[[#This Row],[Price INR   ]]*0.011</f>
        <v>57750</v>
      </c>
      <c r="F1499" s="13">
        <v>2020</v>
      </c>
      <c r="G1499" s="2">
        <v>28079</v>
      </c>
      <c r="H1499" s="8" t="s">
        <v>19</v>
      </c>
      <c r="I1499" s="8" t="s">
        <v>40</v>
      </c>
      <c r="J1499" s="8" t="s">
        <v>57</v>
      </c>
      <c r="K1499" t="s">
        <v>295</v>
      </c>
      <c r="L1499" t="s">
        <v>631</v>
      </c>
      <c r="M1499" s="2">
        <f>VALUE(MID(L1499,1,FIND("@",L1499)-6))</f>
        <v>241</v>
      </c>
      <c r="N1499">
        <v>5</v>
      </c>
      <c r="O1499" t="str">
        <f>IF(datos_limpios[[#This Row],[Seating Capacity ]]&gt;4,"SI","NO")</f>
        <v>SI</v>
      </c>
      <c r="P1499">
        <v>66</v>
      </c>
    </row>
    <row r="1500" spans="1:16" x14ac:dyDescent="0.3">
      <c r="A1500" s="8" t="s">
        <v>116</v>
      </c>
      <c r="B1500" s="8" t="s">
        <v>852</v>
      </c>
      <c r="C1500" s="9">
        <v>1501</v>
      </c>
      <c r="D1500" s="3">
        <v>5300000</v>
      </c>
      <c r="E1500" s="1">
        <f>datos_limpios[[#This Row],[Price INR   ]]*0.011</f>
        <v>58300</v>
      </c>
      <c r="F1500" s="13">
        <v>2022</v>
      </c>
      <c r="G1500" s="2">
        <v>12500</v>
      </c>
      <c r="H1500" s="8" t="s">
        <v>19</v>
      </c>
      <c r="I1500" s="8" t="s">
        <v>40</v>
      </c>
      <c r="J1500" s="8" t="s">
        <v>20</v>
      </c>
      <c r="K1500" t="s">
        <v>853</v>
      </c>
      <c r="L1500" t="s">
        <v>1521</v>
      </c>
      <c r="M1500" s="2">
        <f>VALUE(MID(L1500,1,FIND("@",L1500)-6))</f>
        <v>170</v>
      </c>
      <c r="N1500">
        <v>5</v>
      </c>
      <c r="O1500" t="str">
        <f>IF(datos_limpios[[#This Row],[Seating Capacity ]]&gt;4,"SI","NO")</f>
        <v>SI</v>
      </c>
      <c r="P1500">
        <v>66</v>
      </c>
    </row>
    <row r="1501" spans="1:16" x14ac:dyDescent="0.3">
      <c r="A1501" s="8" t="s">
        <v>116</v>
      </c>
      <c r="B1501" s="8" t="s">
        <v>303</v>
      </c>
      <c r="C1501" s="9">
        <v>1502</v>
      </c>
      <c r="D1501" s="3">
        <v>5400000</v>
      </c>
      <c r="E1501" s="1">
        <f>datos_limpios[[#This Row],[Price INR   ]]*0.011</f>
        <v>59400</v>
      </c>
      <c r="F1501" s="13">
        <v>2016</v>
      </c>
      <c r="G1501" s="2">
        <v>16000</v>
      </c>
      <c r="H1501" s="8" t="s">
        <v>19</v>
      </c>
      <c r="I1501" s="8" t="s">
        <v>40</v>
      </c>
      <c r="J1501" s="8" t="s">
        <v>20</v>
      </c>
      <c r="K1501" t="s">
        <v>118</v>
      </c>
      <c r="L1501" t="s">
        <v>304</v>
      </c>
      <c r="M1501" s="2">
        <f>VALUE(MID(L1501,1,FIND("@",L1501)-6))</f>
        <v>201</v>
      </c>
      <c r="N1501">
        <v>5</v>
      </c>
      <c r="O1501" t="str">
        <f>IF(datos_limpios[[#This Row],[Seating Capacity ]]&gt;4,"SI","NO")</f>
        <v>SI</v>
      </c>
      <c r="P1501">
        <v>93</v>
      </c>
    </row>
    <row r="1502" spans="1:16" x14ac:dyDescent="0.3">
      <c r="A1502" s="8" t="s">
        <v>116</v>
      </c>
      <c r="B1502" s="8" t="s">
        <v>852</v>
      </c>
      <c r="C1502" s="9">
        <v>1503</v>
      </c>
      <c r="D1502" s="3">
        <v>5400000</v>
      </c>
      <c r="E1502" s="1">
        <f>datos_limpios[[#This Row],[Price INR   ]]*0.011</f>
        <v>59400</v>
      </c>
      <c r="F1502" s="13">
        <v>2022</v>
      </c>
      <c r="G1502" s="2">
        <v>4600</v>
      </c>
      <c r="H1502" s="8" t="s">
        <v>19</v>
      </c>
      <c r="I1502" s="8" t="s">
        <v>40</v>
      </c>
      <c r="J1502" s="8" t="s">
        <v>20</v>
      </c>
      <c r="K1502" t="s">
        <v>853</v>
      </c>
      <c r="L1502" t="s">
        <v>1521</v>
      </c>
      <c r="M1502" s="2">
        <f>VALUE(MID(L1502,1,FIND("@",L1502)-6))</f>
        <v>170</v>
      </c>
      <c r="N1502">
        <v>5</v>
      </c>
      <c r="O1502" t="str">
        <f>IF(datos_limpios[[#This Row],[Seating Capacity ]]&gt;4,"SI","NO")</f>
        <v>SI</v>
      </c>
      <c r="P1502">
        <v>66</v>
      </c>
    </row>
    <row r="1503" spans="1:16" x14ac:dyDescent="0.3">
      <c r="A1503" s="8" t="s">
        <v>116</v>
      </c>
      <c r="B1503" s="8" t="s">
        <v>303</v>
      </c>
      <c r="C1503" s="9">
        <v>1504</v>
      </c>
      <c r="D1503" s="3">
        <v>5400000</v>
      </c>
      <c r="E1503" s="1">
        <f>datos_limpios[[#This Row],[Price INR   ]]*0.011</f>
        <v>59400</v>
      </c>
      <c r="F1503" s="13">
        <v>2018</v>
      </c>
      <c r="G1503" s="2">
        <v>50500</v>
      </c>
      <c r="H1503" s="8" t="s">
        <v>19</v>
      </c>
      <c r="I1503" s="8" t="s">
        <v>40</v>
      </c>
      <c r="J1503" s="8" t="s">
        <v>20</v>
      </c>
      <c r="K1503" t="s">
        <v>118</v>
      </c>
      <c r="L1503" t="s">
        <v>304</v>
      </c>
      <c r="M1503" s="2">
        <f>VALUE(MID(L1503,1,FIND("@",L1503)-6))</f>
        <v>201</v>
      </c>
      <c r="N1503">
        <v>5</v>
      </c>
      <c r="O1503" t="str">
        <f>IF(datos_limpios[[#This Row],[Seating Capacity ]]&gt;4,"SI","NO")</f>
        <v>SI</v>
      </c>
      <c r="P1503">
        <v>93</v>
      </c>
    </row>
    <row r="1504" spans="1:16" x14ac:dyDescent="0.3">
      <c r="A1504" s="8" t="s">
        <v>116</v>
      </c>
      <c r="B1504" s="8" t="s">
        <v>778</v>
      </c>
      <c r="C1504" s="9">
        <v>1505</v>
      </c>
      <c r="D1504" s="3">
        <v>5500000</v>
      </c>
      <c r="E1504" s="1">
        <f>datos_limpios[[#This Row],[Price INR   ]]*0.011</f>
        <v>60500</v>
      </c>
      <c r="F1504" s="13">
        <v>2015</v>
      </c>
      <c r="G1504" s="2">
        <v>54000</v>
      </c>
      <c r="H1504" s="8" t="s">
        <v>19</v>
      </c>
      <c r="I1504" s="8" t="s">
        <v>40</v>
      </c>
      <c r="J1504" s="8" t="s">
        <v>20</v>
      </c>
      <c r="K1504" t="s">
        <v>354</v>
      </c>
      <c r="L1504" t="s">
        <v>779</v>
      </c>
      <c r="M1504" s="2">
        <f>VALUE(MID(L1504,1,FIND("@",L1504)-6))</f>
        <v>255</v>
      </c>
      <c r="N1504">
        <v>5</v>
      </c>
      <c r="O1504" t="str">
        <f>IF(datos_limpios[[#This Row],[Seating Capacity ]]&gt;4,"SI","NO")</f>
        <v>SI</v>
      </c>
      <c r="P1504">
        <v>70</v>
      </c>
    </row>
    <row r="1505" spans="1:16" x14ac:dyDescent="0.3">
      <c r="A1505" s="8" t="s">
        <v>116</v>
      </c>
      <c r="B1505" s="8" t="s">
        <v>564</v>
      </c>
      <c r="C1505" s="9">
        <v>1506</v>
      </c>
      <c r="D1505" s="3">
        <v>5500000</v>
      </c>
      <c r="E1505" s="1">
        <f>datos_limpios[[#This Row],[Price INR   ]]*0.011</f>
        <v>60500</v>
      </c>
      <c r="F1505" s="13">
        <v>2019</v>
      </c>
      <c r="G1505" s="2">
        <v>30000</v>
      </c>
      <c r="H1505" s="8" t="s">
        <v>19</v>
      </c>
      <c r="I1505" s="8" t="s">
        <v>40</v>
      </c>
      <c r="J1505" s="8" t="s">
        <v>20</v>
      </c>
      <c r="K1505" t="s">
        <v>295</v>
      </c>
      <c r="L1505" t="s">
        <v>296</v>
      </c>
      <c r="M1505" s="2">
        <f>VALUE(MID(L1505,1,FIND("@",L1505)-6))</f>
        <v>192</v>
      </c>
      <c r="N1505">
        <v>5</v>
      </c>
      <c r="O1505" t="str">
        <f>IF(datos_limpios[[#This Row],[Seating Capacity ]]&gt;4,"SI","NO")</f>
        <v>SI</v>
      </c>
      <c r="P1505">
        <v>80</v>
      </c>
    </row>
    <row r="1506" spans="1:16" x14ac:dyDescent="0.3">
      <c r="A1506" s="8" t="s">
        <v>116</v>
      </c>
      <c r="B1506" s="8" t="s">
        <v>303</v>
      </c>
      <c r="C1506" s="9">
        <v>1507</v>
      </c>
      <c r="D1506" s="3">
        <v>5775000</v>
      </c>
      <c r="E1506" s="1">
        <f>datos_limpios[[#This Row],[Price INR   ]]*0.011</f>
        <v>63524.999999999993</v>
      </c>
      <c r="F1506" s="13">
        <v>2019</v>
      </c>
      <c r="G1506" s="2">
        <v>57000</v>
      </c>
      <c r="H1506" s="8" t="s">
        <v>19</v>
      </c>
      <c r="I1506" s="8" t="s">
        <v>40</v>
      </c>
      <c r="J1506" s="8" t="s">
        <v>101</v>
      </c>
      <c r="K1506" t="s">
        <v>118</v>
      </c>
      <c r="L1506" t="s">
        <v>304</v>
      </c>
      <c r="M1506" s="2">
        <f>VALUE(MID(L1506,1,FIND("@",L1506)-6))</f>
        <v>201</v>
      </c>
      <c r="N1506">
        <v>5</v>
      </c>
      <c r="O1506" t="str">
        <f>IF(datos_limpios[[#This Row],[Seating Capacity ]]&gt;4,"SI","NO")</f>
        <v>SI</v>
      </c>
      <c r="P1506">
        <v>93</v>
      </c>
    </row>
    <row r="1507" spans="1:16" x14ac:dyDescent="0.3">
      <c r="A1507" s="8" t="s">
        <v>116</v>
      </c>
      <c r="B1507" s="8" t="s">
        <v>303</v>
      </c>
      <c r="C1507" s="9">
        <v>1508</v>
      </c>
      <c r="D1507" s="3">
        <v>5850000</v>
      </c>
      <c r="E1507" s="1">
        <f>datos_limpios[[#This Row],[Price INR   ]]*0.011</f>
        <v>64349.999999999993</v>
      </c>
      <c r="F1507" s="13">
        <v>2019</v>
      </c>
      <c r="G1507" s="2">
        <v>31000</v>
      </c>
      <c r="H1507" s="8" t="s">
        <v>19</v>
      </c>
      <c r="I1507" s="8" t="s">
        <v>40</v>
      </c>
      <c r="J1507" s="8" t="s">
        <v>14</v>
      </c>
      <c r="K1507" t="s">
        <v>118</v>
      </c>
      <c r="L1507" t="s">
        <v>304</v>
      </c>
      <c r="M1507" s="2">
        <f>VALUE(MID(L1507,1,FIND("@",L1507)-6))</f>
        <v>201</v>
      </c>
      <c r="N1507">
        <v>5</v>
      </c>
      <c r="O1507" t="str">
        <f>IF(datos_limpios[[#This Row],[Seating Capacity ]]&gt;4,"SI","NO")</f>
        <v>SI</v>
      </c>
      <c r="P1507">
        <v>93</v>
      </c>
    </row>
    <row r="1508" spans="1:16" x14ac:dyDescent="0.3">
      <c r="A1508" s="8" t="s">
        <v>116</v>
      </c>
      <c r="B1508" s="8" t="s">
        <v>1073</v>
      </c>
      <c r="C1508" s="9">
        <v>1509</v>
      </c>
      <c r="D1508" s="3">
        <v>5900000</v>
      </c>
      <c r="E1508" s="1">
        <f>datos_limpios[[#This Row],[Price INR   ]]*0.011</f>
        <v>64899.999999999993</v>
      </c>
      <c r="F1508" s="13">
        <v>2018</v>
      </c>
      <c r="G1508" s="2">
        <v>28000</v>
      </c>
      <c r="H1508" s="8" t="s">
        <v>19</v>
      </c>
      <c r="I1508" s="8" t="s">
        <v>40</v>
      </c>
      <c r="J1508" s="8" t="s">
        <v>20</v>
      </c>
      <c r="K1508" t="s">
        <v>354</v>
      </c>
      <c r="L1508" t="s">
        <v>459</v>
      </c>
      <c r="M1508" s="2">
        <f>VALUE(MID(L1508,1,FIND("@",L1508)-6))</f>
        <v>255</v>
      </c>
      <c r="N1508">
        <v>5</v>
      </c>
      <c r="O1508" t="str">
        <f>IF(datos_limpios[[#This Row],[Seating Capacity ]]&gt;4,"SI","NO")</f>
        <v>SI</v>
      </c>
      <c r="P1508">
        <v>93</v>
      </c>
    </row>
    <row r="1509" spans="1:16" x14ac:dyDescent="0.3">
      <c r="A1509" s="8" t="s">
        <v>116</v>
      </c>
      <c r="B1509" s="8" t="s">
        <v>649</v>
      </c>
      <c r="C1509" s="9">
        <v>1510</v>
      </c>
      <c r="D1509" s="3">
        <v>5950000</v>
      </c>
      <c r="E1509" s="1">
        <f>datos_limpios[[#This Row],[Price INR   ]]*0.011</f>
        <v>65449.999999999993</v>
      </c>
      <c r="F1509" s="13">
        <v>2019</v>
      </c>
      <c r="G1509" s="2">
        <v>10000</v>
      </c>
      <c r="H1509" s="8" t="s">
        <v>19</v>
      </c>
      <c r="I1509" s="8" t="s">
        <v>40</v>
      </c>
      <c r="J1509" s="8" t="s">
        <v>20</v>
      </c>
      <c r="K1509" t="s">
        <v>295</v>
      </c>
      <c r="L1509" t="s">
        <v>296</v>
      </c>
      <c r="M1509" s="2">
        <f>VALUE(MID(L1509,1,FIND("@",L1509)-6))</f>
        <v>192</v>
      </c>
      <c r="N1509">
        <v>5</v>
      </c>
      <c r="O1509" t="str">
        <f>IF(datos_limpios[[#This Row],[Seating Capacity ]]&gt;4,"SI","NO")</f>
        <v>SI</v>
      </c>
      <c r="P1509">
        <v>80</v>
      </c>
    </row>
    <row r="1510" spans="1:16" x14ac:dyDescent="0.3">
      <c r="A1510" s="8" t="s">
        <v>116</v>
      </c>
      <c r="B1510" s="8" t="s">
        <v>1438</v>
      </c>
      <c r="C1510" s="9">
        <v>1511</v>
      </c>
      <c r="D1510" s="3">
        <v>5950000</v>
      </c>
      <c r="E1510" s="1">
        <f>datos_limpios[[#This Row],[Price INR   ]]*0.011</f>
        <v>65449.999999999993</v>
      </c>
      <c r="F1510" s="13">
        <v>2017</v>
      </c>
      <c r="G1510" s="2">
        <v>80000</v>
      </c>
      <c r="H1510" s="8" t="s">
        <v>12</v>
      </c>
      <c r="I1510" s="8" t="s">
        <v>40</v>
      </c>
      <c r="J1510" s="8" t="s">
        <v>101</v>
      </c>
      <c r="K1510" t="s">
        <v>416</v>
      </c>
      <c r="L1510" t="s">
        <v>1439</v>
      </c>
      <c r="M1510" s="2">
        <f>VALUE(MID(L1510,1,FIND("@",L1510)-6))</f>
        <v>329</v>
      </c>
      <c r="N1510">
        <v>5</v>
      </c>
      <c r="O1510" t="str">
        <f>IF(datos_limpios[[#This Row],[Seating Capacity ]]&gt;4,"SI","NO")</f>
        <v>SI</v>
      </c>
      <c r="P1510">
        <v>100</v>
      </c>
    </row>
    <row r="1511" spans="1:16" x14ac:dyDescent="0.3">
      <c r="A1511" s="8" t="s">
        <v>116</v>
      </c>
      <c r="B1511" s="8" t="s">
        <v>1246</v>
      </c>
      <c r="C1511" s="9">
        <v>1512</v>
      </c>
      <c r="D1511" s="3">
        <v>6100000</v>
      </c>
      <c r="E1511" s="1">
        <f>datos_limpios[[#This Row],[Price INR   ]]*0.011</f>
        <v>67100</v>
      </c>
      <c r="F1511" s="13">
        <v>2022</v>
      </c>
      <c r="G1511" s="2">
        <v>500</v>
      </c>
      <c r="H1511" s="8" t="s">
        <v>19</v>
      </c>
      <c r="I1511" s="8" t="s">
        <v>40</v>
      </c>
      <c r="J1511" s="8" t="s">
        <v>14</v>
      </c>
      <c r="K1511" t="s">
        <v>295</v>
      </c>
      <c r="L1511" t="s">
        <v>296</v>
      </c>
      <c r="M1511" s="2">
        <f>VALUE(MID(L1511,1,FIND("@",L1511)-6))</f>
        <v>192</v>
      </c>
      <c r="N1511">
        <v>5</v>
      </c>
      <c r="O1511" t="str">
        <f>IF(datos_limpios[[#This Row],[Seating Capacity ]]&gt;4,"SI","NO")</f>
        <v>SI</v>
      </c>
      <c r="P1511">
        <v>66</v>
      </c>
    </row>
    <row r="1512" spans="1:16" x14ac:dyDescent="0.3">
      <c r="A1512" s="8" t="s">
        <v>116</v>
      </c>
      <c r="B1512" s="8" t="s">
        <v>564</v>
      </c>
      <c r="C1512" s="9">
        <v>1513</v>
      </c>
      <c r="D1512" s="3">
        <v>6100000</v>
      </c>
      <c r="E1512" s="1">
        <f>datos_limpios[[#This Row],[Price INR   ]]*0.011</f>
        <v>67100</v>
      </c>
      <c r="F1512" s="13">
        <v>2020</v>
      </c>
      <c r="G1512" s="2">
        <v>9500</v>
      </c>
      <c r="H1512" s="8" t="s">
        <v>19</v>
      </c>
      <c r="I1512" s="8" t="s">
        <v>40</v>
      </c>
      <c r="J1512" s="8" t="s">
        <v>77</v>
      </c>
      <c r="K1512" t="s">
        <v>295</v>
      </c>
      <c r="L1512" t="s">
        <v>296</v>
      </c>
      <c r="M1512" s="2">
        <f>VALUE(MID(L1512,1,FIND("@",L1512)-6))</f>
        <v>192</v>
      </c>
      <c r="N1512">
        <v>5</v>
      </c>
      <c r="O1512" t="str">
        <f>IF(datos_limpios[[#This Row],[Seating Capacity ]]&gt;4,"SI","NO")</f>
        <v>SI</v>
      </c>
      <c r="P1512">
        <v>80</v>
      </c>
    </row>
    <row r="1513" spans="1:16" x14ac:dyDescent="0.3">
      <c r="A1513" s="8" t="s">
        <v>116</v>
      </c>
      <c r="B1513" s="8" t="s">
        <v>1073</v>
      </c>
      <c r="C1513" s="9">
        <v>1514</v>
      </c>
      <c r="D1513" s="3">
        <v>6150000</v>
      </c>
      <c r="E1513" s="1">
        <f>datos_limpios[[#This Row],[Price INR   ]]*0.011</f>
        <v>67650</v>
      </c>
      <c r="F1513" s="13">
        <v>2018</v>
      </c>
      <c r="G1513" s="2">
        <v>18000</v>
      </c>
      <c r="H1513" s="8" t="s">
        <v>19</v>
      </c>
      <c r="I1513" s="8" t="s">
        <v>40</v>
      </c>
      <c r="J1513" s="8" t="s">
        <v>101</v>
      </c>
      <c r="K1513" t="s">
        <v>354</v>
      </c>
      <c r="L1513" t="s">
        <v>459</v>
      </c>
      <c r="M1513" s="2">
        <f>VALUE(MID(L1513,1,FIND("@",L1513)-6))</f>
        <v>255</v>
      </c>
      <c r="N1513">
        <v>5</v>
      </c>
      <c r="O1513" t="str">
        <f>IF(datos_limpios[[#This Row],[Seating Capacity ]]&gt;4,"SI","NO")</f>
        <v>SI</v>
      </c>
      <c r="P1513">
        <v>93</v>
      </c>
    </row>
    <row r="1514" spans="1:16" x14ac:dyDescent="0.3">
      <c r="A1514" s="8" t="s">
        <v>116</v>
      </c>
      <c r="B1514" s="8" t="s">
        <v>831</v>
      </c>
      <c r="C1514" s="9">
        <v>1515</v>
      </c>
      <c r="D1514" s="3">
        <v>6225000</v>
      </c>
      <c r="E1514" s="1">
        <f>datos_limpios[[#This Row],[Price INR   ]]*0.011</f>
        <v>68475</v>
      </c>
      <c r="F1514" s="13">
        <v>2019</v>
      </c>
      <c r="G1514" s="2">
        <v>42079</v>
      </c>
      <c r="H1514" s="8" t="s">
        <v>19</v>
      </c>
      <c r="I1514" s="8" t="s">
        <v>40</v>
      </c>
      <c r="J1514" s="8" t="s">
        <v>77</v>
      </c>
      <c r="K1514" t="s">
        <v>354</v>
      </c>
      <c r="L1514" t="s">
        <v>459</v>
      </c>
      <c r="M1514" s="2">
        <f>VALUE(MID(L1514,1,FIND("@",L1514)-6))</f>
        <v>255</v>
      </c>
      <c r="N1514">
        <v>5</v>
      </c>
      <c r="O1514" t="str">
        <f>IF(datos_limpios[[#This Row],[Seating Capacity ]]&gt;4,"SI","NO")</f>
        <v>SI</v>
      </c>
      <c r="P1514">
        <v>80</v>
      </c>
    </row>
    <row r="1515" spans="1:16" x14ac:dyDescent="0.3">
      <c r="A1515" s="8" t="s">
        <v>116</v>
      </c>
      <c r="B1515" s="8" t="s">
        <v>1311</v>
      </c>
      <c r="C1515" s="9">
        <v>1516</v>
      </c>
      <c r="D1515" s="3">
        <v>6300000</v>
      </c>
      <c r="E1515" s="1">
        <f>datos_limpios[[#This Row],[Price INR   ]]*0.011</f>
        <v>69300</v>
      </c>
      <c r="F1515" s="13">
        <v>2020</v>
      </c>
      <c r="G1515" s="2">
        <v>40000</v>
      </c>
      <c r="H1515" s="8" t="s">
        <v>19</v>
      </c>
      <c r="I1515" s="8" t="s">
        <v>40</v>
      </c>
      <c r="J1515" s="8" t="s">
        <v>77</v>
      </c>
      <c r="K1515" t="s">
        <v>295</v>
      </c>
      <c r="L1515" t="s">
        <v>1312</v>
      </c>
      <c r="M1515" s="2">
        <f>VALUE(MID(L1515,1,FIND("@",L1515)-6))</f>
        <v>161</v>
      </c>
      <c r="N1515">
        <v>6</v>
      </c>
      <c r="O1515" t="str">
        <f>IF(datos_limpios[[#This Row],[Seating Capacity ]]&gt;4,"SI","NO")</f>
        <v>SI</v>
      </c>
      <c r="P1515">
        <v>57</v>
      </c>
    </row>
    <row r="1516" spans="1:16" x14ac:dyDescent="0.3">
      <c r="A1516" s="8" t="s">
        <v>116</v>
      </c>
      <c r="B1516" s="8" t="s">
        <v>635</v>
      </c>
      <c r="C1516" s="9">
        <v>1517</v>
      </c>
      <c r="D1516" s="3">
        <v>6400000</v>
      </c>
      <c r="E1516" s="1">
        <f>datos_limpios[[#This Row],[Price INR   ]]*0.011</f>
        <v>70400</v>
      </c>
      <c r="F1516" s="13">
        <v>2022</v>
      </c>
      <c r="G1516" s="2">
        <v>5500</v>
      </c>
      <c r="H1516" s="8" t="s">
        <v>19</v>
      </c>
      <c r="I1516" s="8" t="s">
        <v>40</v>
      </c>
      <c r="J1516" s="8" t="s">
        <v>20</v>
      </c>
      <c r="K1516" t="s">
        <v>295</v>
      </c>
      <c r="L1516" t="s">
        <v>296</v>
      </c>
      <c r="M1516" s="2">
        <f>VALUE(MID(L1516,1,FIND("@",L1516)-6))</f>
        <v>192</v>
      </c>
      <c r="N1516">
        <v>5</v>
      </c>
      <c r="O1516" t="str">
        <f>IF(datos_limpios[[#This Row],[Seating Capacity ]]&gt;4,"SI","NO")</f>
        <v>SI</v>
      </c>
      <c r="P1516">
        <v>66</v>
      </c>
    </row>
    <row r="1517" spans="1:16" x14ac:dyDescent="0.3">
      <c r="A1517" s="8" t="s">
        <v>116</v>
      </c>
      <c r="B1517" s="8" t="s">
        <v>226</v>
      </c>
      <c r="C1517" s="9">
        <v>1518</v>
      </c>
      <c r="D1517" s="3">
        <v>6500000</v>
      </c>
      <c r="E1517" s="1">
        <f>datos_limpios[[#This Row],[Price INR   ]]*0.011</f>
        <v>71500</v>
      </c>
      <c r="F1517" s="13">
        <v>2020</v>
      </c>
      <c r="G1517" s="2">
        <v>21000</v>
      </c>
      <c r="H1517" s="8" t="s">
        <v>12</v>
      </c>
      <c r="I1517" s="8" t="s">
        <v>40</v>
      </c>
      <c r="J1517" s="8" t="s">
        <v>20</v>
      </c>
      <c r="K1517" t="s">
        <v>227</v>
      </c>
      <c r="L1517" t="s">
        <v>228</v>
      </c>
      <c r="M1517" s="2">
        <f>VALUE(MID(L1517,1,FIND("@",L1517)-6))</f>
        <v>241</v>
      </c>
      <c r="N1517">
        <v>4</v>
      </c>
      <c r="O1517" t="str">
        <f>IF(datos_limpios[[#This Row],[Seating Capacity ]]&gt;4,"SI","NO")</f>
        <v>NO</v>
      </c>
      <c r="P1517">
        <v>59</v>
      </c>
    </row>
    <row r="1518" spans="1:16" x14ac:dyDescent="0.3">
      <c r="A1518" s="8" t="s">
        <v>116</v>
      </c>
      <c r="B1518" s="8" t="s">
        <v>724</v>
      </c>
      <c r="C1518" s="9">
        <v>1519</v>
      </c>
      <c r="D1518" s="3">
        <v>6500000</v>
      </c>
      <c r="E1518" s="1">
        <f>datos_limpios[[#This Row],[Price INR   ]]*0.011</f>
        <v>71500</v>
      </c>
      <c r="F1518" s="13">
        <v>2021</v>
      </c>
      <c r="G1518" s="2">
        <v>7500</v>
      </c>
      <c r="H1518" s="8" t="s">
        <v>12</v>
      </c>
      <c r="I1518" s="8" t="s">
        <v>40</v>
      </c>
      <c r="J1518" s="8" t="s">
        <v>101</v>
      </c>
      <c r="K1518" t="s">
        <v>227</v>
      </c>
      <c r="L1518" t="s">
        <v>725</v>
      </c>
      <c r="M1518" s="2">
        <f>VALUE(MID(L1518,1,FIND("@",L1518)-6))</f>
        <v>194</v>
      </c>
      <c r="N1518">
        <v>5</v>
      </c>
      <c r="O1518" t="str">
        <f>IF(datos_limpios[[#This Row],[Seating Capacity ]]&gt;4,"SI","NO")</f>
        <v>SI</v>
      </c>
      <c r="P1518">
        <v>80</v>
      </c>
    </row>
    <row r="1519" spans="1:16" x14ac:dyDescent="0.3">
      <c r="A1519" s="8" t="s">
        <v>116</v>
      </c>
      <c r="B1519" s="8" t="s">
        <v>649</v>
      </c>
      <c r="C1519" s="9">
        <v>1520</v>
      </c>
      <c r="D1519" s="3">
        <v>6500000</v>
      </c>
      <c r="E1519" s="1">
        <f>datos_limpios[[#This Row],[Price INR   ]]*0.011</f>
        <v>71500</v>
      </c>
      <c r="F1519" s="13">
        <v>2019</v>
      </c>
      <c r="G1519" s="2">
        <v>5750</v>
      </c>
      <c r="H1519" s="8" t="s">
        <v>19</v>
      </c>
      <c r="I1519" s="8" t="s">
        <v>40</v>
      </c>
      <c r="J1519" s="8" t="s">
        <v>20</v>
      </c>
      <c r="K1519" t="s">
        <v>295</v>
      </c>
      <c r="L1519" t="s">
        <v>296</v>
      </c>
      <c r="M1519" s="2">
        <f>VALUE(MID(L1519,1,FIND("@",L1519)-6))</f>
        <v>192</v>
      </c>
      <c r="N1519">
        <v>5</v>
      </c>
      <c r="O1519" t="str">
        <f>IF(datos_limpios[[#This Row],[Seating Capacity ]]&gt;4,"SI","NO")</f>
        <v>SI</v>
      </c>
      <c r="P1519">
        <v>80</v>
      </c>
    </row>
    <row r="1520" spans="1:16" x14ac:dyDescent="0.3">
      <c r="A1520" s="8" t="s">
        <v>116</v>
      </c>
      <c r="B1520" s="8" t="s">
        <v>875</v>
      </c>
      <c r="C1520" s="9">
        <v>1521</v>
      </c>
      <c r="D1520" s="3">
        <v>6500000</v>
      </c>
      <c r="E1520" s="1">
        <f>datos_limpios[[#This Row],[Price INR   ]]*0.011</f>
        <v>71500</v>
      </c>
      <c r="F1520" s="13">
        <v>2020</v>
      </c>
      <c r="G1520" s="2">
        <v>13000</v>
      </c>
      <c r="H1520" s="8" t="s">
        <v>19</v>
      </c>
      <c r="I1520" s="8" t="s">
        <v>40</v>
      </c>
      <c r="J1520" s="8" t="s">
        <v>77</v>
      </c>
      <c r="K1520" t="s">
        <v>295</v>
      </c>
      <c r="L1520" t="s">
        <v>296</v>
      </c>
      <c r="M1520" s="2">
        <f>VALUE(MID(L1520,1,FIND("@",L1520)-6))</f>
        <v>192</v>
      </c>
      <c r="N1520">
        <v>5</v>
      </c>
      <c r="O1520" t="str">
        <f>IF(datos_limpios[[#This Row],[Seating Capacity ]]&gt;4,"SI","NO")</f>
        <v>SI</v>
      </c>
      <c r="P1520">
        <v>66</v>
      </c>
    </row>
    <row r="1521" spans="1:16" x14ac:dyDescent="0.3">
      <c r="A1521" s="8" t="s">
        <v>116</v>
      </c>
      <c r="B1521" s="8" t="s">
        <v>747</v>
      </c>
      <c r="C1521" s="9">
        <v>1522</v>
      </c>
      <c r="D1521" s="3">
        <v>6600000</v>
      </c>
      <c r="E1521" s="1">
        <f>datos_limpios[[#This Row],[Price INR   ]]*0.011</f>
        <v>72600</v>
      </c>
      <c r="F1521" s="13">
        <v>2021</v>
      </c>
      <c r="G1521" s="2">
        <v>16785</v>
      </c>
      <c r="H1521" s="8" t="s">
        <v>12</v>
      </c>
      <c r="I1521" s="8" t="s">
        <v>40</v>
      </c>
      <c r="J1521" s="8" t="s">
        <v>20</v>
      </c>
      <c r="K1521" t="s">
        <v>227</v>
      </c>
      <c r="L1521" t="s">
        <v>748</v>
      </c>
      <c r="M1521" s="2">
        <f>VALUE(MID(L1521,1,FIND("@",L1521)-6))</f>
        <v>194</v>
      </c>
      <c r="N1521">
        <v>5</v>
      </c>
      <c r="O1521" t="str">
        <f>IF(datos_limpios[[#This Row],[Seating Capacity ]]&gt;4,"SI","NO")</f>
        <v>SI</v>
      </c>
      <c r="P1521">
        <v>66</v>
      </c>
    </row>
    <row r="1522" spans="1:16" x14ac:dyDescent="0.3">
      <c r="A1522" s="8" t="s">
        <v>116</v>
      </c>
      <c r="B1522" s="8" t="s">
        <v>635</v>
      </c>
      <c r="C1522" s="9">
        <v>1523</v>
      </c>
      <c r="D1522" s="3">
        <v>6750000</v>
      </c>
      <c r="E1522" s="1">
        <f>datos_limpios[[#This Row],[Price INR   ]]*0.011</f>
        <v>74250</v>
      </c>
      <c r="F1522" s="13">
        <v>2022</v>
      </c>
      <c r="G1522" s="2">
        <v>7000</v>
      </c>
      <c r="H1522" s="8" t="s">
        <v>19</v>
      </c>
      <c r="I1522" s="8" t="s">
        <v>40</v>
      </c>
      <c r="J1522" s="8" t="s">
        <v>57</v>
      </c>
      <c r="K1522" t="s">
        <v>295</v>
      </c>
      <c r="L1522" t="s">
        <v>296</v>
      </c>
      <c r="M1522" s="2">
        <f>VALUE(MID(L1522,1,FIND("@",L1522)-6))</f>
        <v>192</v>
      </c>
      <c r="N1522">
        <v>5</v>
      </c>
      <c r="O1522" t="str">
        <f>IF(datos_limpios[[#This Row],[Seating Capacity ]]&gt;4,"SI","NO")</f>
        <v>SI</v>
      </c>
      <c r="P1522">
        <v>66</v>
      </c>
    </row>
    <row r="1523" spans="1:16" x14ac:dyDescent="0.3">
      <c r="A1523" s="8" t="s">
        <v>116</v>
      </c>
      <c r="B1523" s="8" t="s">
        <v>875</v>
      </c>
      <c r="C1523" s="9">
        <v>1524</v>
      </c>
      <c r="D1523" s="3">
        <v>6800000</v>
      </c>
      <c r="E1523" s="1">
        <f>datos_limpios[[#This Row],[Price INR   ]]*0.011</f>
        <v>74800</v>
      </c>
      <c r="F1523" s="13">
        <v>2020</v>
      </c>
      <c r="G1523" s="2">
        <v>14500</v>
      </c>
      <c r="H1523" s="8" t="s">
        <v>19</v>
      </c>
      <c r="I1523" s="8" t="s">
        <v>40</v>
      </c>
      <c r="J1523" s="8" t="s">
        <v>77</v>
      </c>
      <c r="K1523" t="s">
        <v>295</v>
      </c>
      <c r="L1523" t="s">
        <v>296</v>
      </c>
      <c r="M1523" s="2">
        <f>VALUE(MID(L1523,1,FIND("@",L1523)-6))</f>
        <v>192</v>
      </c>
      <c r="N1523">
        <v>5</v>
      </c>
      <c r="O1523" t="str">
        <f>IF(datos_limpios[[#This Row],[Seating Capacity ]]&gt;4,"SI","NO")</f>
        <v>SI</v>
      </c>
      <c r="P1523">
        <v>66</v>
      </c>
    </row>
    <row r="1524" spans="1:16" x14ac:dyDescent="0.3">
      <c r="A1524" s="8" t="s">
        <v>116</v>
      </c>
      <c r="B1524" s="8" t="s">
        <v>458</v>
      </c>
      <c r="C1524" s="9">
        <v>1525</v>
      </c>
      <c r="D1524" s="3">
        <v>6875000</v>
      </c>
      <c r="E1524" s="1">
        <f>datos_limpios[[#This Row],[Price INR   ]]*0.011</f>
        <v>75625</v>
      </c>
      <c r="F1524" s="13">
        <v>2019</v>
      </c>
      <c r="G1524" s="2">
        <v>53000</v>
      </c>
      <c r="H1524" s="8" t="s">
        <v>19</v>
      </c>
      <c r="I1524" s="8" t="s">
        <v>40</v>
      </c>
      <c r="J1524" s="8" t="s">
        <v>20</v>
      </c>
      <c r="K1524" t="s">
        <v>354</v>
      </c>
      <c r="L1524" t="s">
        <v>459</v>
      </c>
      <c r="M1524" s="2">
        <f>VALUE(MID(L1524,1,FIND("@",L1524)-6))</f>
        <v>255</v>
      </c>
      <c r="N1524">
        <v>7</v>
      </c>
      <c r="O1524" t="str">
        <f>IF(datos_limpios[[#This Row],[Seating Capacity ]]&gt;4,"SI","NO")</f>
        <v>SI</v>
      </c>
      <c r="P1524">
        <v>100</v>
      </c>
    </row>
    <row r="1525" spans="1:16" x14ac:dyDescent="0.3">
      <c r="A1525" s="8" t="s">
        <v>116</v>
      </c>
      <c r="B1525" s="8" t="s">
        <v>747</v>
      </c>
      <c r="C1525" s="9">
        <v>1526</v>
      </c>
      <c r="D1525" s="3">
        <v>6975000</v>
      </c>
      <c r="E1525" s="1">
        <f>datos_limpios[[#This Row],[Price INR   ]]*0.011</f>
        <v>76725</v>
      </c>
      <c r="F1525" s="13">
        <v>2022</v>
      </c>
      <c r="G1525" s="2">
        <v>2000</v>
      </c>
      <c r="H1525" s="8" t="s">
        <v>12</v>
      </c>
      <c r="I1525" s="8" t="s">
        <v>40</v>
      </c>
      <c r="J1525" s="8" t="s">
        <v>20</v>
      </c>
      <c r="K1525" t="s">
        <v>227</v>
      </c>
      <c r="L1525" t="s">
        <v>748</v>
      </c>
      <c r="M1525" s="2">
        <f>VALUE(MID(L1525,1,FIND("@",L1525)-6))</f>
        <v>194</v>
      </c>
      <c r="N1525">
        <v>5</v>
      </c>
      <c r="O1525" t="str">
        <f>IF(datos_limpios[[#This Row],[Seating Capacity ]]&gt;4,"SI","NO")</f>
        <v>SI</v>
      </c>
      <c r="P1525">
        <v>66</v>
      </c>
    </row>
    <row r="1526" spans="1:16" x14ac:dyDescent="0.3">
      <c r="A1526" s="8" t="s">
        <v>116</v>
      </c>
      <c r="B1526" s="8" t="s">
        <v>1309</v>
      </c>
      <c r="C1526" s="9">
        <v>1527</v>
      </c>
      <c r="D1526" s="3">
        <v>6975000</v>
      </c>
      <c r="E1526" s="1">
        <f>datos_limpios[[#This Row],[Price INR   ]]*0.011</f>
        <v>76725</v>
      </c>
      <c r="F1526" s="13">
        <v>2020</v>
      </c>
      <c r="G1526" s="2">
        <v>15200</v>
      </c>
      <c r="H1526" s="8" t="s">
        <v>19</v>
      </c>
      <c r="I1526" s="8" t="s">
        <v>40</v>
      </c>
      <c r="J1526" s="8" t="s">
        <v>20</v>
      </c>
      <c r="K1526" t="s">
        <v>295</v>
      </c>
      <c r="L1526" t="s">
        <v>631</v>
      </c>
      <c r="M1526" s="2">
        <f>VALUE(MID(L1526,1,FIND("@",L1526)-6))</f>
        <v>241</v>
      </c>
      <c r="N1526">
        <v>5</v>
      </c>
      <c r="O1526" t="str">
        <f>IF(datos_limpios[[#This Row],[Seating Capacity ]]&gt;4,"SI","NO")</f>
        <v>SI</v>
      </c>
      <c r="P1526">
        <v>66</v>
      </c>
    </row>
    <row r="1527" spans="1:16" x14ac:dyDescent="0.3">
      <c r="A1527" s="8" t="s">
        <v>116</v>
      </c>
      <c r="B1527" s="8" t="s">
        <v>1206</v>
      </c>
      <c r="C1527" s="9">
        <v>1528</v>
      </c>
      <c r="D1527" s="3">
        <v>7000000</v>
      </c>
      <c r="E1527" s="1">
        <f>datos_limpios[[#This Row],[Price INR   ]]*0.011</f>
        <v>77000</v>
      </c>
      <c r="F1527" s="13">
        <v>2020</v>
      </c>
      <c r="G1527" s="2">
        <v>19000</v>
      </c>
      <c r="H1527" s="8" t="s">
        <v>12</v>
      </c>
      <c r="I1527" s="8" t="s">
        <v>40</v>
      </c>
      <c r="J1527" s="8" t="s">
        <v>20</v>
      </c>
      <c r="K1527" t="s">
        <v>416</v>
      </c>
      <c r="L1527" t="s">
        <v>1207</v>
      </c>
      <c r="M1527" s="2">
        <f>VALUE(MID(L1527,1,FIND("@",L1527)-6))</f>
        <v>385</v>
      </c>
      <c r="N1527">
        <v>4</v>
      </c>
      <c r="O1527" t="str">
        <f>IF(datos_limpios[[#This Row],[Seating Capacity ]]&gt;4,"SI","NO")</f>
        <v>NO</v>
      </c>
      <c r="P1527">
        <v>66</v>
      </c>
    </row>
    <row r="1528" spans="1:16" x14ac:dyDescent="0.3">
      <c r="A1528" s="8" t="s">
        <v>116</v>
      </c>
      <c r="B1528" s="8" t="s">
        <v>635</v>
      </c>
      <c r="C1528" s="9">
        <v>1529</v>
      </c>
      <c r="D1528" s="3">
        <v>7000000</v>
      </c>
      <c r="E1528" s="1">
        <f>datos_limpios[[#This Row],[Price INR   ]]*0.011</f>
        <v>77000</v>
      </c>
      <c r="F1528" s="13">
        <v>2021</v>
      </c>
      <c r="G1528" s="2">
        <v>19000</v>
      </c>
      <c r="H1528" s="8" t="s">
        <v>19</v>
      </c>
      <c r="I1528" s="8" t="s">
        <v>40</v>
      </c>
      <c r="J1528" s="8" t="s">
        <v>101</v>
      </c>
      <c r="K1528" t="s">
        <v>295</v>
      </c>
      <c r="L1528" t="s">
        <v>296</v>
      </c>
      <c r="M1528" s="2">
        <f>VALUE(MID(L1528,1,FIND("@",L1528)-6))</f>
        <v>192</v>
      </c>
      <c r="N1528">
        <v>5</v>
      </c>
      <c r="O1528" t="str">
        <f>IF(datos_limpios[[#This Row],[Seating Capacity ]]&gt;4,"SI","NO")</f>
        <v>SI</v>
      </c>
      <c r="P1528">
        <v>66</v>
      </c>
    </row>
    <row r="1529" spans="1:16" x14ac:dyDescent="0.3">
      <c r="A1529" s="8" t="s">
        <v>116</v>
      </c>
      <c r="B1529" s="8" t="s">
        <v>724</v>
      </c>
      <c r="C1529" s="9">
        <v>1530</v>
      </c>
      <c r="D1529" s="3">
        <v>7100000</v>
      </c>
      <c r="E1529" s="1">
        <f>datos_limpios[[#This Row],[Price INR   ]]*0.011</f>
        <v>78100</v>
      </c>
      <c r="F1529" s="13">
        <v>2022</v>
      </c>
      <c r="G1529" s="2">
        <v>2500</v>
      </c>
      <c r="H1529" s="8" t="s">
        <v>12</v>
      </c>
      <c r="I1529" s="8" t="s">
        <v>40</v>
      </c>
      <c r="J1529" s="8" t="s">
        <v>14</v>
      </c>
      <c r="K1529" t="s">
        <v>227</v>
      </c>
      <c r="L1529" t="s">
        <v>725</v>
      </c>
      <c r="M1529" s="2">
        <f>VALUE(MID(L1529,1,FIND("@",L1529)-6))</f>
        <v>194</v>
      </c>
      <c r="N1529">
        <v>5</v>
      </c>
      <c r="O1529" t="str">
        <f>IF(datos_limpios[[#This Row],[Seating Capacity ]]&gt;4,"SI","NO")</f>
        <v>SI</v>
      </c>
      <c r="P1529">
        <v>80</v>
      </c>
    </row>
    <row r="1530" spans="1:16" x14ac:dyDescent="0.3">
      <c r="A1530" s="8" t="s">
        <v>116</v>
      </c>
      <c r="B1530" s="8" t="s">
        <v>458</v>
      </c>
      <c r="C1530" s="9">
        <v>1531</v>
      </c>
      <c r="D1530" s="3">
        <v>7200000</v>
      </c>
      <c r="E1530" s="1">
        <f>datos_limpios[[#This Row],[Price INR   ]]*0.011</f>
        <v>79200</v>
      </c>
      <c r="F1530" s="13">
        <v>2018</v>
      </c>
      <c r="G1530" s="2">
        <v>87200</v>
      </c>
      <c r="H1530" s="8" t="s">
        <v>19</v>
      </c>
      <c r="I1530" s="8" t="s">
        <v>40</v>
      </c>
      <c r="J1530" s="8" t="s">
        <v>20</v>
      </c>
      <c r="K1530" t="s">
        <v>354</v>
      </c>
      <c r="L1530" t="s">
        <v>459</v>
      </c>
      <c r="M1530" s="2">
        <f>VALUE(MID(L1530,1,FIND("@",L1530)-6))</f>
        <v>255</v>
      </c>
      <c r="N1530">
        <v>7</v>
      </c>
      <c r="O1530" t="str">
        <f>IF(datos_limpios[[#This Row],[Seating Capacity ]]&gt;4,"SI","NO")</f>
        <v>SI</v>
      </c>
      <c r="P1530">
        <v>100</v>
      </c>
    </row>
    <row r="1531" spans="1:16" x14ac:dyDescent="0.3">
      <c r="A1531" s="8" t="s">
        <v>116</v>
      </c>
      <c r="B1531" s="8" t="s">
        <v>564</v>
      </c>
      <c r="C1531" s="9">
        <v>1532</v>
      </c>
      <c r="D1531" s="3">
        <v>7350000</v>
      </c>
      <c r="E1531" s="1">
        <f>datos_limpios[[#This Row],[Price INR   ]]*0.011</f>
        <v>80850</v>
      </c>
      <c r="F1531" s="13">
        <v>2022</v>
      </c>
      <c r="G1531" s="2">
        <v>17000</v>
      </c>
      <c r="H1531" s="8" t="s">
        <v>19</v>
      </c>
      <c r="I1531" s="8" t="s">
        <v>40</v>
      </c>
      <c r="J1531" s="8" t="s">
        <v>14</v>
      </c>
      <c r="K1531" t="s">
        <v>295</v>
      </c>
      <c r="L1531" t="s">
        <v>296</v>
      </c>
      <c r="M1531" s="2">
        <f>VALUE(MID(L1531,1,FIND("@",L1531)-6))</f>
        <v>192</v>
      </c>
      <c r="N1531">
        <v>5</v>
      </c>
      <c r="O1531" t="str">
        <f>IF(datos_limpios[[#This Row],[Seating Capacity ]]&gt;4,"SI","NO")</f>
        <v>SI</v>
      </c>
      <c r="P1531">
        <v>80</v>
      </c>
    </row>
    <row r="1532" spans="1:16" x14ac:dyDescent="0.3">
      <c r="A1532" s="8" t="s">
        <v>116</v>
      </c>
      <c r="B1532" s="8" t="s">
        <v>564</v>
      </c>
      <c r="C1532" s="9">
        <v>1533</v>
      </c>
      <c r="D1532" s="3">
        <v>7390000</v>
      </c>
      <c r="E1532" s="1">
        <f>datos_limpios[[#This Row],[Price INR   ]]*0.011</f>
        <v>81290</v>
      </c>
      <c r="F1532" s="13">
        <v>2021</v>
      </c>
      <c r="G1532" s="2">
        <v>7000</v>
      </c>
      <c r="H1532" s="8" t="s">
        <v>19</v>
      </c>
      <c r="I1532" s="8" t="s">
        <v>40</v>
      </c>
      <c r="J1532" s="8" t="s">
        <v>14</v>
      </c>
      <c r="K1532" t="s">
        <v>295</v>
      </c>
      <c r="L1532" t="s">
        <v>296</v>
      </c>
      <c r="M1532" s="2">
        <f>VALUE(MID(L1532,1,FIND("@",L1532)-6))</f>
        <v>192</v>
      </c>
      <c r="N1532">
        <v>5</v>
      </c>
      <c r="O1532" t="str">
        <f>IF(datos_limpios[[#This Row],[Seating Capacity ]]&gt;4,"SI","NO")</f>
        <v>SI</v>
      </c>
      <c r="P1532">
        <v>80</v>
      </c>
    </row>
    <row r="1533" spans="1:16" x14ac:dyDescent="0.3">
      <c r="A1533" s="8" t="s">
        <v>116</v>
      </c>
      <c r="B1533" s="8" t="s">
        <v>564</v>
      </c>
      <c r="C1533" s="9">
        <v>1534</v>
      </c>
      <c r="D1533" s="3">
        <v>7475000</v>
      </c>
      <c r="E1533" s="1">
        <f>datos_limpios[[#This Row],[Price INR   ]]*0.011</f>
        <v>82225</v>
      </c>
      <c r="F1533" s="13">
        <v>2021</v>
      </c>
      <c r="G1533" s="2">
        <v>13000</v>
      </c>
      <c r="H1533" s="8" t="s">
        <v>19</v>
      </c>
      <c r="I1533" s="8" t="s">
        <v>40</v>
      </c>
      <c r="J1533" s="8" t="s">
        <v>101</v>
      </c>
      <c r="K1533" t="s">
        <v>295</v>
      </c>
      <c r="L1533" t="s">
        <v>296</v>
      </c>
      <c r="M1533" s="2">
        <f>VALUE(MID(L1533,1,FIND("@",L1533)-6))</f>
        <v>192</v>
      </c>
      <c r="N1533">
        <v>5</v>
      </c>
      <c r="O1533" t="str">
        <f>IF(datos_limpios[[#This Row],[Seating Capacity ]]&gt;4,"SI","NO")</f>
        <v>SI</v>
      </c>
      <c r="P1533">
        <v>80</v>
      </c>
    </row>
    <row r="1534" spans="1:16" x14ac:dyDescent="0.3">
      <c r="A1534" s="8" t="s">
        <v>116</v>
      </c>
      <c r="B1534" s="8" t="s">
        <v>649</v>
      </c>
      <c r="C1534" s="9">
        <v>1535</v>
      </c>
      <c r="D1534" s="3">
        <v>7475000</v>
      </c>
      <c r="E1534" s="1">
        <f>datos_limpios[[#This Row],[Price INR   ]]*0.011</f>
        <v>82225</v>
      </c>
      <c r="F1534" s="13">
        <v>2021</v>
      </c>
      <c r="G1534" s="2">
        <v>13000</v>
      </c>
      <c r="H1534" s="8" t="s">
        <v>19</v>
      </c>
      <c r="I1534" s="8" t="s">
        <v>40</v>
      </c>
      <c r="J1534" s="8" t="s">
        <v>101</v>
      </c>
      <c r="K1534" t="s">
        <v>295</v>
      </c>
      <c r="L1534" t="s">
        <v>296</v>
      </c>
      <c r="M1534" s="2">
        <f>VALUE(MID(L1534,1,FIND("@",L1534)-6))</f>
        <v>192</v>
      </c>
      <c r="N1534">
        <v>5</v>
      </c>
      <c r="O1534" t="str">
        <f>IF(datos_limpios[[#This Row],[Seating Capacity ]]&gt;4,"SI","NO")</f>
        <v>SI</v>
      </c>
      <c r="P1534">
        <v>80</v>
      </c>
    </row>
    <row r="1535" spans="1:16" x14ac:dyDescent="0.3">
      <c r="A1535" s="8" t="s">
        <v>116</v>
      </c>
      <c r="B1535" s="8" t="s">
        <v>415</v>
      </c>
      <c r="C1535" s="9">
        <v>1536</v>
      </c>
      <c r="D1535" s="3">
        <v>7500000</v>
      </c>
      <c r="E1535" s="1">
        <f>datos_limpios[[#This Row],[Price INR   ]]*0.011</f>
        <v>82500</v>
      </c>
      <c r="F1535" s="13">
        <v>2021</v>
      </c>
      <c r="G1535" s="2">
        <v>13000</v>
      </c>
      <c r="H1535" s="8" t="s">
        <v>12</v>
      </c>
      <c r="I1535" s="8" t="s">
        <v>40</v>
      </c>
      <c r="J1535" s="8" t="s">
        <v>30</v>
      </c>
      <c r="K1535" t="s">
        <v>416</v>
      </c>
      <c r="L1535" t="s">
        <v>417</v>
      </c>
      <c r="M1535" s="2">
        <f>VALUE(MID(L1535,1,FIND("@",L1535)-6))</f>
        <v>362</v>
      </c>
      <c r="N1535">
        <v>4</v>
      </c>
      <c r="O1535" t="str">
        <f>IF(datos_limpios[[#This Row],[Seating Capacity ]]&gt;4,"SI","NO")</f>
        <v>NO</v>
      </c>
      <c r="P1535">
        <v>66</v>
      </c>
    </row>
    <row r="1536" spans="1:16" x14ac:dyDescent="0.3">
      <c r="A1536" s="8" t="s">
        <v>116</v>
      </c>
      <c r="B1536" s="8" t="s">
        <v>649</v>
      </c>
      <c r="C1536" s="9">
        <v>1537</v>
      </c>
      <c r="D1536" s="3">
        <v>7500000</v>
      </c>
      <c r="E1536" s="1">
        <f>datos_limpios[[#This Row],[Price INR   ]]*0.011</f>
        <v>82500</v>
      </c>
      <c r="F1536" s="13">
        <v>2021</v>
      </c>
      <c r="G1536" s="2">
        <v>8000</v>
      </c>
      <c r="H1536" s="8" t="s">
        <v>19</v>
      </c>
      <c r="I1536" s="8" t="s">
        <v>40</v>
      </c>
      <c r="J1536" s="8" t="s">
        <v>20</v>
      </c>
      <c r="K1536" t="s">
        <v>295</v>
      </c>
      <c r="L1536" t="s">
        <v>296</v>
      </c>
      <c r="M1536" s="2">
        <f>VALUE(MID(L1536,1,FIND("@",L1536)-6))</f>
        <v>192</v>
      </c>
      <c r="N1536">
        <v>5</v>
      </c>
      <c r="O1536" t="str">
        <f>IF(datos_limpios[[#This Row],[Seating Capacity ]]&gt;4,"SI","NO")</f>
        <v>SI</v>
      </c>
      <c r="P1536">
        <v>80</v>
      </c>
    </row>
    <row r="1537" spans="1:16" x14ac:dyDescent="0.3">
      <c r="A1537" s="8" t="s">
        <v>116</v>
      </c>
      <c r="B1537" s="8" t="s">
        <v>564</v>
      </c>
      <c r="C1537" s="9">
        <v>1538</v>
      </c>
      <c r="D1537" s="3">
        <v>7780000</v>
      </c>
      <c r="E1537" s="1">
        <f>datos_limpios[[#This Row],[Price INR   ]]*0.011</f>
        <v>85580</v>
      </c>
      <c r="F1537" s="13">
        <v>2022</v>
      </c>
      <c r="G1537" s="2">
        <v>11000</v>
      </c>
      <c r="H1537" s="8" t="s">
        <v>19</v>
      </c>
      <c r="I1537" s="8" t="s">
        <v>40</v>
      </c>
      <c r="J1537" s="8" t="s">
        <v>101</v>
      </c>
      <c r="K1537" t="s">
        <v>295</v>
      </c>
      <c r="L1537" t="s">
        <v>296</v>
      </c>
      <c r="M1537" s="2">
        <f>VALUE(MID(L1537,1,FIND("@",L1537)-6))</f>
        <v>192</v>
      </c>
      <c r="N1537">
        <v>5</v>
      </c>
      <c r="O1537" t="str">
        <f>IF(datos_limpios[[#This Row],[Seating Capacity ]]&gt;4,"SI","NO")</f>
        <v>SI</v>
      </c>
      <c r="P1537">
        <v>80</v>
      </c>
    </row>
    <row r="1538" spans="1:16" x14ac:dyDescent="0.3">
      <c r="A1538" s="8" t="s">
        <v>116</v>
      </c>
      <c r="B1538" s="8" t="s">
        <v>482</v>
      </c>
      <c r="C1538" s="9">
        <v>1539</v>
      </c>
      <c r="D1538" s="3">
        <v>7900000</v>
      </c>
      <c r="E1538" s="1">
        <f>datos_limpios[[#This Row],[Price INR   ]]*0.011</f>
        <v>86900</v>
      </c>
      <c r="F1538" s="13">
        <v>2017</v>
      </c>
      <c r="G1538" s="2">
        <v>11850</v>
      </c>
      <c r="H1538" s="8" t="s">
        <v>19</v>
      </c>
      <c r="I1538" s="8" t="s">
        <v>40</v>
      </c>
      <c r="J1538" s="8" t="s">
        <v>20</v>
      </c>
      <c r="K1538" t="s">
        <v>483</v>
      </c>
      <c r="L1538" t="s">
        <v>484</v>
      </c>
      <c r="M1538" s="2">
        <f>VALUE(MID(L1538,1,FIND("@",L1538)-6))</f>
        <v>282</v>
      </c>
      <c r="N1538">
        <v>5</v>
      </c>
      <c r="O1538" t="str">
        <f>IF(datos_limpios[[#This Row],[Seating Capacity ]]&gt;4,"SI","NO")</f>
        <v>SI</v>
      </c>
      <c r="P1538">
        <v>70</v>
      </c>
    </row>
    <row r="1539" spans="1:16" x14ac:dyDescent="0.3">
      <c r="A1539" s="8" t="s">
        <v>116</v>
      </c>
      <c r="B1539" s="8" t="s">
        <v>635</v>
      </c>
      <c r="C1539" s="9">
        <v>1540</v>
      </c>
      <c r="D1539" s="3">
        <v>8100000</v>
      </c>
      <c r="E1539" s="1">
        <f>datos_limpios[[#This Row],[Price INR   ]]*0.011</f>
        <v>89100</v>
      </c>
      <c r="F1539" s="13">
        <v>2022</v>
      </c>
      <c r="G1539" s="2">
        <v>5500</v>
      </c>
      <c r="H1539" s="8" t="s">
        <v>19</v>
      </c>
      <c r="I1539" s="8" t="s">
        <v>40</v>
      </c>
      <c r="J1539" s="8" t="s">
        <v>20</v>
      </c>
      <c r="K1539" t="s">
        <v>295</v>
      </c>
      <c r="L1539" t="s">
        <v>296</v>
      </c>
      <c r="M1539" s="2">
        <f>VALUE(MID(L1539,1,FIND("@",L1539)-6))</f>
        <v>192</v>
      </c>
      <c r="N1539">
        <v>5</v>
      </c>
      <c r="O1539" t="str">
        <f>IF(datos_limpios[[#This Row],[Seating Capacity ]]&gt;4,"SI","NO")</f>
        <v>SI</v>
      </c>
      <c r="P1539">
        <v>66</v>
      </c>
    </row>
    <row r="1540" spans="1:16" x14ac:dyDescent="0.3">
      <c r="A1540" s="8" t="s">
        <v>116</v>
      </c>
      <c r="B1540" s="8" t="s">
        <v>630</v>
      </c>
      <c r="C1540" s="9">
        <v>1541</v>
      </c>
      <c r="D1540" s="3">
        <v>8190000</v>
      </c>
      <c r="E1540" s="1">
        <f>datos_limpios[[#This Row],[Price INR   ]]*0.011</f>
        <v>90090</v>
      </c>
      <c r="F1540" s="13">
        <v>2020</v>
      </c>
      <c r="G1540" s="2">
        <v>18000</v>
      </c>
      <c r="H1540" s="8" t="s">
        <v>19</v>
      </c>
      <c r="I1540" s="8" t="s">
        <v>40</v>
      </c>
      <c r="J1540" s="8" t="s">
        <v>115</v>
      </c>
      <c r="K1540" t="s">
        <v>295</v>
      </c>
      <c r="L1540" t="s">
        <v>631</v>
      </c>
      <c r="M1540" s="2">
        <f>VALUE(MID(L1540,1,FIND("@",L1540)-6))</f>
        <v>241</v>
      </c>
      <c r="N1540">
        <v>5</v>
      </c>
      <c r="O1540" t="str">
        <f>IF(datos_limpios[[#This Row],[Seating Capacity ]]&gt;4,"SI","NO")</f>
        <v>SI</v>
      </c>
      <c r="P1540">
        <v>93</v>
      </c>
    </row>
    <row r="1541" spans="1:16" x14ac:dyDescent="0.3">
      <c r="A1541" s="8" t="s">
        <v>116</v>
      </c>
      <c r="B1541" s="8" t="s">
        <v>630</v>
      </c>
      <c r="C1541" s="9">
        <v>1542</v>
      </c>
      <c r="D1541" s="3">
        <v>8300000</v>
      </c>
      <c r="E1541" s="1">
        <f>datos_limpios[[#This Row],[Price INR   ]]*0.011</f>
        <v>91300</v>
      </c>
      <c r="F1541" s="13">
        <v>2020</v>
      </c>
      <c r="G1541" s="2">
        <v>50000</v>
      </c>
      <c r="H1541" s="8" t="s">
        <v>19</v>
      </c>
      <c r="I1541" s="8" t="s">
        <v>40</v>
      </c>
      <c r="J1541" s="8" t="s">
        <v>20</v>
      </c>
      <c r="K1541" t="s">
        <v>295</v>
      </c>
      <c r="L1541" t="s">
        <v>631</v>
      </c>
      <c r="M1541" s="2">
        <f>VALUE(MID(L1541,1,FIND("@",L1541)-6))</f>
        <v>241</v>
      </c>
      <c r="N1541">
        <v>5</v>
      </c>
      <c r="O1541" t="str">
        <f>IF(datos_limpios[[#This Row],[Seating Capacity ]]&gt;4,"SI","NO")</f>
        <v>SI</v>
      </c>
      <c r="P1541">
        <v>93</v>
      </c>
    </row>
    <row r="1542" spans="1:16" x14ac:dyDescent="0.3">
      <c r="A1542" s="8" t="s">
        <v>116</v>
      </c>
      <c r="B1542" s="8" t="s">
        <v>458</v>
      </c>
      <c r="C1542" s="9">
        <v>1543</v>
      </c>
      <c r="D1542" s="3">
        <v>8500000</v>
      </c>
      <c r="E1542" s="1">
        <f>datos_limpios[[#This Row],[Price INR   ]]*0.011</f>
        <v>93500</v>
      </c>
      <c r="F1542" s="13">
        <v>2019</v>
      </c>
      <c r="G1542" s="2">
        <v>13000</v>
      </c>
      <c r="H1542" s="8" t="s">
        <v>19</v>
      </c>
      <c r="I1542" s="8" t="s">
        <v>40</v>
      </c>
      <c r="J1542" s="8" t="s">
        <v>20</v>
      </c>
      <c r="K1542" t="s">
        <v>354</v>
      </c>
      <c r="L1542" t="s">
        <v>459</v>
      </c>
      <c r="M1542" s="2">
        <f>VALUE(MID(L1542,1,FIND("@",L1542)-6))</f>
        <v>255</v>
      </c>
      <c r="N1542">
        <v>7</v>
      </c>
      <c r="O1542" t="str">
        <f>IF(datos_limpios[[#This Row],[Seating Capacity ]]&gt;4,"SI","NO")</f>
        <v>SI</v>
      </c>
      <c r="P1542">
        <v>100</v>
      </c>
    </row>
    <row r="1543" spans="1:16" x14ac:dyDescent="0.3">
      <c r="A1543" s="8" t="s">
        <v>116</v>
      </c>
      <c r="B1543" s="8" t="s">
        <v>646</v>
      </c>
      <c r="C1543" s="9">
        <v>1544</v>
      </c>
      <c r="D1543" s="3">
        <v>8500000</v>
      </c>
      <c r="E1543" s="1">
        <f>datos_limpios[[#This Row],[Price INR   ]]*0.011</f>
        <v>93500</v>
      </c>
      <c r="F1543" s="13">
        <v>2018</v>
      </c>
      <c r="G1543" s="2">
        <v>25275</v>
      </c>
      <c r="H1543" s="8" t="s">
        <v>12</v>
      </c>
      <c r="I1543" s="8" t="s">
        <v>40</v>
      </c>
      <c r="J1543" s="8" t="s">
        <v>101</v>
      </c>
      <c r="K1543" t="s">
        <v>416</v>
      </c>
      <c r="L1543" t="s">
        <v>417</v>
      </c>
      <c r="M1543" s="2">
        <f>VALUE(MID(L1543,1,FIND("@",L1543)-6))</f>
        <v>362</v>
      </c>
      <c r="N1543">
        <v>5</v>
      </c>
      <c r="O1543" t="str">
        <f>IF(datos_limpios[[#This Row],[Seating Capacity ]]&gt;4,"SI","NO")</f>
        <v>SI</v>
      </c>
      <c r="P1543">
        <v>93</v>
      </c>
    </row>
    <row r="1544" spans="1:16" x14ac:dyDescent="0.3">
      <c r="A1544" s="8" t="s">
        <v>116</v>
      </c>
      <c r="B1544" s="8" t="s">
        <v>630</v>
      </c>
      <c r="C1544" s="9">
        <v>1545</v>
      </c>
      <c r="D1544" s="3">
        <v>8900000</v>
      </c>
      <c r="E1544" s="1">
        <f>datos_limpios[[#This Row],[Price INR   ]]*0.011</f>
        <v>97900</v>
      </c>
      <c r="F1544" s="13">
        <v>2021</v>
      </c>
      <c r="G1544" s="2">
        <v>9000</v>
      </c>
      <c r="H1544" s="8" t="s">
        <v>19</v>
      </c>
      <c r="I1544" s="8" t="s">
        <v>40</v>
      </c>
      <c r="J1544" s="8" t="s">
        <v>101</v>
      </c>
      <c r="K1544" t="s">
        <v>295</v>
      </c>
      <c r="L1544" t="s">
        <v>631</v>
      </c>
      <c r="M1544" s="2">
        <f>VALUE(MID(L1544,1,FIND("@",L1544)-6))</f>
        <v>241</v>
      </c>
      <c r="N1544">
        <v>5</v>
      </c>
      <c r="O1544" t="str">
        <f>IF(datos_limpios[[#This Row],[Seating Capacity ]]&gt;4,"SI","NO")</f>
        <v>SI</v>
      </c>
      <c r="P1544">
        <v>93</v>
      </c>
    </row>
    <row r="1545" spans="1:16" x14ac:dyDescent="0.3">
      <c r="A1545" s="8" t="s">
        <v>116</v>
      </c>
      <c r="B1545" s="8" t="s">
        <v>630</v>
      </c>
      <c r="C1545" s="9">
        <v>1546</v>
      </c>
      <c r="D1545" s="3">
        <v>9200000</v>
      </c>
      <c r="E1545" s="1">
        <f>datos_limpios[[#This Row],[Price INR   ]]*0.011</f>
        <v>101200</v>
      </c>
      <c r="F1545" s="13">
        <v>2022</v>
      </c>
      <c r="G1545" s="2">
        <v>10000</v>
      </c>
      <c r="H1545" s="8" t="s">
        <v>19</v>
      </c>
      <c r="I1545" s="8" t="s">
        <v>40</v>
      </c>
      <c r="J1545" s="8" t="s">
        <v>57</v>
      </c>
      <c r="K1545" t="s">
        <v>295</v>
      </c>
      <c r="L1545" t="s">
        <v>631</v>
      </c>
      <c r="M1545" s="2">
        <f>VALUE(MID(L1545,1,FIND("@",L1545)-6))</f>
        <v>241</v>
      </c>
      <c r="N1545">
        <v>5</v>
      </c>
      <c r="O1545" t="str">
        <f>IF(datos_limpios[[#This Row],[Seating Capacity ]]&gt;4,"SI","NO")</f>
        <v>SI</v>
      </c>
      <c r="P1545">
        <v>93</v>
      </c>
    </row>
    <row r="1546" spans="1:16" x14ac:dyDescent="0.3">
      <c r="A1546" s="8" t="s">
        <v>116</v>
      </c>
      <c r="B1546" s="8" t="s">
        <v>630</v>
      </c>
      <c r="C1546" s="9">
        <v>1547</v>
      </c>
      <c r="D1546" s="3">
        <v>9390000</v>
      </c>
      <c r="E1546" s="1">
        <f>datos_limpios[[#This Row],[Price INR   ]]*0.011</f>
        <v>103290</v>
      </c>
      <c r="F1546" s="13">
        <v>2022</v>
      </c>
      <c r="G1546" s="2">
        <v>14000</v>
      </c>
      <c r="H1546" s="8" t="s">
        <v>19</v>
      </c>
      <c r="I1546" s="8" t="s">
        <v>40</v>
      </c>
      <c r="J1546" s="8" t="s">
        <v>20</v>
      </c>
      <c r="K1546" t="s">
        <v>295</v>
      </c>
      <c r="L1546" t="s">
        <v>631</v>
      </c>
      <c r="M1546" s="2">
        <f>VALUE(MID(L1546,1,FIND("@",L1546)-6))</f>
        <v>241</v>
      </c>
      <c r="N1546">
        <v>5</v>
      </c>
      <c r="O1546" t="str">
        <f>IF(datos_limpios[[#This Row],[Seating Capacity ]]&gt;4,"SI","NO")</f>
        <v>SI</v>
      </c>
      <c r="P1546">
        <v>93</v>
      </c>
    </row>
    <row r="1547" spans="1:16" x14ac:dyDescent="0.3">
      <c r="A1547" s="8" t="s">
        <v>116</v>
      </c>
      <c r="B1547" s="8" t="s">
        <v>306</v>
      </c>
      <c r="C1547" s="9">
        <v>1548</v>
      </c>
      <c r="D1547" s="3">
        <v>11500000</v>
      </c>
      <c r="E1547" s="1">
        <f>datos_limpios[[#This Row],[Price INR   ]]*0.011</f>
        <v>126499.99999999999</v>
      </c>
      <c r="F1547" s="13">
        <v>2016</v>
      </c>
      <c r="G1547" s="2">
        <v>27000</v>
      </c>
      <c r="H1547" s="8" t="s">
        <v>12</v>
      </c>
      <c r="I1547" s="8" t="s">
        <v>40</v>
      </c>
      <c r="J1547" s="8" t="s">
        <v>57</v>
      </c>
      <c r="K1547" t="s">
        <v>307</v>
      </c>
      <c r="L1547" t="s">
        <v>308</v>
      </c>
      <c r="M1547" s="2">
        <f>VALUE(MID(L1547,1,FIND("@",L1547)-6))</f>
        <v>453</v>
      </c>
      <c r="N1547">
        <v>4</v>
      </c>
      <c r="O1547" t="str">
        <f>IF(datos_limpios[[#This Row],[Seating Capacity ]]&gt;4,"SI","NO")</f>
        <v>NO</v>
      </c>
      <c r="P1547">
        <v>70</v>
      </c>
    </row>
    <row r="1548" spans="1:16" x14ac:dyDescent="0.3">
      <c r="A1548" s="8" t="s">
        <v>116</v>
      </c>
      <c r="B1548" s="8" t="s">
        <v>696</v>
      </c>
      <c r="C1548" s="9">
        <v>1549</v>
      </c>
      <c r="D1548" s="3">
        <v>12900000</v>
      </c>
      <c r="E1548" s="1">
        <f>datos_limpios[[#This Row],[Price INR   ]]*0.011</f>
        <v>141900</v>
      </c>
      <c r="F1548" s="13">
        <v>2021</v>
      </c>
      <c r="G1548" s="2">
        <v>3000</v>
      </c>
      <c r="H1548" s="8" t="s">
        <v>19</v>
      </c>
      <c r="I1548" s="8" t="s">
        <v>40</v>
      </c>
      <c r="J1548" s="8" t="s">
        <v>20</v>
      </c>
      <c r="K1548" t="s">
        <v>483</v>
      </c>
      <c r="L1548" t="s">
        <v>697</v>
      </c>
      <c r="M1548" s="2">
        <f>VALUE(MID(L1548,1,FIND("@",L1548)-6))</f>
        <v>326</v>
      </c>
      <c r="N1548">
        <v>7</v>
      </c>
      <c r="O1548" t="str">
        <f>IF(datos_limpios[[#This Row],[Seating Capacity ]]&gt;4,"SI","NO")</f>
        <v>SI</v>
      </c>
      <c r="P1548">
        <v>90</v>
      </c>
    </row>
    <row r="1549" spans="1:16" x14ac:dyDescent="0.3">
      <c r="A1549" s="8" t="s">
        <v>116</v>
      </c>
      <c r="B1549" s="8" t="s">
        <v>696</v>
      </c>
      <c r="C1549" s="9">
        <v>1550</v>
      </c>
      <c r="D1549" s="3">
        <v>13000000</v>
      </c>
      <c r="E1549" s="1">
        <f>datos_limpios[[#This Row],[Price INR   ]]*0.011</f>
        <v>143000</v>
      </c>
      <c r="F1549" s="13">
        <v>2021</v>
      </c>
      <c r="G1549" s="2">
        <v>20000</v>
      </c>
      <c r="H1549" s="8" t="s">
        <v>19</v>
      </c>
      <c r="I1549" s="8" t="s">
        <v>40</v>
      </c>
      <c r="J1549" s="8" t="s">
        <v>57</v>
      </c>
      <c r="K1549" t="s">
        <v>483</v>
      </c>
      <c r="L1549" t="s">
        <v>697</v>
      </c>
      <c r="M1549" s="2">
        <f>VALUE(MID(L1549,1,FIND("@",L1549)-6))</f>
        <v>326</v>
      </c>
      <c r="N1549">
        <v>7</v>
      </c>
      <c r="O1549" t="str">
        <f>IF(datos_limpios[[#This Row],[Seating Capacity ]]&gt;4,"SI","NO")</f>
        <v>SI</v>
      </c>
      <c r="P1549">
        <v>90</v>
      </c>
    </row>
    <row r="1550" spans="1:16" x14ac:dyDescent="0.3">
      <c r="A1550" s="8" t="s">
        <v>116</v>
      </c>
      <c r="B1550" s="8" t="s">
        <v>1251</v>
      </c>
      <c r="C1550" s="9">
        <v>1551</v>
      </c>
      <c r="D1550" s="3">
        <v>13100000</v>
      </c>
      <c r="E1550" s="1">
        <f>datos_limpios[[#This Row],[Price INR   ]]*0.011</f>
        <v>144100</v>
      </c>
      <c r="F1550" s="13">
        <v>2021</v>
      </c>
      <c r="G1550" s="2">
        <v>17000</v>
      </c>
      <c r="H1550" s="8" t="s">
        <v>12</v>
      </c>
      <c r="I1550" s="8" t="s">
        <v>40</v>
      </c>
      <c r="J1550" s="8" t="s">
        <v>20</v>
      </c>
      <c r="K1550" t="s">
        <v>451</v>
      </c>
      <c r="L1550" t="s">
        <v>417</v>
      </c>
      <c r="M1550" s="2">
        <f>VALUE(MID(L1550,1,FIND("@",L1550)-6))</f>
        <v>362</v>
      </c>
      <c r="N1550">
        <v>7</v>
      </c>
      <c r="O1550" t="str">
        <f>IF(datos_limpios[[#This Row],[Seating Capacity ]]&gt;4,"SI","NO")</f>
        <v>SI</v>
      </c>
      <c r="P1550">
        <v>90</v>
      </c>
    </row>
    <row r="1551" spans="1:16" x14ac:dyDescent="0.3">
      <c r="A1551" s="8" t="s">
        <v>116</v>
      </c>
      <c r="B1551" s="8" t="s">
        <v>598</v>
      </c>
      <c r="C1551" s="9">
        <v>1552</v>
      </c>
      <c r="D1551" s="3">
        <v>18500000</v>
      </c>
      <c r="E1551" s="1">
        <f>datos_limpios[[#This Row],[Price INR   ]]*0.011</f>
        <v>203500</v>
      </c>
      <c r="F1551" s="13">
        <v>2021</v>
      </c>
      <c r="G1551" s="2">
        <v>21000</v>
      </c>
      <c r="H1551" s="8" t="s">
        <v>12</v>
      </c>
      <c r="I1551" s="8" t="s">
        <v>40</v>
      </c>
      <c r="J1551" s="8" t="s">
        <v>101</v>
      </c>
      <c r="K1551" t="s">
        <v>599</v>
      </c>
      <c r="L1551" t="s">
        <v>600</v>
      </c>
      <c r="M1551" s="2">
        <f>VALUE(MID(L1551,1,FIND("@",L1551)-6))</f>
        <v>463</v>
      </c>
      <c r="N1551">
        <v>4</v>
      </c>
      <c r="O1551" t="str">
        <f>IF(datos_limpios[[#This Row],[Seating Capacity ]]&gt;4,"SI","NO")</f>
        <v>NO</v>
      </c>
      <c r="P1551">
        <v>70</v>
      </c>
    </row>
    <row r="1552" spans="1:16" x14ac:dyDescent="0.3">
      <c r="A1552" s="8" t="s">
        <v>116</v>
      </c>
      <c r="B1552" s="8" t="s">
        <v>482</v>
      </c>
      <c r="C1552" s="9">
        <v>1553</v>
      </c>
      <c r="D1552" s="3">
        <v>18500000</v>
      </c>
      <c r="E1552" s="1">
        <f>datos_limpios[[#This Row],[Price INR   ]]*0.011</f>
        <v>203500</v>
      </c>
      <c r="F1552" s="13">
        <v>2021</v>
      </c>
      <c r="G1552" s="2">
        <v>5000</v>
      </c>
      <c r="H1552" s="8" t="s">
        <v>19</v>
      </c>
      <c r="I1552" s="8" t="s">
        <v>40</v>
      </c>
      <c r="J1552" s="8" t="s">
        <v>20</v>
      </c>
      <c r="K1552" t="s">
        <v>483</v>
      </c>
      <c r="L1552" t="s">
        <v>484</v>
      </c>
      <c r="M1552" s="2">
        <f>VALUE(MID(L1552,1,FIND("@",L1552)-6))</f>
        <v>282</v>
      </c>
      <c r="N1552">
        <v>5</v>
      </c>
      <c r="O1552" t="str">
        <f>IF(datos_limpios[[#This Row],[Seating Capacity ]]&gt;4,"SI","NO")</f>
        <v>SI</v>
      </c>
      <c r="P1552">
        <v>70</v>
      </c>
    </row>
    <row r="1553" spans="1:16" x14ac:dyDescent="0.3">
      <c r="A1553" s="8" t="s">
        <v>116</v>
      </c>
      <c r="B1553" s="8" t="s">
        <v>1387</v>
      </c>
      <c r="C1553" s="9">
        <v>1554</v>
      </c>
      <c r="D1553" s="3">
        <v>20000000</v>
      </c>
      <c r="E1553" s="1">
        <f>datos_limpios[[#This Row],[Price INR   ]]*0.011</f>
        <v>220000</v>
      </c>
      <c r="F1553" s="13">
        <v>2021</v>
      </c>
      <c r="G1553" s="2">
        <v>6600</v>
      </c>
      <c r="H1553" s="8" t="s">
        <v>12</v>
      </c>
      <c r="I1553" s="8" t="s">
        <v>40</v>
      </c>
      <c r="J1553" s="8" t="s">
        <v>20</v>
      </c>
      <c r="K1553" t="s">
        <v>416</v>
      </c>
      <c r="L1553" t="s">
        <v>1388</v>
      </c>
      <c r="M1553" s="2">
        <f>VALUE(MID(L1553,1,FIND("@",L1553)-6))</f>
        <v>362</v>
      </c>
      <c r="N1553">
        <v>5</v>
      </c>
      <c r="O1553" t="str">
        <f>IF(datos_limpios[[#This Row],[Seating Capacity ]]&gt;4,"SI","NO")</f>
        <v>SI</v>
      </c>
      <c r="P1553">
        <v>80</v>
      </c>
    </row>
    <row r="1554" spans="1:16" x14ac:dyDescent="0.3">
      <c r="A1554" s="8" t="s">
        <v>145</v>
      </c>
      <c r="B1554" s="8" t="s">
        <v>553</v>
      </c>
      <c r="C1554" s="9">
        <v>1555</v>
      </c>
      <c r="D1554" s="3">
        <v>1550000</v>
      </c>
      <c r="E1554" s="1">
        <f>datos_limpios[[#This Row],[Price INR   ]]*0.011</f>
        <v>17050</v>
      </c>
      <c r="F1554" s="13">
        <v>2022</v>
      </c>
      <c r="G1554" s="2">
        <v>600</v>
      </c>
      <c r="H1554" s="8" t="s">
        <v>12</v>
      </c>
      <c r="I1554" s="8" t="s">
        <v>13</v>
      </c>
      <c r="J1554" s="8" t="s">
        <v>62</v>
      </c>
      <c r="K1554" t="s">
        <v>196</v>
      </c>
      <c r="L1554" t="s">
        <v>313</v>
      </c>
      <c r="M1554" s="2">
        <f>VALUE(MID(L1554,1,FIND("@",L1554)-6))</f>
        <v>108</v>
      </c>
      <c r="N1554">
        <v>5</v>
      </c>
      <c r="O1554" t="str">
        <f>IF(datos_limpios[[#This Row],[Seating Capacity ]]&gt;4,"SI","NO")</f>
        <v>SI</v>
      </c>
      <c r="P1554">
        <v>48</v>
      </c>
    </row>
    <row r="1555" spans="1:16" x14ac:dyDescent="0.3">
      <c r="A1555" s="8" t="s">
        <v>145</v>
      </c>
      <c r="B1555" s="8" t="s">
        <v>146</v>
      </c>
      <c r="C1555" s="9">
        <v>1556</v>
      </c>
      <c r="D1555" s="3">
        <v>1611000</v>
      </c>
      <c r="E1555" s="1">
        <f>datos_limpios[[#This Row],[Price INR   ]]*0.011</f>
        <v>17721</v>
      </c>
      <c r="F1555" s="13">
        <v>2019</v>
      </c>
      <c r="G1555" s="2">
        <v>46301</v>
      </c>
      <c r="H1555" s="8" t="s">
        <v>19</v>
      </c>
      <c r="I1555" s="8" t="s">
        <v>13</v>
      </c>
      <c r="J1555" s="8" t="s">
        <v>20</v>
      </c>
      <c r="K1555" t="s">
        <v>63</v>
      </c>
      <c r="L1555" t="s">
        <v>147</v>
      </c>
      <c r="M1555" s="2">
        <f>VALUE(MID(L1555,1,FIND("@",L1555)-6))</f>
        <v>169</v>
      </c>
      <c r="N1555">
        <v>5</v>
      </c>
      <c r="O1555" t="str">
        <f>IF(datos_limpios[[#This Row],[Seating Capacity ]]&gt;4,"SI","NO")</f>
        <v>SI</v>
      </c>
      <c r="P1555">
        <v>60</v>
      </c>
    </row>
    <row r="1556" spans="1:16" x14ac:dyDescent="0.3">
      <c r="A1556" s="8" t="s">
        <v>145</v>
      </c>
      <c r="B1556" s="8" t="s">
        <v>309</v>
      </c>
      <c r="C1556" s="9">
        <v>1557</v>
      </c>
      <c r="D1556" s="3">
        <v>1625000</v>
      </c>
      <c r="E1556" s="1">
        <f>datos_limpios[[#This Row],[Price INR   ]]*0.011</f>
        <v>17875</v>
      </c>
      <c r="F1556" s="13">
        <v>2019</v>
      </c>
      <c r="G1556" s="2">
        <v>7000</v>
      </c>
      <c r="H1556" s="8" t="s">
        <v>12</v>
      </c>
      <c r="I1556" s="8" t="s">
        <v>40</v>
      </c>
      <c r="J1556" s="8" t="s">
        <v>30</v>
      </c>
      <c r="K1556" t="s">
        <v>310</v>
      </c>
      <c r="L1556" t="s">
        <v>311</v>
      </c>
      <c r="M1556" s="2">
        <f>VALUE(MID(L1556,1,FIND("@",L1556)-6))</f>
        <v>141</v>
      </c>
      <c r="N1556">
        <v>5</v>
      </c>
      <c r="O1556" t="str">
        <f>IF(datos_limpios[[#This Row],[Seating Capacity ]]&gt;4,"SI","NO")</f>
        <v>SI</v>
      </c>
      <c r="P1556">
        <v>60</v>
      </c>
    </row>
    <row r="1557" spans="1:16" x14ac:dyDescent="0.3">
      <c r="A1557" s="8" t="s">
        <v>145</v>
      </c>
      <c r="B1557" s="8" t="s">
        <v>146</v>
      </c>
      <c r="C1557" s="9">
        <v>1558</v>
      </c>
      <c r="D1557" s="3">
        <v>1710000</v>
      </c>
      <c r="E1557" s="1">
        <f>datos_limpios[[#This Row],[Price INR   ]]*0.011</f>
        <v>18810</v>
      </c>
      <c r="F1557" s="13">
        <v>2020</v>
      </c>
      <c r="G1557" s="2">
        <v>12400</v>
      </c>
      <c r="H1557" s="8" t="s">
        <v>19</v>
      </c>
      <c r="I1557" s="8" t="s">
        <v>13</v>
      </c>
      <c r="J1557" s="8" t="s">
        <v>14</v>
      </c>
      <c r="K1557" t="s">
        <v>63</v>
      </c>
      <c r="L1557" t="s">
        <v>147</v>
      </c>
      <c r="M1557" s="2">
        <f>VALUE(MID(L1557,1,FIND("@",L1557)-6))</f>
        <v>169</v>
      </c>
      <c r="N1557">
        <v>5</v>
      </c>
      <c r="O1557" t="str">
        <f>IF(datos_limpios[[#This Row],[Seating Capacity ]]&gt;4,"SI","NO")</f>
        <v>SI</v>
      </c>
      <c r="P1557">
        <v>60</v>
      </c>
    </row>
    <row r="1558" spans="1:16" x14ac:dyDescent="0.3">
      <c r="A1558" s="8" t="s">
        <v>145</v>
      </c>
      <c r="B1558" s="8" t="s">
        <v>146</v>
      </c>
      <c r="C1558" s="9">
        <v>1559</v>
      </c>
      <c r="D1558" s="3">
        <v>1725000</v>
      </c>
      <c r="E1558" s="1">
        <f>datos_limpios[[#This Row],[Price INR   ]]*0.011</f>
        <v>18975</v>
      </c>
      <c r="F1558" s="13">
        <v>2019</v>
      </c>
      <c r="G1558" s="2">
        <v>23952</v>
      </c>
      <c r="H1558" s="8" t="s">
        <v>19</v>
      </c>
      <c r="I1558" s="8" t="s">
        <v>13</v>
      </c>
      <c r="J1558" s="8" t="s">
        <v>30</v>
      </c>
      <c r="K1558" t="s">
        <v>63</v>
      </c>
      <c r="L1558" t="s">
        <v>147</v>
      </c>
      <c r="M1558" s="2">
        <f>VALUE(MID(L1558,1,FIND("@",L1558)-6))</f>
        <v>169</v>
      </c>
      <c r="N1558">
        <v>5</v>
      </c>
      <c r="O1558" t="str">
        <f>IF(datos_limpios[[#This Row],[Seating Capacity ]]&gt;4,"SI","NO")</f>
        <v>SI</v>
      </c>
      <c r="P1558">
        <v>60</v>
      </c>
    </row>
    <row r="1559" spans="1:16" x14ac:dyDescent="0.3">
      <c r="A1559" s="8" t="s">
        <v>145</v>
      </c>
      <c r="B1559" s="8" t="s">
        <v>309</v>
      </c>
      <c r="C1559" s="9">
        <v>1560</v>
      </c>
      <c r="D1559" s="3">
        <v>1729000</v>
      </c>
      <c r="E1559" s="1">
        <f>datos_limpios[[#This Row],[Price INR   ]]*0.011</f>
        <v>19019</v>
      </c>
      <c r="F1559" s="13">
        <v>2020</v>
      </c>
      <c r="G1559" s="2">
        <v>27000</v>
      </c>
      <c r="H1559" s="8" t="s">
        <v>12</v>
      </c>
      <c r="I1559" s="8" t="s">
        <v>40</v>
      </c>
      <c r="J1559" s="8" t="s">
        <v>77</v>
      </c>
      <c r="K1559" t="s">
        <v>310</v>
      </c>
      <c r="L1559" t="s">
        <v>311</v>
      </c>
      <c r="M1559" s="2">
        <f>VALUE(MID(L1559,1,FIND("@",L1559)-6))</f>
        <v>141</v>
      </c>
      <c r="N1559">
        <v>5</v>
      </c>
      <c r="O1559" t="str">
        <f>IF(datos_limpios[[#This Row],[Seating Capacity ]]&gt;4,"SI","NO")</f>
        <v>SI</v>
      </c>
      <c r="P1559">
        <v>60</v>
      </c>
    </row>
    <row r="1560" spans="1:16" x14ac:dyDescent="0.3">
      <c r="A1560" s="8" t="s">
        <v>145</v>
      </c>
      <c r="B1560" s="8" t="s">
        <v>1151</v>
      </c>
      <c r="C1560" s="9">
        <v>1561</v>
      </c>
      <c r="D1560" s="3">
        <v>1750000</v>
      </c>
      <c r="E1560" s="1">
        <f>datos_limpios[[#This Row],[Price INR   ]]*0.011</f>
        <v>19250</v>
      </c>
      <c r="F1560" s="13">
        <v>2021</v>
      </c>
      <c r="G1560" s="2">
        <v>33000</v>
      </c>
      <c r="H1560" s="8" t="s">
        <v>12</v>
      </c>
      <c r="I1560" s="8" t="s">
        <v>40</v>
      </c>
      <c r="J1560" s="8" t="s">
        <v>101</v>
      </c>
      <c r="K1560" t="s">
        <v>310</v>
      </c>
      <c r="L1560" t="s">
        <v>311</v>
      </c>
      <c r="M1560" s="2">
        <f>VALUE(MID(L1560,1,FIND("@",L1560)-6))</f>
        <v>141</v>
      </c>
      <c r="N1560">
        <v>5</v>
      </c>
      <c r="O1560" t="str">
        <f>IF(datos_limpios[[#This Row],[Seating Capacity ]]&gt;4,"SI","NO")</f>
        <v>SI</v>
      </c>
      <c r="P1560">
        <v>60</v>
      </c>
    </row>
    <row r="1561" spans="1:16" x14ac:dyDescent="0.3">
      <c r="A1561" s="8" t="s">
        <v>145</v>
      </c>
      <c r="B1561" s="8" t="s">
        <v>312</v>
      </c>
      <c r="C1561" s="9">
        <v>1562</v>
      </c>
      <c r="D1561" s="3">
        <v>1764999</v>
      </c>
      <c r="E1561" s="1">
        <f>datos_limpios[[#This Row],[Price INR   ]]*0.011</f>
        <v>19414.988999999998</v>
      </c>
      <c r="F1561" s="13">
        <v>2021</v>
      </c>
      <c r="G1561" s="2">
        <v>1942</v>
      </c>
      <c r="H1561" s="8" t="s">
        <v>12</v>
      </c>
      <c r="I1561" s="8" t="s">
        <v>40</v>
      </c>
      <c r="J1561" s="8" t="s">
        <v>30</v>
      </c>
      <c r="K1561" t="s">
        <v>196</v>
      </c>
      <c r="L1561" t="s">
        <v>313</v>
      </c>
      <c r="M1561" s="2">
        <f>VALUE(MID(L1561,1,FIND("@",L1561)-6))</f>
        <v>108</v>
      </c>
      <c r="N1561">
        <v>5</v>
      </c>
      <c r="O1561" t="str">
        <f>IF(datos_limpios[[#This Row],[Seating Capacity ]]&gt;4,"SI","NO")</f>
        <v>SI</v>
      </c>
      <c r="P1561">
        <v>48</v>
      </c>
    </row>
    <row r="1562" spans="1:16" x14ac:dyDescent="0.3">
      <c r="A1562" s="8" t="s">
        <v>145</v>
      </c>
      <c r="B1562" s="8" t="s">
        <v>345</v>
      </c>
      <c r="C1562" s="9">
        <v>1563</v>
      </c>
      <c r="D1562" s="3">
        <v>1780000</v>
      </c>
      <c r="E1562" s="1">
        <f>datos_limpios[[#This Row],[Price INR   ]]*0.011</f>
        <v>19580</v>
      </c>
      <c r="F1562" s="13">
        <v>2020</v>
      </c>
      <c r="G1562" s="2">
        <v>65433</v>
      </c>
      <c r="H1562" s="8" t="s">
        <v>19</v>
      </c>
      <c r="I1562" s="8" t="s">
        <v>13</v>
      </c>
      <c r="J1562" s="8" t="s">
        <v>101</v>
      </c>
      <c r="K1562" t="s">
        <v>63</v>
      </c>
      <c r="L1562" t="s">
        <v>147</v>
      </c>
      <c r="M1562" s="2">
        <f>VALUE(MID(L1562,1,FIND("@",L1562)-6))</f>
        <v>169</v>
      </c>
      <c r="N1562">
        <v>5</v>
      </c>
      <c r="O1562" t="str">
        <f>IF(datos_limpios[[#This Row],[Seating Capacity ]]&gt;4,"SI","NO")</f>
        <v>SI</v>
      </c>
      <c r="P1562">
        <v>60</v>
      </c>
    </row>
    <row r="1563" spans="1:16" x14ac:dyDescent="0.3">
      <c r="A1563" s="8" t="s">
        <v>145</v>
      </c>
      <c r="B1563" s="8" t="s">
        <v>1015</v>
      </c>
      <c r="C1563" s="9">
        <v>1564</v>
      </c>
      <c r="D1563" s="3">
        <v>1875000</v>
      </c>
      <c r="E1563" s="1">
        <f>datos_limpios[[#This Row],[Price INR   ]]*0.011</f>
        <v>20625</v>
      </c>
      <c r="F1563" s="13">
        <v>2021</v>
      </c>
      <c r="G1563" s="2">
        <v>10000</v>
      </c>
      <c r="H1563" s="8" t="s">
        <v>12</v>
      </c>
      <c r="I1563" s="8" t="s">
        <v>40</v>
      </c>
      <c r="J1563" s="8" t="s">
        <v>30</v>
      </c>
      <c r="K1563" t="s">
        <v>310</v>
      </c>
      <c r="L1563" t="s">
        <v>311</v>
      </c>
      <c r="M1563" s="2">
        <f>VALUE(MID(L1563,1,FIND("@",L1563)-6))</f>
        <v>141</v>
      </c>
      <c r="N1563">
        <v>6</v>
      </c>
      <c r="O1563" t="str">
        <f>IF(datos_limpios[[#This Row],[Seating Capacity ]]&gt;4,"SI","NO")</f>
        <v>SI</v>
      </c>
      <c r="P1563">
        <v>60</v>
      </c>
    </row>
    <row r="1564" spans="1:16" x14ac:dyDescent="0.3">
      <c r="A1564" s="8" t="s">
        <v>145</v>
      </c>
      <c r="B1564" s="8" t="s">
        <v>309</v>
      </c>
      <c r="C1564" s="9">
        <v>1565</v>
      </c>
      <c r="D1564" s="3">
        <v>1889999</v>
      </c>
      <c r="E1564" s="1">
        <f>datos_limpios[[#This Row],[Price INR   ]]*0.011</f>
        <v>20789.988999999998</v>
      </c>
      <c r="F1564" s="13">
        <v>2021</v>
      </c>
      <c r="G1564" s="2">
        <v>17000</v>
      </c>
      <c r="H1564" s="8" t="s">
        <v>12</v>
      </c>
      <c r="I1564" s="8" t="s">
        <v>40</v>
      </c>
      <c r="J1564" s="8" t="s">
        <v>20</v>
      </c>
      <c r="K1564" t="s">
        <v>310</v>
      </c>
      <c r="L1564" t="s">
        <v>311</v>
      </c>
      <c r="M1564" s="2">
        <f>VALUE(MID(L1564,1,FIND("@",L1564)-6))</f>
        <v>141</v>
      </c>
      <c r="N1564">
        <v>5</v>
      </c>
      <c r="O1564" t="str">
        <f>IF(datos_limpios[[#This Row],[Seating Capacity ]]&gt;4,"SI","NO")</f>
        <v>SI</v>
      </c>
      <c r="P1564">
        <v>60</v>
      </c>
    </row>
    <row r="1565" spans="1:16" x14ac:dyDescent="0.3">
      <c r="A1565" s="8" t="s">
        <v>145</v>
      </c>
      <c r="B1565" s="8" t="s">
        <v>1156</v>
      </c>
      <c r="C1565" s="9">
        <v>1566</v>
      </c>
      <c r="D1565" s="3">
        <v>1925000</v>
      </c>
      <c r="E1565" s="1">
        <f>datos_limpios[[#This Row],[Price INR   ]]*0.011</f>
        <v>21175</v>
      </c>
      <c r="F1565" s="13">
        <v>2021</v>
      </c>
      <c r="G1565" s="2">
        <v>19000</v>
      </c>
      <c r="H1565" s="8" t="s">
        <v>12</v>
      </c>
      <c r="I1565" s="8" t="s">
        <v>40</v>
      </c>
      <c r="J1565" s="8" t="s">
        <v>77</v>
      </c>
      <c r="K1565" t="s">
        <v>310</v>
      </c>
      <c r="L1565" t="s">
        <v>311</v>
      </c>
      <c r="M1565" s="2">
        <f>VALUE(MID(L1565,1,FIND("@",L1565)-6))</f>
        <v>141</v>
      </c>
      <c r="N1565">
        <v>6</v>
      </c>
      <c r="O1565" t="str">
        <f>IF(datos_limpios[[#This Row],[Seating Capacity ]]&gt;4,"SI","NO")</f>
        <v>SI</v>
      </c>
      <c r="P1565">
        <v>60</v>
      </c>
    </row>
    <row r="1566" spans="1:16" x14ac:dyDescent="0.3">
      <c r="A1566" s="8" t="s">
        <v>145</v>
      </c>
      <c r="B1566" s="8" t="s">
        <v>1015</v>
      </c>
      <c r="C1566" s="9">
        <v>1567</v>
      </c>
      <c r="D1566" s="3">
        <v>1950000</v>
      </c>
      <c r="E1566" s="1">
        <f>datos_limpios[[#This Row],[Price INR   ]]*0.011</f>
        <v>21450</v>
      </c>
      <c r="F1566" s="13">
        <v>2020</v>
      </c>
      <c r="G1566" s="2">
        <v>28584</v>
      </c>
      <c r="H1566" s="8" t="s">
        <v>12</v>
      </c>
      <c r="I1566" s="8" t="s">
        <v>40</v>
      </c>
      <c r="J1566" s="8" t="s">
        <v>101</v>
      </c>
      <c r="K1566" t="s">
        <v>310</v>
      </c>
      <c r="L1566" t="s">
        <v>311</v>
      </c>
      <c r="M1566" s="2">
        <f>VALUE(MID(L1566,1,FIND("@",L1566)-6))</f>
        <v>141</v>
      </c>
      <c r="N1566">
        <v>6</v>
      </c>
      <c r="O1566" t="str">
        <f>IF(datos_limpios[[#This Row],[Seating Capacity ]]&gt;4,"SI","NO")</f>
        <v>SI</v>
      </c>
      <c r="P1566">
        <v>60</v>
      </c>
    </row>
    <row r="1567" spans="1:16" x14ac:dyDescent="0.3">
      <c r="A1567" s="8" t="s">
        <v>145</v>
      </c>
      <c r="B1567" s="8" t="s">
        <v>345</v>
      </c>
      <c r="C1567" s="9">
        <v>1568</v>
      </c>
      <c r="D1567" s="3">
        <v>1975000</v>
      </c>
      <c r="E1567" s="1">
        <f>datos_limpios[[#This Row],[Price INR   ]]*0.011</f>
        <v>21725</v>
      </c>
      <c r="F1567" s="13">
        <v>2021</v>
      </c>
      <c r="G1567" s="2">
        <v>18500</v>
      </c>
      <c r="H1567" s="8" t="s">
        <v>19</v>
      </c>
      <c r="I1567" s="8" t="s">
        <v>13</v>
      </c>
      <c r="J1567" s="8" t="s">
        <v>30</v>
      </c>
      <c r="K1567" t="s">
        <v>63</v>
      </c>
      <c r="L1567" t="s">
        <v>147</v>
      </c>
      <c r="M1567" s="2">
        <f>VALUE(MID(L1567,1,FIND("@",L1567)-6))</f>
        <v>169</v>
      </c>
      <c r="N1567">
        <v>5</v>
      </c>
      <c r="O1567" t="str">
        <f>IF(datos_limpios[[#This Row],[Seating Capacity ]]&gt;4,"SI","NO")</f>
        <v>SI</v>
      </c>
      <c r="P1567">
        <v>60</v>
      </c>
    </row>
    <row r="1568" spans="1:16" x14ac:dyDescent="0.3">
      <c r="A1568" s="8" t="s">
        <v>145</v>
      </c>
      <c r="B1568" s="8" t="s">
        <v>706</v>
      </c>
      <c r="C1568" s="9">
        <v>1569</v>
      </c>
      <c r="D1568" s="3">
        <v>3500000</v>
      </c>
      <c r="E1568" s="1">
        <f>datos_limpios[[#This Row],[Price INR   ]]*0.011</f>
        <v>38500</v>
      </c>
      <c r="F1568" s="13">
        <v>2021</v>
      </c>
      <c r="G1568" s="2">
        <v>7900</v>
      </c>
      <c r="H1568" s="8" t="s">
        <v>19</v>
      </c>
      <c r="I1568" s="8" t="s">
        <v>40</v>
      </c>
      <c r="J1568" s="8" t="s">
        <v>101</v>
      </c>
      <c r="K1568" t="s">
        <v>707</v>
      </c>
      <c r="L1568" t="s">
        <v>708</v>
      </c>
      <c r="M1568" s="2">
        <f>VALUE(MID(L1568,1,FIND("@",L1568)-6))</f>
        <v>215</v>
      </c>
      <c r="N1568">
        <v>6</v>
      </c>
      <c r="O1568" t="str">
        <f>IF(datos_limpios[[#This Row],[Seating Capacity ]]&gt;4,"SI","NO")</f>
        <v>SI</v>
      </c>
      <c r="P1568">
        <v>75</v>
      </c>
    </row>
    <row r="1569" spans="1:16" x14ac:dyDescent="0.3">
      <c r="A1569" s="8" t="s">
        <v>145</v>
      </c>
      <c r="B1569" s="8" t="s">
        <v>854</v>
      </c>
      <c r="C1569" s="9">
        <v>1570</v>
      </c>
      <c r="D1569" s="3">
        <v>3950000</v>
      </c>
      <c r="E1569" s="1">
        <f>datos_limpios[[#This Row],[Price INR   ]]*0.011</f>
        <v>43450</v>
      </c>
      <c r="F1569" s="13">
        <v>2021</v>
      </c>
      <c r="G1569" s="2">
        <v>40000</v>
      </c>
      <c r="H1569" s="8" t="s">
        <v>19</v>
      </c>
      <c r="I1569" s="8" t="s">
        <v>40</v>
      </c>
      <c r="J1569" s="8" t="s">
        <v>77</v>
      </c>
      <c r="K1569" t="s">
        <v>707</v>
      </c>
      <c r="L1569" t="s">
        <v>708</v>
      </c>
      <c r="M1569" s="2">
        <f>VALUE(MID(L1569,1,FIND("@",L1569)-6))</f>
        <v>215</v>
      </c>
      <c r="N1569">
        <v>6</v>
      </c>
      <c r="O1569" t="str">
        <f>IF(datos_limpios[[#This Row],[Seating Capacity ]]&gt;4,"SI","NO")</f>
        <v>SI</v>
      </c>
      <c r="P1569">
        <v>75</v>
      </c>
    </row>
    <row r="1570" spans="1:16" x14ac:dyDescent="0.3">
      <c r="A1570" s="8" t="s">
        <v>613</v>
      </c>
      <c r="B1570" s="8" t="s">
        <v>614</v>
      </c>
      <c r="C1570" s="9">
        <v>1571</v>
      </c>
      <c r="D1570" s="3">
        <v>1300000</v>
      </c>
      <c r="E1570" s="1">
        <f>datos_limpios[[#This Row],[Price INR   ]]*0.011</f>
        <v>14300</v>
      </c>
      <c r="F1570" s="13">
        <v>2013</v>
      </c>
      <c r="G1570" s="2">
        <v>50300</v>
      </c>
      <c r="H1570" s="8" t="s">
        <v>19</v>
      </c>
      <c r="I1570" s="8" t="s">
        <v>40</v>
      </c>
      <c r="J1570" s="8" t="s">
        <v>288</v>
      </c>
      <c r="K1570" t="s">
        <v>41</v>
      </c>
      <c r="L1570" t="s">
        <v>616</v>
      </c>
      <c r="M1570" s="2">
        <f>VALUE(MID(L1570,1,FIND("@",L1570)-6))</f>
        <v>112</v>
      </c>
      <c r="N1570">
        <v>5</v>
      </c>
      <c r="O1570" t="str">
        <f>IF(datos_limpios[[#This Row],[Seating Capacity ]]&gt;4,"SI","NO")</f>
        <v>SI</v>
      </c>
      <c r="P1570">
        <v>47</v>
      </c>
    </row>
    <row r="1571" spans="1:16" x14ac:dyDescent="0.3">
      <c r="A1571" s="8" t="s">
        <v>613</v>
      </c>
      <c r="B1571" s="8" t="s">
        <v>614</v>
      </c>
      <c r="C1571" s="9">
        <v>1572</v>
      </c>
      <c r="D1571" s="3">
        <v>1489000</v>
      </c>
      <c r="E1571" s="1">
        <f>datos_limpios[[#This Row],[Price INR   ]]*0.011</f>
        <v>16378.999999999998</v>
      </c>
      <c r="F1571" s="13">
        <v>2014</v>
      </c>
      <c r="G1571" s="2">
        <v>81000</v>
      </c>
      <c r="H1571" s="8" t="s">
        <v>19</v>
      </c>
      <c r="I1571" s="8" t="s">
        <v>40</v>
      </c>
      <c r="J1571" s="8" t="s">
        <v>615</v>
      </c>
      <c r="K1571" t="s">
        <v>41</v>
      </c>
      <c r="L1571" t="s">
        <v>616</v>
      </c>
      <c r="M1571" s="2">
        <f>VALUE(MID(L1571,1,FIND("@",L1571)-6))</f>
        <v>112</v>
      </c>
      <c r="N1571">
        <v>5</v>
      </c>
      <c r="O1571" t="str">
        <f>IF(datos_limpios[[#This Row],[Seating Capacity ]]&gt;4,"SI","NO")</f>
        <v>SI</v>
      </c>
      <c r="P1571">
        <v>47</v>
      </c>
    </row>
    <row r="1572" spans="1:16" x14ac:dyDescent="0.3">
      <c r="A1572" s="8" t="s">
        <v>613</v>
      </c>
      <c r="B1572" s="8" t="s">
        <v>1082</v>
      </c>
      <c r="C1572" s="9">
        <v>1573</v>
      </c>
      <c r="D1572" s="3">
        <v>1950000</v>
      </c>
      <c r="E1572" s="1">
        <f>datos_limpios[[#This Row],[Price INR   ]]*0.011</f>
        <v>21450</v>
      </c>
      <c r="F1572" s="13">
        <v>2014</v>
      </c>
      <c r="G1572" s="2">
        <v>24000</v>
      </c>
      <c r="H1572" s="8" t="s">
        <v>19</v>
      </c>
      <c r="I1572" s="8" t="s">
        <v>40</v>
      </c>
      <c r="J1572" s="8" t="s">
        <v>30</v>
      </c>
      <c r="K1572" t="s">
        <v>683</v>
      </c>
      <c r="L1572" t="s">
        <v>581</v>
      </c>
      <c r="M1572" s="2">
        <f>VALUE(MID(L1572,1,FIND("@",L1572)-6))</f>
        <v>114</v>
      </c>
      <c r="N1572">
        <v>5</v>
      </c>
      <c r="O1572" t="str">
        <f>IF(datos_limpios[[#This Row],[Seating Capacity ]]&gt;4,"SI","NO")</f>
        <v>SI</v>
      </c>
      <c r="P1572">
        <v>44</v>
      </c>
    </row>
    <row r="1573" spans="1:16" x14ac:dyDescent="0.3">
      <c r="A1573" s="8" t="s">
        <v>613</v>
      </c>
      <c r="B1573" s="8" t="s">
        <v>1082</v>
      </c>
      <c r="C1573" s="9">
        <v>1574</v>
      </c>
      <c r="D1573" s="3">
        <v>2500000</v>
      </c>
      <c r="E1573" s="1">
        <f>datos_limpios[[#This Row],[Price INR   ]]*0.011</f>
        <v>27500</v>
      </c>
      <c r="F1573" s="13">
        <v>2015</v>
      </c>
      <c r="G1573" s="2">
        <v>34303</v>
      </c>
      <c r="H1573" s="8" t="s">
        <v>19</v>
      </c>
      <c r="I1573" s="8" t="s">
        <v>40</v>
      </c>
      <c r="J1573" s="8" t="s">
        <v>872</v>
      </c>
      <c r="K1573" t="s">
        <v>683</v>
      </c>
      <c r="L1573" t="s">
        <v>581</v>
      </c>
      <c r="M1573" s="2">
        <f>VALUE(MID(L1573,1,FIND("@",L1573)-6))</f>
        <v>114</v>
      </c>
      <c r="N1573">
        <v>5</v>
      </c>
      <c r="O1573" t="str">
        <f>IF(datos_limpios[[#This Row],[Seating Capacity ]]&gt;4,"SI","NO")</f>
        <v>SI</v>
      </c>
      <c r="P1573">
        <v>44</v>
      </c>
    </row>
    <row r="1574" spans="1:16" x14ac:dyDescent="0.3">
      <c r="A1574" s="8" t="s">
        <v>613</v>
      </c>
      <c r="B1574" s="8" t="s">
        <v>846</v>
      </c>
      <c r="C1574" s="9">
        <v>1575</v>
      </c>
      <c r="D1574" s="3">
        <v>3200000</v>
      </c>
      <c r="E1574" s="1">
        <f>datos_limpios[[#This Row],[Price INR   ]]*0.011</f>
        <v>35200</v>
      </c>
      <c r="F1574" s="13">
        <v>2017</v>
      </c>
      <c r="G1574" s="2">
        <v>10500</v>
      </c>
      <c r="H1574" s="8" t="s">
        <v>12</v>
      </c>
      <c r="I1574" s="8" t="s">
        <v>40</v>
      </c>
      <c r="J1574" s="8" t="s">
        <v>101</v>
      </c>
      <c r="K1574" t="s">
        <v>162</v>
      </c>
      <c r="L1574" t="s">
        <v>847</v>
      </c>
      <c r="M1574" s="2">
        <f>VALUE(MID(L1574,1,FIND("@",L1574)-6))</f>
        <v>189</v>
      </c>
      <c r="N1574">
        <v>4</v>
      </c>
      <c r="O1574" t="str">
        <f>IF(datos_limpios[[#This Row],[Seating Capacity ]]&gt;4,"SI","NO")</f>
        <v>NO</v>
      </c>
      <c r="P1574">
        <v>44</v>
      </c>
    </row>
    <row r="1575" spans="1:16" x14ac:dyDescent="0.3">
      <c r="A1575" s="8" t="s">
        <v>613</v>
      </c>
      <c r="B1575" s="8" t="s">
        <v>729</v>
      </c>
      <c r="C1575" s="9">
        <v>1576</v>
      </c>
      <c r="D1575" s="3">
        <v>3300000</v>
      </c>
      <c r="E1575" s="1">
        <f>datos_limpios[[#This Row],[Price INR   ]]*0.011</f>
        <v>36300</v>
      </c>
      <c r="F1575" s="13">
        <v>2019</v>
      </c>
      <c r="G1575" s="2">
        <v>6400</v>
      </c>
      <c r="H1575" s="8" t="s">
        <v>19</v>
      </c>
      <c r="I1575" s="8" t="s">
        <v>40</v>
      </c>
      <c r="J1575" s="8" t="s">
        <v>30</v>
      </c>
      <c r="K1575" t="s">
        <v>683</v>
      </c>
      <c r="L1575" t="s">
        <v>581</v>
      </c>
      <c r="M1575" s="2">
        <f>VALUE(MID(L1575,1,FIND("@",L1575)-6))</f>
        <v>114</v>
      </c>
      <c r="N1575">
        <v>5</v>
      </c>
      <c r="O1575" t="str">
        <f>IF(datos_limpios[[#This Row],[Seating Capacity ]]&gt;4,"SI","NO")</f>
        <v>SI</v>
      </c>
      <c r="P1575">
        <v>44</v>
      </c>
    </row>
    <row r="1576" spans="1:16" x14ac:dyDescent="0.3">
      <c r="A1576" s="8" t="s">
        <v>613</v>
      </c>
      <c r="B1576" s="8" t="s">
        <v>729</v>
      </c>
      <c r="C1576" s="9">
        <v>1577</v>
      </c>
      <c r="D1576" s="3">
        <v>3300000</v>
      </c>
      <c r="E1576" s="1">
        <f>datos_limpios[[#This Row],[Price INR   ]]*0.011</f>
        <v>36300</v>
      </c>
      <c r="F1576" s="13">
        <v>2018</v>
      </c>
      <c r="G1576" s="2">
        <v>17000</v>
      </c>
      <c r="H1576" s="8" t="s">
        <v>19</v>
      </c>
      <c r="I1576" s="8" t="s">
        <v>40</v>
      </c>
      <c r="J1576" s="8" t="s">
        <v>288</v>
      </c>
      <c r="K1576" t="s">
        <v>683</v>
      </c>
      <c r="L1576" t="s">
        <v>581</v>
      </c>
      <c r="M1576" s="2">
        <f>VALUE(MID(L1576,1,FIND("@",L1576)-6))</f>
        <v>114</v>
      </c>
      <c r="N1576">
        <v>5</v>
      </c>
      <c r="O1576" t="str">
        <f>IF(datos_limpios[[#This Row],[Seating Capacity ]]&gt;4,"SI","NO")</f>
        <v>SI</v>
      </c>
      <c r="P1576">
        <v>44</v>
      </c>
    </row>
    <row r="1577" spans="1:16" x14ac:dyDescent="0.3">
      <c r="A1577" s="8" t="s">
        <v>613</v>
      </c>
      <c r="B1577" s="8" t="s">
        <v>1082</v>
      </c>
      <c r="C1577" s="9">
        <v>1578</v>
      </c>
      <c r="D1577" s="3">
        <v>3590000</v>
      </c>
      <c r="E1577" s="1">
        <f>datos_limpios[[#This Row],[Price INR   ]]*0.011</f>
        <v>39490</v>
      </c>
      <c r="F1577" s="13">
        <v>2020</v>
      </c>
      <c r="G1577" s="2">
        <v>19759</v>
      </c>
      <c r="H1577" s="8" t="s">
        <v>19</v>
      </c>
      <c r="I1577" s="8" t="s">
        <v>40</v>
      </c>
      <c r="J1577" s="8" t="s">
        <v>57</v>
      </c>
      <c r="K1577" t="s">
        <v>683</v>
      </c>
      <c r="L1577" t="s">
        <v>581</v>
      </c>
      <c r="M1577" s="2">
        <f>VALUE(MID(L1577,1,FIND("@",L1577)-6))</f>
        <v>114</v>
      </c>
      <c r="N1577">
        <v>5</v>
      </c>
      <c r="O1577" t="str">
        <f>IF(datos_limpios[[#This Row],[Seating Capacity ]]&gt;4,"SI","NO")</f>
        <v>SI</v>
      </c>
      <c r="P1577">
        <v>44</v>
      </c>
    </row>
    <row r="1578" spans="1:16" x14ac:dyDescent="0.3">
      <c r="A1578" s="8" t="s">
        <v>613</v>
      </c>
      <c r="B1578" s="8" t="s">
        <v>1060</v>
      </c>
      <c r="C1578" s="9">
        <v>1579</v>
      </c>
      <c r="D1578" s="3">
        <v>3875000</v>
      </c>
      <c r="E1578" s="1">
        <f>datos_limpios[[#This Row],[Price INR   ]]*0.011</f>
        <v>42625</v>
      </c>
      <c r="F1578" s="13">
        <v>2021</v>
      </c>
      <c r="G1578" s="2">
        <v>12000</v>
      </c>
      <c r="H1578" s="8" t="s">
        <v>12</v>
      </c>
      <c r="I1578" s="8" t="s">
        <v>40</v>
      </c>
      <c r="J1578" s="8" t="s">
        <v>288</v>
      </c>
      <c r="K1578" t="s">
        <v>162</v>
      </c>
      <c r="L1578" t="s">
        <v>1061</v>
      </c>
      <c r="M1578" s="2">
        <f>VALUE(MID(L1578,1,FIND("@",L1578)-6))</f>
        <v>189</v>
      </c>
      <c r="N1578">
        <v>5</v>
      </c>
      <c r="O1578" t="str">
        <f>IF(datos_limpios[[#This Row],[Seating Capacity ]]&gt;4,"SI","NO")</f>
        <v>SI</v>
      </c>
      <c r="P1578">
        <v>47</v>
      </c>
    </row>
    <row r="1579" spans="1:16" x14ac:dyDescent="0.3">
      <c r="A1579" s="8" t="s">
        <v>613</v>
      </c>
      <c r="B1579" s="8" t="s">
        <v>846</v>
      </c>
      <c r="C1579" s="9">
        <v>1580</v>
      </c>
      <c r="D1579" s="3">
        <v>3900000</v>
      </c>
      <c r="E1579" s="1">
        <f>datos_limpios[[#This Row],[Price INR   ]]*0.011</f>
        <v>42900</v>
      </c>
      <c r="F1579" s="13">
        <v>2020</v>
      </c>
      <c r="G1579" s="2">
        <v>13000</v>
      </c>
      <c r="H1579" s="8" t="s">
        <v>12</v>
      </c>
      <c r="I1579" s="8" t="s">
        <v>40</v>
      </c>
      <c r="J1579" s="8" t="s">
        <v>101</v>
      </c>
      <c r="K1579" t="s">
        <v>162</v>
      </c>
      <c r="L1579" t="s">
        <v>847</v>
      </c>
      <c r="M1579" s="2">
        <f>VALUE(MID(L1579,1,FIND("@",L1579)-6))</f>
        <v>189</v>
      </c>
      <c r="N1579">
        <v>4</v>
      </c>
      <c r="O1579" t="str">
        <f>IF(datos_limpios[[#This Row],[Seating Capacity ]]&gt;4,"SI","NO")</f>
        <v>NO</v>
      </c>
      <c r="P1579">
        <v>44</v>
      </c>
    </row>
    <row r="1580" spans="1:16" x14ac:dyDescent="0.3">
      <c r="A1580" s="8" t="s">
        <v>613</v>
      </c>
      <c r="B1580" s="8" t="s">
        <v>1328</v>
      </c>
      <c r="C1580" s="9">
        <v>1581</v>
      </c>
      <c r="D1580" s="3">
        <v>5200000</v>
      </c>
      <c r="E1580" s="1">
        <f>datos_limpios[[#This Row],[Price INR   ]]*0.011</f>
        <v>57200</v>
      </c>
      <c r="F1580" s="13">
        <v>2022</v>
      </c>
      <c r="G1580" s="2">
        <v>0</v>
      </c>
      <c r="H1580" s="8" t="s">
        <v>12</v>
      </c>
      <c r="I1580" s="8" t="s">
        <v>40</v>
      </c>
      <c r="J1580" s="8" t="s">
        <v>872</v>
      </c>
      <c r="K1580" t="s">
        <v>162</v>
      </c>
      <c r="L1580" t="s">
        <v>1329</v>
      </c>
      <c r="M1580" s="2">
        <f>VALUE(MID(L1580,1,FIND("@",L1580)-6))</f>
        <v>228</v>
      </c>
      <c r="N1580">
        <v>4</v>
      </c>
      <c r="O1580" t="str">
        <f>IF(datos_limpios[[#This Row],[Seating Capacity ]]&gt;4,"SI","NO")</f>
        <v>NO</v>
      </c>
      <c r="P1580">
        <v>44</v>
      </c>
    </row>
    <row r="1581" spans="1:16" x14ac:dyDescent="0.3">
      <c r="A1581" s="8" t="s">
        <v>651</v>
      </c>
      <c r="B1581" s="8" t="s">
        <v>832</v>
      </c>
      <c r="C1581" s="9">
        <v>1582</v>
      </c>
      <c r="D1581" s="3">
        <v>625000</v>
      </c>
      <c r="E1581" s="1">
        <f>datos_limpios[[#This Row],[Price INR   ]]*0.011</f>
        <v>6875</v>
      </c>
      <c r="F1581" s="13">
        <v>2011</v>
      </c>
      <c r="G1581" s="2">
        <v>40000</v>
      </c>
      <c r="H1581" s="8" t="s">
        <v>19</v>
      </c>
      <c r="I1581" s="8" t="s">
        <v>13</v>
      </c>
      <c r="J1581" s="8" t="s">
        <v>20</v>
      </c>
      <c r="K1581" t="s">
        <v>833</v>
      </c>
      <c r="L1581" t="s">
        <v>834</v>
      </c>
      <c r="M1581" s="2">
        <f>VALUE(MID(L1581,1,FIND("@",L1581)-6))</f>
        <v>118</v>
      </c>
      <c r="N1581">
        <v>5</v>
      </c>
      <c r="O1581" t="str">
        <f>IF(datos_limpios[[#This Row],[Seating Capacity ]]&gt;4,"SI","NO")</f>
        <v>SI</v>
      </c>
      <c r="P1581">
        <v>92</v>
      </c>
    </row>
    <row r="1582" spans="1:16" x14ac:dyDescent="0.3">
      <c r="A1582" s="8" t="s">
        <v>651</v>
      </c>
      <c r="B1582" s="8" t="s">
        <v>652</v>
      </c>
      <c r="C1582" s="9">
        <v>1583</v>
      </c>
      <c r="D1582" s="3">
        <v>1300000</v>
      </c>
      <c r="E1582" s="1">
        <f>datos_limpios[[#This Row],[Price INR   ]]*0.011</f>
        <v>14300</v>
      </c>
      <c r="F1582" s="13">
        <v>2013</v>
      </c>
      <c r="G1582" s="2">
        <v>95000</v>
      </c>
      <c r="H1582" s="8" t="s">
        <v>19</v>
      </c>
      <c r="I1582" s="8" t="s">
        <v>13</v>
      </c>
      <c r="J1582" s="8" t="s">
        <v>57</v>
      </c>
      <c r="K1582" t="s">
        <v>653</v>
      </c>
      <c r="L1582" t="s">
        <v>654</v>
      </c>
      <c r="M1582" s="2">
        <f>VALUE(MID(L1582,1,FIND("@",L1582)-6))</f>
        <v>176</v>
      </c>
      <c r="N1582">
        <v>7</v>
      </c>
      <c r="O1582" t="str">
        <f>IF(datos_limpios[[#This Row],[Seating Capacity ]]&gt;4,"SI","NO")</f>
        <v>SI</v>
      </c>
      <c r="P1582">
        <v>70</v>
      </c>
    </row>
    <row r="1583" spans="1:16" x14ac:dyDescent="0.3">
      <c r="A1583" s="8" t="s">
        <v>651</v>
      </c>
      <c r="B1583" s="8" t="s">
        <v>1339</v>
      </c>
      <c r="C1583" s="9">
        <v>1584</v>
      </c>
      <c r="D1583" s="3">
        <v>1475000</v>
      </c>
      <c r="E1583" s="1">
        <f>datos_limpios[[#This Row],[Price INR   ]]*0.011</f>
        <v>16224.999999999998</v>
      </c>
      <c r="F1583" s="13">
        <v>2016</v>
      </c>
      <c r="G1583" s="2">
        <v>82000</v>
      </c>
      <c r="H1583" s="8" t="s">
        <v>19</v>
      </c>
      <c r="I1583" s="8" t="s">
        <v>40</v>
      </c>
      <c r="J1583" s="8" t="s">
        <v>14</v>
      </c>
      <c r="K1583" t="s">
        <v>653</v>
      </c>
      <c r="L1583" t="s">
        <v>654</v>
      </c>
      <c r="M1583" s="2">
        <f>VALUE(MID(L1583,1,FIND("@",L1583)-6))</f>
        <v>176</v>
      </c>
      <c r="N1583">
        <v>7</v>
      </c>
      <c r="O1583" t="str">
        <f>IF(datos_limpios[[#This Row],[Seating Capacity ]]&gt;4,"SI","NO")</f>
        <v>SI</v>
      </c>
      <c r="P1583">
        <v>70</v>
      </c>
    </row>
    <row r="1584" spans="1:16" x14ac:dyDescent="0.3">
      <c r="A1584" s="8" t="s">
        <v>651</v>
      </c>
      <c r="B1584" s="8" t="s">
        <v>1121</v>
      </c>
      <c r="C1584" s="9">
        <v>1585</v>
      </c>
      <c r="D1584" s="3">
        <v>1995000</v>
      </c>
      <c r="E1584" s="1">
        <f>datos_limpios[[#This Row],[Price INR   ]]*0.011</f>
        <v>21945</v>
      </c>
      <c r="F1584" s="13">
        <v>2018</v>
      </c>
      <c r="G1584" s="2">
        <v>122000</v>
      </c>
      <c r="H1584" s="8" t="s">
        <v>19</v>
      </c>
      <c r="I1584" s="8" t="s">
        <v>40</v>
      </c>
      <c r="J1584" s="8" t="s">
        <v>77</v>
      </c>
      <c r="K1584" t="s">
        <v>653</v>
      </c>
      <c r="L1584" t="s">
        <v>654</v>
      </c>
      <c r="M1584" s="2">
        <f>VALUE(MID(L1584,1,FIND("@",L1584)-6))</f>
        <v>176</v>
      </c>
      <c r="N1584">
        <v>7</v>
      </c>
      <c r="O1584" t="str">
        <f>IF(datos_limpios[[#This Row],[Seating Capacity ]]&gt;4,"SI","NO")</f>
        <v>SI</v>
      </c>
      <c r="P1584">
        <v>70</v>
      </c>
    </row>
    <row r="1585" spans="1:16" x14ac:dyDescent="0.3">
      <c r="A1585" s="8" t="s">
        <v>47</v>
      </c>
      <c r="B1585" s="8" t="s">
        <v>1410</v>
      </c>
      <c r="C1585" s="9">
        <v>1586</v>
      </c>
      <c r="D1585" s="3">
        <v>315000</v>
      </c>
      <c r="E1585" s="1">
        <f>datos_limpios[[#This Row],[Price INR   ]]*0.011</f>
        <v>3465</v>
      </c>
      <c r="F1585" s="13">
        <v>2012</v>
      </c>
      <c r="G1585" s="2">
        <v>57000</v>
      </c>
      <c r="H1585" s="8" t="s">
        <v>12</v>
      </c>
      <c r="I1585" s="8" t="s">
        <v>13</v>
      </c>
      <c r="J1585" s="8" t="s">
        <v>20</v>
      </c>
      <c r="K1585" t="s">
        <v>196</v>
      </c>
      <c r="L1585" t="s">
        <v>1411</v>
      </c>
      <c r="M1585" s="2">
        <f>VALUE(MID(L1585,1,FIND("@",L1585)-6))</f>
        <v>98</v>
      </c>
      <c r="N1585">
        <v>5</v>
      </c>
      <c r="O1585" t="str">
        <f>IF(datos_limpios[[#This Row],[Seating Capacity ]]&gt;4,"SI","NO")</f>
        <v>SI</v>
      </c>
      <c r="P1585">
        <v>41</v>
      </c>
    </row>
    <row r="1586" spans="1:16" x14ac:dyDescent="0.3">
      <c r="A1586" s="8" t="s">
        <v>47</v>
      </c>
      <c r="B1586" s="8" t="s">
        <v>865</v>
      </c>
      <c r="C1586" s="9">
        <v>1587</v>
      </c>
      <c r="D1586" s="3">
        <v>325000</v>
      </c>
      <c r="E1586" s="1">
        <f>datos_limpios[[#This Row],[Price INR   ]]*0.011</f>
        <v>3575</v>
      </c>
      <c r="F1586" s="13">
        <v>2013</v>
      </c>
      <c r="G1586" s="2">
        <v>51000</v>
      </c>
      <c r="H1586" s="8" t="s">
        <v>19</v>
      </c>
      <c r="I1586" s="8" t="s">
        <v>13</v>
      </c>
      <c r="J1586" s="8" t="s">
        <v>14</v>
      </c>
      <c r="K1586" t="s">
        <v>49</v>
      </c>
      <c r="L1586" t="s">
        <v>866</v>
      </c>
      <c r="M1586" s="2">
        <f>VALUE(MID(L1586,1,FIND("@",L1586)-6))</f>
        <v>85</v>
      </c>
      <c r="N1586">
        <v>5</v>
      </c>
      <c r="O1586" t="str">
        <f>IF(datos_limpios[[#This Row],[Seating Capacity ]]&gt;4,"SI","NO")</f>
        <v>SI</v>
      </c>
      <c r="P1586">
        <v>41</v>
      </c>
    </row>
    <row r="1587" spans="1:16" x14ac:dyDescent="0.3">
      <c r="A1587" s="8" t="s">
        <v>47</v>
      </c>
      <c r="B1587" s="8" t="s">
        <v>865</v>
      </c>
      <c r="C1587" s="9">
        <v>1588</v>
      </c>
      <c r="D1587" s="3">
        <v>360000</v>
      </c>
      <c r="E1587" s="1">
        <f>datos_limpios[[#This Row],[Price INR   ]]*0.011</f>
        <v>3959.9999999999995</v>
      </c>
      <c r="F1587" s="13">
        <v>2013</v>
      </c>
      <c r="G1587" s="2">
        <v>92000</v>
      </c>
      <c r="H1587" s="8" t="s">
        <v>19</v>
      </c>
      <c r="I1587" s="8" t="s">
        <v>13</v>
      </c>
      <c r="J1587" s="8" t="s">
        <v>14</v>
      </c>
      <c r="K1587" t="s">
        <v>49</v>
      </c>
      <c r="L1587" t="s">
        <v>866</v>
      </c>
      <c r="M1587" s="2">
        <f>VALUE(MID(L1587,1,FIND("@",L1587)-6))</f>
        <v>85</v>
      </c>
      <c r="N1587">
        <v>5</v>
      </c>
      <c r="O1587" t="str">
        <f>IF(datos_limpios[[#This Row],[Seating Capacity ]]&gt;4,"SI","NO")</f>
        <v>SI</v>
      </c>
      <c r="P1587">
        <v>41</v>
      </c>
    </row>
    <row r="1588" spans="1:16" x14ac:dyDescent="0.3">
      <c r="A1588" s="8" t="s">
        <v>47</v>
      </c>
      <c r="B1588" s="8" t="s">
        <v>865</v>
      </c>
      <c r="C1588" s="9">
        <v>1589</v>
      </c>
      <c r="D1588" s="3">
        <v>380000</v>
      </c>
      <c r="E1588" s="1">
        <f>datos_limpios[[#This Row],[Price INR   ]]*0.011</f>
        <v>4180</v>
      </c>
      <c r="F1588" s="13">
        <v>2013</v>
      </c>
      <c r="G1588" s="2">
        <v>35000</v>
      </c>
      <c r="H1588" s="8" t="s">
        <v>19</v>
      </c>
      <c r="I1588" s="8" t="s">
        <v>13</v>
      </c>
      <c r="J1588" s="8" t="s">
        <v>14</v>
      </c>
      <c r="K1588" t="s">
        <v>49</v>
      </c>
      <c r="L1588" t="s">
        <v>866</v>
      </c>
      <c r="M1588" s="2">
        <f>VALUE(MID(L1588,1,FIND("@",L1588)-6))</f>
        <v>85</v>
      </c>
      <c r="N1588">
        <v>5</v>
      </c>
      <c r="O1588" t="str">
        <f>IF(datos_limpios[[#This Row],[Seating Capacity ]]&gt;4,"SI","NO")</f>
        <v>SI</v>
      </c>
      <c r="P1588">
        <v>41</v>
      </c>
    </row>
    <row r="1589" spans="1:16" x14ac:dyDescent="0.3">
      <c r="A1589" s="8" t="s">
        <v>47</v>
      </c>
      <c r="B1589" s="8" t="s">
        <v>439</v>
      </c>
      <c r="C1589" s="9">
        <v>1590</v>
      </c>
      <c r="D1589" s="3">
        <v>385000</v>
      </c>
      <c r="E1589" s="1">
        <f>datos_limpios[[#This Row],[Price INR   ]]*0.011</f>
        <v>4235</v>
      </c>
      <c r="F1589" s="13">
        <v>2013</v>
      </c>
      <c r="G1589" s="2">
        <v>72000</v>
      </c>
      <c r="H1589" s="8" t="s">
        <v>19</v>
      </c>
      <c r="I1589" s="8" t="s">
        <v>13</v>
      </c>
      <c r="J1589" s="8" t="s">
        <v>14</v>
      </c>
      <c r="K1589" t="s">
        <v>49</v>
      </c>
      <c r="L1589" t="s">
        <v>50</v>
      </c>
      <c r="M1589" s="2">
        <f>VALUE(MID(L1589,1,FIND("@",L1589)-6))</f>
        <v>84</v>
      </c>
      <c r="N1589">
        <v>5</v>
      </c>
      <c r="O1589" t="str">
        <f>IF(datos_limpios[[#This Row],[Seating Capacity ]]&gt;4,"SI","NO")</f>
        <v>SI</v>
      </c>
      <c r="P1589">
        <v>50</v>
      </c>
    </row>
    <row r="1590" spans="1:16" x14ac:dyDescent="0.3">
      <c r="A1590" s="8" t="s">
        <v>47</v>
      </c>
      <c r="B1590" s="8" t="s">
        <v>1385</v>
      </c>
      <c r="C1590" s="9">
        <v>1591</v>
      </c>
      <c r="D1590" s="3">
        <v>425000</v>
      </c>
      <c r="E1590" s="1">
        <f>datos_limpios[[#This Row],[Price INR   ]]*0.011</f>
        <v>4675</v>
      </c>
      <c r="F1590" s="13">
        <v>2014</v>
      </c>
      <c r="G1590" s="2">
        <v>74000</v>
      </c>
      <c r="H1590" s="8" t="s">
        <v>19</v>
      </c>
      <c r="I1590" s="8" t="s">
        <v>13</v>
      </c>
      <c r="J1590" s="8" t="s">
        <v>77</v>
      </c>
      <c r="K1590" t="s">
        <v>49</v>
      </c>
      <c r="L1590" t="s">
        <v>50</v>
      </c>
      <c r="M1590" s="2">
        <f>VALUE(MID(L1590,1,FIND("@",L1590)-6))</f>
        <v>84</v>
      </c>
      <c r="N1590">
        <v>5</v>
      </c>
      <c r="O1590" t="str">
        <f>IF(datos_limpios[[#This Row],[Seating Capacity ]]&gt;4,"SI","NO")</f>
        <v>SI</v>
      </c>
      <c r="P1590">
        <v>50</v>
      </c>
    </row>
    <row r="1591" spans="1:16" x14ac:dyDescent="0.3">
      <c r="A1591" s="8" t="s">
        <v>47</v>
      </c>
      <c r="B1591" s="8" t="s">
        <v>439</v>
      </c>
      <c r="C1591" s="9">
        <v>1592</v>
      </c>
      <c r="D1591" s="3">
        <v>445000</v>
      </c>
      <c r="E1591" s="1">
        <f>datos_limpios[[#This Row],[Price INR   ]]*0.011</f>
        <v>4895</v>
      </c>
      <c r="F1591" s="13">
        <v>2014</v>
      </c>
      <c r="G1591" s="2">
        <v>75000</v>
      </c>
      <c r="H1591" s="8" t="s">
        <v>19</v>
      </c>
      <c r="I1591" s="8" t="s">
        <v>13</v>
      </c>
      <c r="J1591" s="8" t="s">
        <v>20</v>
      </c>
      <c r="K1591" t="s">
        <v>49</v>
      </c>
      <c r="L1591" t="s">
        <v>50</v>
      </c>
      <c r="M1591" s="2">
        <f>VALUE(MID(L1591,1,FIND("@",L1591)-6))</f>
        <v>84</v>
      </c>
      <c r="N1591">
        <v>5</v>
      </c>
      <c r="O1591" t="str">
        <f>IF(datos_limpios[[#This Row],[Seating Capacity ]]&gt;4,"SI","NO")</f>
        <v>SI</v>
      </c>
      <c r="P1591">
        <v>50</v>
      </c>
    </row>
    <row r="1592" spans="1:16" x14ac:dyDescent="0.3">
      <c r="A1592" s="8" t="s">
        <v>47</v>
      </c>
      <c r="B1592" s="8" t="s">
        <v>439</v>
      </c>
      <c r="C1592" s="9">
        <v>1593</v>
      </c>
      <c r="D1592" s="3">
        <v>450000</v>
      </c>
      <c r="E1592" s="1">
        <f>datos_limpios[[#This Row],[Price INR   ]]*0.011</f>
        <v>4950</v>
      </c>
      <c r="F1592" s="13">
        <v>2014</v>
      </c>
      <c r="G1592" s="2">
        <v>85000</v>
      </c>
      <c r="H1592" s="8" t="s">
        <v>19</v>
      </c>
      <c r="I1592" s="8" t="s">
        <v>13</v>
      </c>
      <c r="J1592" s="8" t="s">
        <v>77</v>
      </c>
      <c r="K1592" t="s">
        <v>49</v>
      </c>
      <c r="L1592" t="s">
        <v>50</v>
      </c>
      <c r="M1592" s="2">
        <f>VALUE(MID(L1592,1,FIND("@",L1592)-6))</f>
        <v>84</v>
      </c>
      <c r="N1592">
        <v>5</v>
      </c>
      <c r="O1592" t="str">
        <f>IF(datos_limpios[[#This Row],[Seating Capacity ]]&gt;4,"SI","NO")</f>
        <v>SI</v>
      </c>
      <c r="P1592">
        <v>50</v>
      </c>
    </row>
    <row r="1593" spans="1:16" x14ac:dyDescent="0.3">
      <c r="A1593" s="8" t="s">
        <v>47</v>
      </c>
      <c r="B1593" s="8" t="s">
        <v>771</v>
      </c>
      <c r="C1593" s="9">
        <v>1594</v>
      </c>
      <c r="D1593" s="3">
        <v>490000</v>
      </c>
      <c r="E1593" s="1">
        <f>datos_limpios[[#This Row],[Price INR   ]]*0.011</f>
        <v>5390</v>
      </c>
      <c r="F1593" s="13">
        <v>2014</v>
      </c>
      <c r="G1593" s="2">
        <v>56918</v>
      </c>
      <c r="H1593" s="8" t="s">
        <v>12</v>
      </c>
      <c r="I1593" s="8" t="s">
        <v>40</v>
      </c>
      <c r="J1593" s="8" t="s">
        <v>57</v>
      </c>
      <c r="K1593" t="s">
        <v>15</v>
      </c>
      <c r="L1593" t="s">
        <v>772</v>
      </c>
      <c r="M1593" s="2">
        <f>VALUE(MID(L1593,1,FIND("@",L1593)-6))</f>
        <v>76</v>
      </c>
      <c r="N1593">
        <v>5</v>
      </c>
      <c r="O1593" t="str">
        <f>IF(datos_limpios[[#This Row],[Seating Capacity ]]&gt;4,"SI","NO")</f>
        <v>SI</v>
      </c>
      <c r="P1593">
        <v>41</v>
      </c>
    </row>
    <row r="1594" spans="1:16" x14ac:dyDescent="0.3">
      <c r="A1594" s="8" t="s">
        <v>47</v>
      </c>
      <c r="B1594" s="8" t="s">
        <v>1219</v>
      </c>
      <c r="C1594" s="9">
        <v>1595</v>
      </c>
      <c r="D1594" s="3">
        <v>550000</v>
      </c>
      <c r="E1594" s="1">
        <f>datos_limpios[[#This Row],[Price INR   ]]*0.011</f>
        <v>6050</v>
      </c>
      <c r="F1594" s="13">
        <v>2014</v>
      </c>
      <c r="G1594" s="2">
        <v>65000</v>
      </c>
      <c r="H1594" s="8" t="s">
        <v>19</v>
      </c>
      <c r="I1594" s="8" t="s">
        <v>13</v>
      </c>
      <c r="J1594" s="8" t="s">
        <v>82</v>
      </c>
      <c r="K1594" t="s">
        <v>49</v>
      </c>
      <c r="L1594" t="s">
        <v>218</v>
      </c>
      <c r="M1594" s="2">
        <f>VALUE(MID(L1594,1,FIND("@",L1594)-6))</f>
        <v>108</v>
      </c>
      <c r="N1594">
        <v>5</v>
      </c>
      <c r="O1594" t="str">
        <f>IF(datos_limpios[[#This Row],[Seating Capacity ]]&gt;4,"SI","NO")</f>
        <v>SI</v>
      </c>
      <c r="P1594">
        <v>50</v>
      </c>
    </row>
    <row r="1595" spans="1:16" x14ac:dyDescent="0.3">
      <c r="A1595" s="8" t="s">
        <v>47</v>
      </c>
      <c r="B1595" s="8" t="s">
        <v>48</v>
      </c>
      <c r="C1595" s="9">
        <v>1596</v>
      </c>
      <c r="D1595" s="3">
        <v>575000</v>
      </c>
      <c r="E1595" s="1">
        <f>datos_limpios[[#This Row],[Price INR   ]]*0.011</f>
        <v>6325</v>
      </c>
      <c r="F1595" s="13">
        <v>2015</v>
      </c>
      <c r="G1595" s="2">
        <v>85000</v>
      </c>
      <c r="H1595" s="8" t="s">
        <v>19</v>
      </c>
      <c r="I1595" s="8" t="s">
        <v>13</v>
      </c>
      <c r="J1595" s="8" t="s">
        <v>20</v>
      </c>
      <c r="K1595" t="s">
        <v>49</v>
      </c>
      <c r="L1595" t="s">
        <v>50</v>
      </c>
      <c r="M1595" s="2">
        <f>VALUE(MID(L1595,1,FIND("@",L1595)-6))</f>
        <v>84</v>
      </c>
      <c r="N1595">
        <v>5</v>
      </c>
      <c r="O1595" t="str">
        <f>IF(datos_limpios[[#This Row],[Seating Capacity ]]&gt;4,"SI","NO")</f>
        <v>SI</v>
      </c>
      <c r="P1595">
        <v>50</v>
      </c>
    </row>
    <row r="1596" spans="1:16" x14ac:dyDescent="0.3">
      <c r="A1596" s="8" t="s">
        <v>47</v>
      </c>
      <c r="B1596" s="8" t="s">
        <v>439</v>
      </c>
      <c r="C1596" s="9">
        <v>1597</v>
      </c>
      <c r="D1596" s="3">
        <v>590000</v>
      </c>
      <c r="E1596" s="1">
        <f>datos_limpios[[#This Row],[Price INR   ]]*0.011</f>
        <v>6490</v>
      </c>
      <c r="F1596" s="13">
        <v>2014</v>
      </c>
      <c r="G1596" s="2">
        <v>55000</v>
      </c>
      <c r="H1596" s="8" t="s">
        <v>19</v>
      </c>
      <c r="I1596" s="8" t="s">
        <v>13</v>
      </c>
      <c r="J1596" s="8" t="s">
        <v>14</v>
      </c>
      <c r="K1596" t="s">
        <v>49</v>
      </c>
      <c r="L1596" t="s">
        <v>50</v>
      </c>
      <c r="M1596" s="2">
        <f>VALUE(MID(L1596,1,FIND("@",L1596)-6))</f>
        <v>84</v>
      </c>
      <c r="N1596">
        <v>5</v>
      </c>
      <c r="O1596" t="str">
        <f>IF(datos_limpios[[#This Row],[Seating Capacity ]]&gt;4,"SI","NO")</f>
        <v>SI</v>
      </c>
      <c r="P1596">
        <v>50</v>
      </c>
    </row>
    <row r="1597" spans="1:16" x14ac:dyDescent="0.3">
      <c r="A1597" s="8" t="s">
        <v>47</v>
      </c>
      <c r="B1597" s="8" t="s">
        <v>439</v>
      </c>
      <c r="C1597" s="9">
        <v>1598</v>
      </c>
      <c r="D1597" s="3">
        <v>600000</v>
      </c>
      <c r="E1597" s="1">
        <f>datos_limpios[[#This Row],[Price INR   ]]*0.011</f>
        <v>6600</v>
      </c>
      <c r="F1597" s="13">
        <v>2016</v>
      </c>
      <c r="G1597" s="2">
        <v>99000</v>
      </c>
      <c r="H1597" s="8" t="s">
        <v>19</v>
      </c>
      <c r="I1597" s="8" t="s">
        <v>13</v>
      </c>
      <c r="J1597" s="8" t="s">
        <v>20</v>
      </c>
      <c r="K1597" t="s">
        <v>49</v>
      </c>
      <c r="L1597" t="s">
        <v>50</v>
      </c>
      <c r="M1597" s="2">
        <f>VALUE(MID(L1597,1,FIND("@",L1597)-6))</f>
        <v>84</v>
      </c>
      <c r="N1597">
        <v>5</v>
      </c>
      <c r="O1597" t="str">
        <f>IF(datos_limpios[[#This Row],[Seating Capacity ]]&gt;4,"SI","NO")</f>
        <v>SI</v>
      </c>
      <c r="P1597">
        <v>50</v>
      </c>
    </row>
    <row r="1598" spans="1:16" x14ac:dyDescent="0.3">
      <c r="A1598" s="8" t="s">
        <v>47</v>
      </c>
      <c r="B1598" s="8" t="s">
        <v>963</v>
      </c>
      <c r="C1598" s="9">
        <v>1599</v>
      </c>
      <c r="D1598" s="3">
        <v>625000</v>
      </c>
      <c r="E1598" s="1">
        <f>datos_limpios[[#This Row],[Price INR   ]]*0.011</f>
        <v>6875</v>
      </c>
      <c r="F1598" s="13">
        <v>2021</v>
      </c>
      <c r="G1598" s="2">
        <v>28000</v>
      </c>
      <c r="H1598" s="8" t="s">
        <v>12</v>
      </c>
      <c r="I1598" s="8" t="s">
        <v>13</v>
      </c>
      <c r="J1598" s="8" t="s">
        <v>20</v>
      </c>
      <c r="K1598" t="s">
        <v>54</v>
      </c>
      <c r="L1598" t="s">
        <v>964</v>
      </c>
      <c r="M1598" s="2">
        <f>VALUE(MID(L1598,1,FIND("@",L1598)-6))</f>
        <v>71</v>
      </c>
      <c r="N1598">
        <v>5</v>
      </c>
      <c r="O1598" t="str">
        <f>IF(datos_limpios[[#This Row],[Seating Capacity ]]&gt;4,"SI","NO")</f>
        <v>SI</v>
      </c>
      <c r="P1598">
        <v>40</v>
      </c>
    </row>
    <row r="1599" spans="1:16" x14ac:dyDescent="0.3">
      <c r="A1599" s="8" t="s">
        <v>47</v>
      </c>
      <c r="B1599" s="8" t="s">
        <v>217</v>
      </c>
      <c r="C1599" s="9">
        <v>1600</v>
      </c>
      <c r="D1599" s="3">
        <v>650000</v>
      </c>
      <c r="E1599" s="1">
        <f>datos_limpios[[#This Row],[Price INR   ]]*0.011</f>
        <v>7150</v>
      </c>
      <c r="F1599" s="13">
        <v>2016</v>
      </c>
      <c r="G1599" s="2">
        <v>76584</v>
      </c>
      <c r="H1599" s="8" t="s">
        <v>19</v>
      </c>
      <c r="I1599" s="8" t="s">
        <v>13</v>
      </c>
      <c r="J1599" s="8" t="s">
        <v>20</v>
      </c>
      <c r="K1599" t="s">
        <v>49</v>
      </c>
      <c r="L1599" t="s">
        <v>218</v>
      </c>
      <c r="M1599" s="2">
        <f>VALUE(MID(L1599,1,FIND("@",L1599)-6))</f>
        <v>108</v>
      </c>
      <c r="N1599">
        <v>5</v>
      </c>
      <c r="O1599" t="str">
        <f>IF(datos_limpios[[#This Row],[Seating Capacity ]]&gt;4,"SI","NO")</f>
        <v>SI</v>
      </c>
      <c r="P1599">
        <v>50</v>
      </c>
    </row>
    <row r="1600" spans="1:16" x14ac:dyDescent="0.3">
      <c r="A1600" s="8" t="s">
        <v>222</v>
      </c>
      <c r="B1600" s="8" t="s">
        <v>404</v>
      </c>
      <c r="C1600" s="9">
        <v>1601</v>
      </c>
      <c r="D1600" s="3">
        <v>3500000</v>
      </c>
      <c r="E1600" s="1">
        <f>datos_limpios[[#This Row],[Price INR   ]]*0.011</f>
        <v>38500</v>
      </c>
      <c r="F1600" s="13">
        <v>2014</v>
      </c>
      <c r="G1600" s="2">
        <v>160000</v>
      </c>
      <c r="H1600" s="8" t="s">
        <v>12</v>
      </c>
      <c r="I1600" s="8" t="s">
        <v>40</v>
      </c>
      <c r="J1600" s="8" t="s">
        <v>57</v>
      </c>
      <c r="K1600" t="s">
        <v>405</v>
      </c>
      <c r="L1600" t="s">
        <v>406</v>
      </c>
      <c r="M1600" s="2">
        <f>VALUE(MID(L1600,1,FIND("@",L1600)-6))</f>
        <v>500</v>
      </c>
      <c r="N1600">
        <v>5</v>
      </c>
      <c r="O1600" t="str">
        <f>IF(datos_limpios[[#This Row],[Seating Capacity ]]&gt;4,"SI","NO")</f>
        <v>SI</v>
      </c>
      <c r="P1600">
        <v>100</v>
      </c>
    </row>
    <row r="1601" spans="1:16" x14ac:dyDescent="0.3">
      <c r="A1601" s="8" t="s">
        <v>222</v>
      </c>
      <c r="B1601" s="8" t="s">
        <v>437</v>
      </c>
      <c r="C1601" s="9">
        <v>1602</v>
      </c>
      <c r="D1601" s="3">
        <v>5350000</v>
      </c>
      <c r="E1601" s="1">
        <f>datos_limpios[[#This Row],[Price INR   ]]*0.011</f>
        <v>58850</v>
      </c>
      <c r="F1601" s="13">
        <v>2015</v>
      </c>
      <c r="G1601" s="2">
        <v>58000</v>
      </c>
      <c r="H1601" s="8" t="s">
        <v>19</v>
      </c>
      <c r="I1601" s="8" t="s">
        <v>40</v>
      </c>
      <c r="J1601" s="8" t="s">
        <v>20</v>
      </c>
      <c r="K1601" t="s">
        <v>269</v>
      </c>
      <c r="L1601" t="s">
        <v>438</v>
      </c>
      <c r="M1601" s="2">
        <f>VALUE(MID(L1601,1,FIND("@",L1601)-6))</f>
        <v>245</v>
      </c>
      <c r="N1601">
        <v>5</v>
      </c>
      <c r="O1601" t="str">
        <f>IF(datos_limpios[[#This Row],[Seating Capacity ]]&gt;4,"SI","NO")</f>
        <v>SI</v>
      </c>
      <c r="P1601">
        <v>85</v>
      </c>
    </row>
    <row r="1602" spans="1:16" x14ac:dyDescent="0.3">
      <c r="A1602" s="8" t="s">
        <v>222</v>
      </c>
      <c r="B1602" s="8" t="s">
        <v>509</v>
      </c>
      <c r="C1602" s="9">
        <v>1603</v>
      </c>
      <c r="D1602" s="3">
        <v>5350000</v>
      </c>
      <c r="E1602" s="1">
        <f>datos_limpios[[#This Row],[Price INR   ]]*0.011</f>
        <v>58850</v>
      </c>
      <c r="F1602" s="13">
        <v>2016</v>
      </c>
      <c r="G1602" s="2">
        <v>55700</v>
      </c>
      <c r="H1602" s="8" t="s">
        <v>19</v>
      </c>
      <c r="I1602" s="8" t="s">
        <v>40</v>
      </c>
      <c r="J1602" s="8" t="s">
        <v>77</v>
      </c>
      <c r="K1602" t="s">
        <v>269</v>
      </c>
      <c r="L1602" t="s">
        <v>340</v>
      </c>
      <c r="M1602" s="2">
        <f>VALUE(MID(L1602,1,FIND("@",L1602)-6))</f>
        <v>241</v>
      </c>
      <c r="N1602">
        <v>5</v>
      </c>
      <c r="O1602" t="str">
        <f>IF(datos_limpios[[#This Row],[Seating Capacity ]]&gt;4,"SI","NO")</f>
        <v>SI</v>
      </c>
      <c r="P1602">
        <v>85</v>
      </c>
    </row>
    <row r="1603" spans="1:16" x14ac:dyDescent="0.3">
      <c r="A1603" s="8" t="s">
        <v>222</v>
      </c>
      <c r="B1603" s="8" t="s">
        <v>1034</v>
      </c>
      <c r="C1603" s="9">
        <v>1604</v>
      </c>
      <c r="D1603" s="3">
        <v>7500000</v>
      </c>
      <c r="E1603" s="1">
        <f>datos_limpios[[#This Row],[Price INR   ]]*0.011</f>
        <v>82500</v>
      </c>
      <c r="F1603" s="13">
        <v>2020</v>
      </c>
      <c r="G1603" s="2">
        <v>38000</v>
      </c>
      <c r="H1603" s="8" t="s">
        <v>12</v>
      </c>
      <c r="I1603" s="8" t="s">
        <v>40</v>
      </c>
      <c r="J1603" s="8" t="s">
        <v>57</v>
      </c>
      <c r="K1603" t="s">
        <v>224</v>
      </c>
      <c r="L1603" t="s">
        <v>1035</v>
      </c>
      <c r="M1603" s="2">
        <f>VALUE(MID(L1603,1,FIND("@",L1603)-6))</f>
        <v>349</v>
      </c>
      <c r="N1603">
        <v>5</v>
      </c>
      <c r="O1603" t="str">
        <f>IF(datos_limpios[[#This Row],[Seating Capacity ]]&gt;4,"SI","NO")</f>
        <v>SI</v>
      </c>
      <c r="P1603">
        <v>65</v>
      </c>
    </row>
    <row r="1604" spans="1:16" x14ac:dyDescent="0.3">
      <c r="A1604" s="8" t="s">
        <v>222</v>
      </c>
      <c r="B1604" s="8" t="s">
        <v>624</v>
      </c>
      <c r="C1604" s="9">
        <v>1605</v>
      </c>
      <c r="D1604" s="3">
        <v>9000000</v>
      </c>
      <c r="E1604" s="1">
        <f>datos_limpios[[#This Row],[Price INR   ]]*0.011</f>
        <v>99000</v>
      </c>
      <c r="F1604" s="13">
        <v>2017</v>
      </c>
      <c r="G1604" s="2">
        <v>7000</v>
      </c>
      <c r="H1604" s="8" t="s">
        <v>12</v>
      </c>
      <c r="I1604" s="8" t="s">
        <v>40</v>
      </c>
      <c r="J1604" s="8" t="s">
        <v>30</v>
      </c>
      <c r="K1604" t="s">
        <v>625</v>
      </c>
      <c r="L1604" t="s">
        <v>626</v>
      </c>
      <c r="M1604" s="2">
        <f>VALUE(MID(L1604,1,FIND("@",L1604)-6))</f>
        <v>295</v>
      </c>
      <c r="N1604">
        <v>2</v>
      </c>
      <c r="O1604" t="str">
        <f>IF(datos_limpios[[#This Row],[Seating Capacity ]]&gt;4,"SI","NO")</f>
        <v>NO</v>
      </c>
      <c r="P1604">
        <v>54</v>
      </c>
    </row>
    <row r="1605" spans="1:16" x14ac:dyDescent="0.3">
      <c r="A1605" s="8" t="s">
        <v>222</v>
      </c>
      <c r="B1605" s="8" t="s">
        <v>1036</v>
      </c>
      <c r="C1605" s="9">
        <v>1606</v>
      </c>
      <c r="D1605" s="3">
        <v>9000000</v>
      </c>
      <c r="E1605" s="1">
        <f>datos_limpios[[#This Row],[Price INR   ]]*0.011</f>
        <v>99000</v>
      </c>
      <c r="F1605" s="13">
        <v>2019</v>
      </c>
      <c r="G1605" s="2">
        <v>27000</v>
      </c>
      <c r="H1605" s="8" t="s">
        <v>12</v>
      </c>
      <c r="I1605" s="8" t="s">
        <v>40</v>
      </c>
      <c r="J1605" s="8" t="s">
        <v>30</v>
      </c>
      <c r="K1605" t="s">
        <v>266</v>
      </c>
      <c r="L1605" t="s">
        <v>278</v>
      </c>
      <c r="M1605" s="2">
        <f>VALUE(MID(L1605,1,FIND("@",L1605)-6))</f>
        <v>248</v>
      </c>
      <c r="N1605">
        <v>5</v>
      </c>
      <c r="O1605" t="str">
        <f>IF(datos_limpios[[#This Row],[Seating Capacity ]]&gt;4,"SI","NO")</f>
        <v>SI</v>
      </c>
      <c r="P1605">
        <v>65</v>
      </c>
    </row>
    <row r="1606" spans="1:16" x14ac:dyDescent="0.3">
      <c r="A1606" s="8" t="s">
        <v>222</v>
      </c>
      <c r="B1606" s="8" t="s">
        <v>1036</v>
      </c>
      <c r="C1606" s="9">
        <v>1607</v>
      </c>
      <c r="D1606" s="3">
        <v>9100000</v>
      </c>
      <c r="E1606" s="1">
        <f>datos_limpios[[#This Row],[Price INR   ]]*0.011</f>
        <v>100100</v>
      </c>
      <c r="F1606" s="13">
        <v>2022</v>
      </c>
      <c r="G1606" s="2">
        <v>9000</v>
      </c>
      <c r="H1606" s="8" t="s">
        <v>12</v>
      </c>
      <c r="I1606" s="8" t="s">
        <v>40</v>
      </c>
      <c r="J1606" s="8" t="s">
        <v>57</v>
      </c>
      <c r="K1606" t="s">
        <v>266</v>
      </c>
      <c r="L1606" t="s">
        <v>278</v>
      </c>
      <c r="M1606" s="2">
        <f>VALUE(MID(L1606,1,FIND("@",L1606)-6))</f>
        <v>248</v>
      </c>
      <c r="N1606">
        <v>5</v>
      </c>
      <c r="O1606" t="str">
        <f>IF(datos_limpios[[#This Row],[Seating Capacity ]]&gt;4,"SI","NO")</f>
        <v>SI</v>
      </c>
      <c r="P1606">
        <v>65</v>
      </c>
    </row>
    <row r="1607" spans="1:16" x14ac:dyDescent="0.3">
      <c r="A1607" s="8" t="s">
        <v>222</v>
      </c>
      <c r="B1607" s="8" t="s">
        <v>472</v>
      </c>
      <c r="C1607" s="9">
        <v>1608</v>
      </c>
      <c r="D1607" s="3">
        <v>9300000</v>
      </c>
      <c r="E1607" s="1">
        <f>datos_limpios[[#This Row],[Price INR   ]]*0.011</f>
        <v>102300</v>
      </c>
      <c r="F1607" s="13">
        <v>2019</v>
      </c>
      <c r="G1607" s="2">
        <v>9000</v>
      </c>
      <c r="H1607" s="8" t="s">
        <v>12</v>
      </c>
      <c r="I1607" s="8" t="s">
        <v>40</v>
      </c>
      <c r="J1607" s="8" t="s">
        <v>57</v>
      </c>
      <c r="K1607" t="s">
        <v>473</v>
      </c>
      <c r="L1607" t="s">
        <v>474</v>
      </c>
      <c r="M1607" s="2">
        <f>VALUE(MID(L1607,1,FIND("@",L1607)-6))</f>
        <v>325</v>
      </c>
      <c r="N1607">
        <v>4</v>
      </c>
      <c r="O1607" t="str">
        <f>IF(datos_limpios[[#This Row],[Seating Capacity ]]&gt;4,"SI","NO")</f>
        <v>NO</v>
      </c>
      <c r="P1607">
        <v>68</v>
      </c>
    </row>
    <row r="1608" spans="1:16" x14ac:dyDescent="0.3">
      <c r="A1608" s="8" t="s">
        <v>222</v>
      </c>
      <c r="B1608" s="8" t="s">
        <v>871</v>
      </c>
      <c r="C1608" s="9">
        <v>1609</v>
      </c>
      <c r="D1608" s="3">
        <v>9500000</v>
      </c>
      <c r="E1608" s="1">
        <f>datos_limpios[[#This Row],[Price INR   ]]*0.011</f>
        <v>104500</v>
      </c>
      <c r="F1608" s="13">
        <v>2018</v>
      </c>
      <c r="G1608" s="2">
        <v>20000</v>
      </c>
      <c r="H1608" s="8" t="s">
        <v>12</v>
      </c>
      <c r="I1608" s="8" t="s">
        <v>40</v>
      </c>
      <c r="J1608" s="8" t="s">
        <v>872</v>
      </c>
      <c r="K1608" t="s">
        <v>625</v>
      </c>
      <c r="L1608" t="s">
        <v>626</v>
      </c>
      <c r="M1608" s="2">
        <f>VALUE(MID(L1608,1,FIND("@",L1608)-6))</f>
        <v>295</v>
      </c>
      <c r="N1608">
        <v>2</v>
      </c>
      <c r="O1608" t="str">
        <f>IF(datos_limpios[[#This Row],[Seating Capacity ]]&gt;4,"SI","NO")</f>
        <v>NO</v>
      </c>
      <c r="P1608">
        <v>54</v>
      </c>
    </row>
    <row r="1609" spans="1:16" x14ac:dyDescent="0.3">
      <c r="A1609" s="8" t="s">
        <v>222</v>
      </c>
      <c r="B1609" s="8" t="s">
        <v>871</v>
      </c>
      <c r="C1609" s="9">
        <v>1610</v>
      </c>
      <c r="D1609" s="3">
        <v>10900000</v>
      </c>
      <c r="E1609" s="1">
        <f>datos_limpios[[#This Row],[Price INR   ]]*0.011</f>
        <v>119900</v>
      </c>
      <c r="F1609" s="13">
        <v>2018</v>
      </c>
      <c r="G1609" s="2">
        <v>6300</v>
      </c>
      <c r="H1609" s="8" t="s">
        <v>12</v>
      </c>
      <c r="I1609" s="8" t="s">
        <v>40</v>
      </c>
      <c r="J1609" s="8" t="s">
        <v>14</v>
      </c>
      <c r="K1609" t="s">
        <v>625</v>
      </c>
      <c r="L1609" t="s">
        <v>626</v>
      </c>
      <c r="M1609" s="2">
        <f>VALUE(MID(L1609,1,FIND("@",L1609)-6))</f>
        <v>295</v>
      </c>
      <c r="N1609">
        <v>2</v>
      </c>
      <c r="O1609" t="str">
        <f>IF(datos_limpios[[#This Row],[Seating Capacity ]]&gt;4,"SI","NO")</f>
        <v>NO</v>
      </c>
      <c r="P1609">
        <v>54</v>
      </c>
    </row>
    <row r="1610" spans="1:16" x14ac:dyDescent="0.3">
      <c r="A1610" s="8" t="s">
        <v>222</v>
      </c>
      <c r="B1610" s="8" t="s">
        <v>1349</v>
      </c>
      <c r="C1610" s="9">
        <v>1611</v>
      </c>
      <c r="D1610" s="3">
        <v>14900000</v>
      </c>
      <c r="E1610" s="1">
        <f>datos_limpios[[#This Row],[Price INR   ]]*0.011</f>
        <v>163900</v>
      </c>
      <c r="F1610" s="13">
        <v>2021</v>
      </c>
      <c r="G1610" s="2">
        <v>7534</v>
      </c>
      <c r="H1610" s="8" t="s">
        <v>12</v>
      </c>
      <c r="I1610" s="8" t="s">
        <v>40</v>
      </c>
      <c r="J1610" s="8" t="s">
        <v>57</v>
      </c>
      <c r="K1610" t="s">
        <v>224</v>
      </c>
      <c r="L1610" t="s">
        <v>225</v>
      </c>
      <c r="M1610" s="2">
        <f>VALUE(MID(L1610,1,FIND("@",L1610)-6))</f>
        <v>335</v>
      </c>
      <c r="N1610">
        <v>5</v>
      </c>
      <c r="O1610" t="str">
        <f>IF(datos_limpios[[#This Row],[Seating Capacity ]]&gt;4,"SI","NO")</f>
        <v>SI</v>
      </c>
      <c r="P1610">
        <v>75</v>
      </c>
    </row>
    <row r="1611" spans="1:16" x14ac:dyDescent="0.3">
      <c r="A1611" s="8" t="s">
        <v>222</v>
      </c>
      <c r="B1611" s="8" t="s">
        <v>223</v>
      </c>
      <c r="C1611" s="9">
        <v>1612</v>
      </c>
      <c r="D1611" s="3">
        <v>16200000</v>
      </c>
      <c r="E1611" s="1">
        <f>datos_limpios[[#This Row],[Price INR   ]]*0.011</f>
        <v>178200</v>
      </c>
      <c r="F1611" s="13">
        <v>2022</v>
      </c>
      <c r="G1611" s="2">
        <v>2766</v>
      </c>
      <c r="H1611" s="8" t="s">
        <v>12</v>
      </c>
      <c r="I1611" s="8" t="s">
        <v>40</v>
      </c>
      <c r="J1611" s="8" t="s">
        <v>57</v>
      </c>
      <c r="K1611" t="s">
        <v>224</v>
      </c>
      <c r="L1611" t="s">
        <v>225</v>
      </c>
      <c r="M1611" s="2">
        <f>VALUE(MID(L1611,1,FIND("@",L1611)-6))</f>
        <v>335</v>
      </c>
      <c r="N1611">
        <v>4</v>
      </c>
      <c r="O1611" t="str">
        <f>IF(datos_limpios[[#This Row],[Seating Capacity ]]&gt;4,"SI","NO")</f>
        <v>NO</v>
      </c>
      <c r="P1611">
        <v>75</v>
      </c>
    </row>
    <row r="1612" spans="1:16" x14ac:dyDescent="0.3">
      <c r="A1612" s="8" t="s">
        <v>52</v>
      </c>
      <c r="B1612" s="8" t="s">
        <v>903</v>
      </c>
      <c r="C1612" s="9">
        <v>1613</v>
      </c>
      <c r="D1612" s="3">
        <v>250000</v>
      </c>
      <c r="E1612" s="1">
        <f>datos_limpios[[#This Row],[Price INR   ]]*0.011</f>
        <v>2750</v>
      </c>
      <c r="F1612" s="13">
        <v>2017</v>
      </c>
      <c r="G1612" s="2">
        <v>32000</v>
      </c>
      <c r="H1612" s="8" t="s">
        <v>12</v>
      </c>
      <c r="I1612" s="8" t="s">
        <v>13</v>
      </c>
      <c r="J1612" s="8" t="s">
        <v>20</v>
      </c>
      <c r="K1612" t="s">
        <v>387</v>
      </c>
      <c r="L1612" t="s">
        <v>388</v>
      </c>
      <c r="M1612" s="2">
        <f>VALUE(MID(L1612,1,FIND("@",L1612)-6))</f>
        <v>53</v>
      </c>
      <c r="N1612">
        <v>5</v>
      </c>
      <c r="O1612" t="str">
        <f>IF(datos_limpios[[#This Row],[Seating Capacity ]]&gt;4,"SI","NO")</f>
        <v>SI</v>
      </c>
      <c r="P1612">
        <v>28</v>
      </c>
    </row>
    <row r="1613" spans="1:16" x14ac:dyDescent="0.3">
      <c r="A1613" s="8" t="s">
        <v>52</v>
      </c>
      <c r="B1613" s="8" t="s">
        <v>903</v>
      </c>
      <c r="C1613" s="9">
        <v>1614</v>
      </c>
      <c r="D1613" s="3">
        <v>254999</v>
      </c>
      <c r="E1613" s="1">
        <f>datos_limpios[[#This Row],[Price INR   ]]*0.011</f>
        <v>2804.989</v>
      </c>
      <c r="F1613" s="13">
        <v>2016</v>
      </c>
      <c r="G1613" s="2">
        <v>57159</v>
      </c>
      <c r="H1613" s="8" t="s">
        <v>12</v>
      </c>
      <c r="I1613" s="8" t="s">
        <v>13</v>
      </c>
      <c r="J1613" s="8" t="s">
        <v>77</v>
      </c>
      <c r="K1613" t="s">
        <v>387</v>
      </c>
      <c r="L1613" t="s">
        <v>388</v>
      </c>
      <c r="M1613" s="2">
        <f>VALUE(MID(L1613,1,FIND("@",L1613)-6))</f>
        <v>53</v>
      </c>
      <c r="N1613">
        <v>5</v>
      </c>
      <c r="O1613" t="str">
        <f>IF(datos_limpios[[#This Row],[Seating Capacity ]]&gt;4,"SI","NO")</f>
        <v>SI</v>
      </c>
      <c r="P1613">
        <v>28</v>
      </c>
    </row>
    <row r="1614" spans="1:16" x14ac:dyDescent="0.3">
      <c r="A1614" s="8" t="s">
        <v>52</v>
      </c>
      <c r="B1614" s="8" t="s">
        <v>53</v>
      </c>
      <c r="C1614" s="9">
        <v>1615</v>
      </c>
      <c r="D1614" s="3">
        <v>265000</v>
      </c>
      <c r="E1614" s="1">
        <f>datos_limpios[[#This Row],[Price INR   ]]*0.011</f>
        <v>2915</v>
      </c>
      <c r="F1614" s="13">
        <v>2016</v>
      </c>
      <c r="G1614" s="2">
        <v>122000</v>
      </c>
      <c r="H1614" s="8" t="s">
        <v>12</v>
      </c>
      <c r="I1614" s="8" t="s">
        <v>13</v>
      </c>
      <c r="J1614" s="8" t="s">
        <v>30</v>
      </c>
      <c r="K1614" t="s">
        <v>54</v>
      </c>
      <c r="L1614" t="s">
        <v>55</v>
      </c>
      <c r="M1614" s="2">
        <f>VALUE(MID(L1614,1,FIND("@",L1614)-6))</f>
        <v>67</v>
      </c>
      <c r="N1614">
        <v>5</v>
      </c>
      <c r="O1614" t="str">
        <f>IF(datos_limpios[[#This Row],[Seating Capacity ]]&gt;4,"SI","NO")</f>
        <v>SI</v>
      </c>
      <c r="P1614">
        <v>28</v>
      </c>
    </row>
    <row r="1615" spans="1:16" x14ac:dyDescent="0.3">
      <c r="A1615" s="8" t="s">
        <v>52</v>
      </c>
      <c r="B1615" s="8" t="s">
        <v>926</v>
      </c>
      <c r="C1615" s="9">
        <v>1616</v>
      </c>
      <c r="D1615" s="3">
        <v>280000</v>
      </c>
      <c r="E1615" s="1">
        <f>datos_limpios[[#This Row],[Price INR   ]]*0.011</f>
        <v>3080</v>
      </c>
      <c r="F1615" s="13">
        <v>2013</v>
      </c>
      <c r="G1615" s="2">
        <v>99000</v>
      </c>
      <c r="H1615" s="8" t="s">
        <v>19</v>
      </c>
      <c r="I1615" s="8" t="s">
        <v>13</v>
      </c>
      <c r="J1615" s="8" t="s">
        <v>20</v>
      </c>
      <c r="K1615" t="s">
        <v>49</v>
      </c>
      <c r="L1615" t="s">
        <v>50</v>
      </c>
      <c r="M1615" s="2">
        <f>VALUE(MID(L1615,1,FIND("@",L1615)-6))</f>
        <v>84</v>
      </c>
      <c r="N1615">
        <v>5</v>
      </c>
      <c r="O1615" t="str">
        <f>IF(datos_limpios[[#This Row],[Seating Capacity ]]&gt;4,"SI","NO")</f>
        <v>SI</v>
      </c>
      <c r="P1615">
        <v>50</v>
      </c>
    </row>
    <row r="1616" spans="1:16" x14ac:dyDescent="0.3">
      <c r="A1616" s="8" t="s">
        <v>52</v>
      </c>
      <c r="B1616" s="8" t="s">
        <v>53</v>
      </c>
      <c r="C1616" s="9">
        <v>1617</v>
      </c>
      <c r="D1616" s="3">
        <v>295000</v>
      </c>
      <c r="E1616" s="1">
        <f>datos_limpios[[#This Row],[Price INR   ]]*0.011</f>
        <v>3245</v>
      </c>
      <c r="F1616" s="13">
        <v>2016</v>
      </c>
      <c r="G1616" s="2">
        <v>34736</v>
      </c>
      <c r="H1616" s="8" t="s">
        <v>12</v>
      </c>
      <c r="I1616" s="8" t="s">
        <v>13</v>
      </c>
      <c r="J1616" s="8" t="s">
        <v>30</v>
      </c>
      <c r="K1616" t="s">
        <v>54</v>
      </c>
      <c r="L1616" t="s">
        <v>55</v>
      </c>
      <c r="M1616" s="2">
        <f>VALUE(MID(L1616,1,FIND("@",L1616)-6))</f>
        <v>67</v>
      </c>
      <c r="N1616">
        <v>5</v>
      </c>
      <c r="O1616" t="str">
        <f>IF(datos_limpios[[#This Row],[Seating Capacity ]]&gt;4,"SI","NO")</f>
        <v>SI</v>
      </c>
      <c r="P1616">
        <v>28</v>
      </c>
    </row>
    <row r="1617" spans="1:16" x14ac:dyDescent="0.3">
      <c r="A1617" s="8" t="s">
        <v>52</v>
      </c>
      <c r="B1617" s="8" t="s">
        <v>53</v>
      </c>
      <c r="C1617" s="9">
        <v>1618</v>
      </c>
      <c r="D1617" s="3">
        <v>299000</v>
      </c>
      <c r="E1617" s="1">
        <f>datos_limpios[[#This Row],[Price INR   ]]*0.011</f>
        <v>3289</v>
      </c>
      <c r="F1617" s="13">
        <v>2016</v>
      </c>
      <c r="G1617" s="2">
        <v>26000</v>
      </c>
      <c r="H1617" s="8" t="s">
        <v>12</v>
      </c>
      <c r="I1617" s="8" t="s">
        <v>13</v>
      </c>
      <c r="J1617" s="8" t="s">
        <v>82</v>
      </c>
      <c r="K1617" t="s">
        <v>54</v>
      </c>
      <c r="L1617" t="s">
        <v>55</v>
      </c>
      <c r="M1617" s="2">
        <f>VALUE(MID(L1617,1,FIND("@",L1617)-6))</f>
        <v>67</v>
      </c>
      <c r="N1617">
        <v>5</v>
      </c>
      <c r="O1617" t="str">
        <f>IF(datos_limpios[[#This Row],[Seating Capacity ]]&gt;4,"SI","NO")</f>
        <v>SI</v>
      </c>
      <c r="P1617">
        <v>28</v>
      </c>
    </row>
    <row r="1618" spans="1:16" x14ac:dyDescent="0.3">
      <c r="A1618" s="8" t="s">
        <v>52</v>
      </c>
      <c r="B1618" s="8" t="s">
        <v>53</v>
      </c>
      <c r="C1618" s="9">
        <v>1619</v>
      </c>
      <c r="D1618" s="3">
        <v>299000</v>
      </c>
      <c r="E1618" s="1">
        <f>datos_limpios[[#This Row],[Price INR   ]]*0.011</f>
        <v>3289</v>
      </c>
      <c r="F1618" s="13">
        <v>2018</v>
      </c>
      <c r="G1618" s="2">
        <v>19000</v>
      </c>
      <c r="H1618" s="8" t="s">
        <v>12</v>
      </c>
      <c r="I1618" s="8" t="s">
        <v>13</v>
      </c>
      <c r="J1618" s="8" t="s">
        <v>30</v>
      </c>
      <c r="K1618" t="s">
        <v>54</v>
      </c>
      <c r="L1618" t="s">
        <v>55</v>
      </c>
      <c r="M1618" s="2">
        <f>VALUE(MID(L1618,1,FIND("@",L1618)-6))</f>
        <v>67</v>
      </c>
      <c r="N1618">
        <v>5</v>
      </c>
      <c r="O1618" t="str">
        <f>IF(datos_limpios[[#This Row],[Seating Capacity ]]&gt;4,"SI","NO")</f>
        <v>SI</v>
      </c>
      <c r="P1618">
        <v>28</v>
      </c>
    </row>
    <row r="1619" spans="1:16" x14ac:dyDescent="0.3">
      <c r="A1619" s="8" t="s">
        <v>52</v>
      </c>
      <c r="B1619" s="8" t="s">
        <v>1365</v>
      </c>
      <c r="C1619" s="9">
        <v>1620</v>
      </c>
      <c r="D1619" s="3">
        <v>305000</v>
      </c>
      <c r="E1619" s="1">
        <f>datos_limpios[[#This Row],[Price INR   ]]*0.011</f>
        <v>3355</v>
      </c>
      <c r="F1619" s="13">
        <v>2018</v>
      </c>
      <c r="G1619" s="2">
        <v>34800</v>
      </c>
      <c r="H1619" s="8" t="s">
        <v>12</v>
      </c>
      <c r="I1619" s="8" t="s">
        <v>13</v>
      </c>
      <c r="J1619" s="8" t="s">
        <v>30</v>
      </c>
      <c r="K1619" t="s">
        <v>387</v>
      </c>
      <c r="L1619" t="s">
        <v>388</v>
      </c>
      <c r="M1619" s="2">
        <f>VALUE(MID(L1619,1,FIND("@",L1619)-6))</f>
        <v>53</v>
      </c>
      <c r="N1619">
        <v>5</v>
      </c>
      <c r="O1619" t="str">
        <f>IF(datos_limpios[[#This Row],[Seating Capacity ]]&gt;4,"SI","NO")</f>
        <v>SI</v>
      </c>
      <c r="P1619">
        <v>28</v>
      </c>
    </row>
    <row r="1620" spans="1:16" x14ac:dyDescent="0.3">
      <c r="A1620" s="8" t="s">
        <v>52</v>
      </c>
      <c r="B1620" s="8" t="s">
        <v>903</v>
      </c>
      <c r="C1620" s="9">
        <v>1621</v>
      </c>
      <c r="D1620" s="3">
        <v>315000</v>
      </c>
      <c r="E1620" s="1">
        <f>datos_limpios[[#This Row],[Price INR   ]]*0.011</f>
        <v>3465</v>
      </c>
      <c r="F1620" s="13">
        <v>2017</v>
      </c>
      <c r="G1620" s="2">
        <v>15507</v>
      </c>
      <c r="H1620" s="8" t="s">
        <v>12</v>
      </c>
      <c r="I1620" s="8" t="s">
        <v>13</v>
      </c>
      <c r="J1620" s="8" t="s">
        <v>115</v>
      </c>
      <c r="K1620" t="s">
        <v>387</v>
      </c>
      <c r="L1620" t="s">
        <v>388</v>
      </c>
      <c r="M1620" s="2">
        <f>VALUE(MID(L1620,1,FIND("@",L1620)-6))</f>
        <v>53</v>
      </c>
      <c r="N1620">
        <v>5</v>
      </c>
      <c r="O1620" t="str">
        <f>IF(datos_limpios[[#This Row],[Seating Capacity ]]&gt;4,"SI","NO")</f>
        <v>SI</v>
      </c>
      <c r="P1620">
        <v>28</v>
      </c>
    </row>
    <row r="1621" spans="1:16" x14ac:dyDescent="0.3">
      <c r="A1621" s="8" t="s">
        <v>52</v>
      </c>
      <c r="B1621" s="8" t="s">
        <v>903</v>
      </c>
      <c r="C1621" s="9">
        <v>1622</v>
      </c>
      <c r="D1621" s="3">
        <v>315000</v>
      </c>
      <c r="E1621" s="1">
        <f>datos_limpios[[#This Row],[Price INR   ]]*0.011</f>
        <v>3465</v>
      </c>
      <c r="F1621" s="13">
        <v>2017</v>
      </c>
      <c r="G1621" s="2">
        <v>15507</v>
      </c>
      <c r="H1621" s="8" t="s">
        <v>12</v>
      </c>
      <c r="I1621" s="8" t="s">
        <v>13</v>
      </c>
      <c r="J1621" s="8" t="s">
        <v>115</v>
      </c>
      <c r="K1621" t="s">
        <v>387</v>
      </c>
      <c r="L1621" t="s">
        <v>388</v>
      </c>
      <c r="M1621" s="2">
        <f>VALUE(MID(L1621,1,FIND("@",L1621)-6))</f>
        <v>53</v>
      </c>
      <c r="N1621">
        <v>5</v>
      </c>
      <c r="O1621" t="str">
        <f>IF(datos_limpios[[#This Row],[Seating Capacity ]]&gt;4,"SI","NO")</f>
        <v>SI</v>
      </c>
      <c r="P1621">
        <v>28</v>
      </c>
    </row>
    <row r="1622" spans="1:16" x14ac:dyDescent="0.3">
      <c r="A1622" s="8" t="s">
        <v>52</v>
      </c>
      <c r="B1622" s="8" t="s">
        <v>903</v>
      </c>
      <c r="C1622" s="9">
        <v>1623</v>
      </c>
      <c r="D1622" s="3">
        <v>319000</v>
      </c>
      <c r="E1622" s="1">
        <f>datos_limpios[[#This Row],[Price INR   ]]*0.011</f>
        <v>3509</v>
      </c>
      <c r="F1622" s="13">
        <v>2018</v>
      </c>
      <c r="G1622" s="2">
        <v>89059</v>
      </c>
      <c r="H1622" s="8" t="s">
        <v>12</v>
      </c>
      <c r="I1622" s="8" t="s">
        <v>13</v>
      </c>
      <c r="J1622" s="8" t="s">
        <v>713</v>
      </c>
      <c r="K1622" t="s">
        <v>387</v>
      </c>
      <c r="L1622" t="s">
        <v>388</v>
      </c>
      <c r="M1622" s="2">
        <f>VALUE(MID(L1622,1,FIND("@",L1622)-6))</f>
        <v>53</v>
      </c>
      <c r="N1622">
        <v>5</v>
      </c>
      <c r="O1622" t="str">
        <f>IF(datos_limpios[[#This Row],[Seating Capacity ]]&gt;4,"SI","NO")</f>
        <v>SI</v>
      </c>
      <c r="P1622">
        <v>28</v>
      </c>
    </row>
    <row r="1623" spans="1:16" x14ac:dyDescent="0.3">
      <c r="A1623" s="8" t="s">
        <v>52</v>
      </c>
      <c r="B1623" s="8" t="s">
        <v>903</v>
      </c>
      <c r="C1623" s="9">
        <v>1624</v>
      </c>
      <c r="D1623" s="3">
        <v>320000</v>
      </c>
      <c r="E1623" s="1">
        <f>datos_limpios[[#This Row],[Price INR   ]]*0.011</f>
        <v>3520</v>
      </c>
      <c r="F1623" s="13">
        <v>2016</v>
      </c>
      <c r="G1623" s="2">
        <v>64000</v>
      </c>
      <c r="H1623" s="8" t="s">
        <v>12</v>
      </c>
      <c r="I1623" s="8" t="s">
        <v>13</v>
      </c>
      <c r="J1623" s="8" t="s">
        <v>77</v>
      </c>
      <c r="K1623" t="s">
        <v>387</v>
      </c>
      <c r="L1623" t="s">
        <v>388</v>
      </c>
      <c r="M1623" s="2">
        <f>VALUE(MID(L1623,1,FIND("@",L1623)-6))</f>
        <v>53</v>
      </c>
      <c r="N1623">
        <v>5</v>
      </c>
      <c r="O1623" t="str">
        <f>IF(datos_limpios[[#This Row],[Seating Capacity ]]&gt;4,"SI","NO")</f>
        <v>SI</v>
      </c>
      <c r="P1623">
        <v>28</v>
      </c>
    </row>
    <row r="1624" spans="1:16" x14ac:dyDescent="0.3">
      <c r="A1624" s="8" t="s">
        <v>52</v>
      </c>
      <c r="B1624" s="8" t="s">
        <v>1216</v>
      </c>
      <c r="C1624" s="9">
        <v>1625</v>
      </c>
      <c r="D1624" s="3">
        <v>340000</v>
      </c>
      <c r="E1624" s="1">
        <f>datos_limpios[[#This Row],[Price INR   ]]*0.011</f>
        <v>3740</v>
      </c>
      <c r="F1624" s="13">
        <v>2017</v>
      </c>
      <c r="G1624" s="2">
        <v>6000</v>
      </c>
      <c r="H1624" s="8" t="s">
        <v>19</v>
      </c>
      <c r="I1624" s="8" t="s">
        <v>13</v>
      </c>
      <c r="J1624" s="8" t="s">
        <v>25</v>
      </c>
      <c r="K1624" t="s">
        <v>49</v>
      </c>
      <c r="L1624" t="s">
        <v>1217</v>
      </c>
      <c r="M1624" s="2">
        <f>VALUE(MID(L1624,1,FIND("@",L1624)-6))</f>
        <v>63</v>
      </c>
      <c r="N1624">
        <v>5</v>
      </c>
      <c r="O1624" t="str">
        <f>IF(datos_limpios[[#This Row],[Seating Capacity ]]&gt;4,"SI","NO")</f>
        <v>SI</v>
      </c>
      <c r="P1624">
        <v>41</v>
      </c>
    </row>
    <row r="1625" spans="1:16" x14ac:dyDescent="0.3">
      <c r="A1625" s="8" t="s">
        <v>52</v>
      </c>
      <c r="B1625" s="8" t="s">
        <v>1235</v>
      </c>
      <c r="C1625" s="9">
        <v>1626</v>
      </c>
      <c r="D1625" s="3">
        <v>365000</v>
      </c>
      <c r="E1625" s="1">
        <f>datos_limpios[[#This Row],[Price INR   ]]*0.011</f>
        <v>4014.9999999999995</v>
      </c>
      <c r="F1625" s="13">
        <v>2019</v>
      </c>
      <c r="G1625" s="2">
        <v>32000</v>
      </c>
      <c r="H1625" s="8" t="s">
        <v>12</v>
      </c>
      <c r="I1625" s="8" t="s">
        <v>13</v>
      </c>
      <c r="J1625" s="8" t="s">
        <v>82</v>
      </c>
      <c r="K1625" t="s">
        <v>54</v>
      </c>
      <c r="L1625" t="s">
        <v>55</v>
      </c>
      <c r="M1625" s="2">
        <f>VALUE(MID(L1625,1,FIND("@",L1625)-6))</f>
        <v>67</v>
      </c>
      <c r="N1625">
        <v>5</v>
      </c>
      <c r="O1625" t="str">
        <f>IF(datos_limpios[[#This Row],[Seating Capacity ]]&gt;4,"SI","NO")</f>
        <v>SI</v>
      </c>
      <c r="P1625">
        <v>28</v>
      </c>
    </row>
    <row r="1626" spans="1:16" x14ac:dyDescent="0.3">
      <c r="A1626" s="8" t="s">
        <v>52</v>
      </c>
      <c r="B1626" s="8" t="s">
        <v>386</v>
      </c>
      <c r="C1626" s="9">
        <v>1627</v>
      </c>
      <c r="D1626" s="3">
        <v>375000</v>
      </c>
      <c r="E1626" s="1">
        <f>datos_limpios[[#This Row],[Price INR   ]]*0.011</f>
        <v>4125</v>
      </c>
      <c r="F1626" s="13">
        <v>2019</v>
      </c>
      <c r="G1626" s="2">
        <v>55000</v>
      </c>
      <c r="H1626" s="8" t="s">
        <v>12</v>
      </c>
      <c r="I1626" s="8" t="s">
        <v>13</v>
      </c>
      <c r="J1626" s="8" t="s">
        <v>77</v>
      </c>
      <c r="K1626" t="s">
        <v>387</v>
      </c>
      <c r="L1626" t="s">
        <v>388</v>
      </c>
      <c r="M1626" s="2">
        <f>VALUE(MID(L1626,1,FIND("@",L1626)-6))</f>
        <v>53</v>
      </c>
      <c r="N1626">
        <v>5</v>
      </c>
      <c r="O1626" t="str">
        <f>IF(datos_limpios[[#This Row],[Seating Capacity ]]&gt;4,"SI","NO")</f>
        <v>SI</v>
      </c>
      <c r="P1626">
        <v>28</v>
      </c>
    </row>
    <row r="1627" spans="1:16" x14ac:dyDescent="0.3">
      <c r="A1627" s="8" t="s">
        <v>52</v>
      </c>
      <c r="B1627" s="8" t="s">
        <v>431</v>
      </c>
      <c r="C1627" s="9">
        <v>1628</v>
      </c>
      <c r="D1627" s="3">
        <v>375000</v>
      </c>
      <c r="E1627" s="1">
        <f>datos_limpios[[#This Row],[Price INR   ]]*0.011</f>
        <v>4125</v>
      </c>
      <c r="F1627" s="13">
        <v>2018</v>
      </c>
      <c r="G1627" s="2">
        <v>14000</v>
      </c>
      <c r="H1627" s="8" t="s">
        <v>12</v>
      </c>
      <c r="I1627" s="8" t="s">
        <v>13</v>
      </c>
      <c r="J1627" s="8" t="s">
        <v>288</v>
      </c>
      <c r="K1627" t="s">
        <v>54</v>
      </c>
      <c r="L1627" t="s">
        <v>55</v>
      </c>
      <c r="M1627" s="2">
        <f>VALUE(MID(L1627,1,FIND("@",L1627)-6))</f>
        <v>67</v>
      </c>
      <c r="N1627">
        <v>5</v>
      </c>
      <c r="O1627" t="str">
        <f>IF(datos_limpios[[#This Row],[Seating Capacity ]]&gt;4,"SI","NO")</f>
        <v>SI</v>
      </c>
      <c r="P1627">
        <v>28</v>
      </c>
    </row>
    <row r="1628" spans="1:16" x14ac:dyDescent="0.3">
      <c r="A1628" s="8" t="s">
        <v>52</v>
      </c>
      <c r="B1628" s="8" t="s">
        <v>1336</v>
      </c>
      <c r="C1628" s="9">
        <v>1629</v>
      </c>
      <c r="D1628" s="3">
        <v>375000</v>
      </c>
      <c r="E1628" s="1">
        <f>datos_limpios[[#This Row],[Price INR   ]]*0.011</f>
        <v>4125</v>
      </c>
      <c r="F1628" s="13">
        <v>2017</v>
      </c>
      <c r="G1628" s="2">
        <v>45000</v>
      </c>
      <c r="H1628" s="8" t="s">
        <v>12</v>
      </c>
      <c r="I1628" s="8" t="s">
        <v>13</v>
      </c>
      <c r="J1628" s="8" t="s">
        <v>14</v>
      </c>
      <c r="K1628" t="s">
        <v>54</v>
      </c>
      <c r="L1628" t="s">
        <v>55</v>
      </c>
      <c r="M1628" s="2">
        <f>VALUE(MID(L1628,1,FIND("@",L1628)-6))</f>
        <v>67</v>
      </c>
      <c r="N1628">
        <v>5</v>
      </c>
      <c r="O1628" t="str">
        <f>IF(datos_limpios[[#This Row],[Seating Capacity ]]&gt;4,"SI","NO")</f>
        <v>SI</v>
      </c>
      <c r="P1628">
        <v>28</v>
      </c>
    </row>
    <row r="1629" spans="1:16" x14ac:dyDescent="0.3">
      <c r="A1629" s="8" t="s">
        <v>52</v>
      </c>
      <c r="B1629" s="8" t="s">
        <v>737</v>
      </c>
      <c r="C1629" s="9">
        <v>1630</v>
      </c>
      <c r="D1629" s="3">
        <v>390000</v>
      </c>
      <c r="E1629" s="1">
        <f>datos_limpios[[#This Row],[Price INR   ]]*0.011</f>
        <v>4290</v>
      </c>
      <c r="F1629" s="13">
        <v>2013</v>
      </c>
      <c r="G1629" s="2">
        <v>62000</v>
      </c>
      <c r="H1629" s="8" t="s">
        <v>19</v>
      </c>
      <c r="I1629" s="8" t="s">
        <v>13</v>
      </c>
      <c r="J1629" s="8" t="s">
        <v>77</v>
      </c>
      <c r="K1629" t="s">
        <v>49</v>
      </c>
      <c r="L1629" t="s">
        <v>738</v>
      </c>
      <c r="M1629" s="2">
        <f>VALUE(MID(L1629,1,FIND("@",L1629)-6))</f>
        <v>108</v>
      </c>
      <c r="N1629">
        <v>5</v>
      </c>
      <c r="O1629" t="str">
        <f>IF(datos_limpios[[#This Row],[Seating Capacity ]]&gt;4,"SI","NO")</f>
        <v>SI</v>
      </c>
      <c r="P1629">
        <v>67</v>
      </c>
    </row>
    <row r="1630" spans="1:16" x14ac:dyDescent="0.3">
      <c r="A1630" s="8" t="s">
        <v>52</v>
      </c>
      <c r="B1630" s="8" t="s">
        <v>1235</v>
      </c>
      <c r="C1630" s="9">
        <v>1631</v>
      </c>
      <c r="D1630" s="3">
        <v>390000</v>
      </c>
      <c r="E1630" s="1">
        <f>datos_limpios[[#This Row],[Price INR   ]]*0.011</f>
        <v>4290</v>
      </c>
      <c r="F1630" s="13">
        <v>2018</v>
      </c>
      <c r="G1630" s="2">
        <v>47874</v>
      </c>
      <c r="H1630" s="8" t="s">
        <v>12</v>
      </c>
      <c r="I1630" s="8" t="s">
        <v>13</v>
      </c>
      <c r="J1630" s="8" t="s">
        <v>30</v>
      </c>
      <c r="K1630" t="s">
        <v>54</v>
      </c>
      <c r="L1630" t="s">
        <v>55</v>
      </c>
      <c r="M1630" s="2">
        <f>VALUE(MID(L1630,1,FIND("@",L1630)-6))</f>
        <v>67</v>
      </c>
      <c r="N1630">
        <v>5</v>
      </c>
      <c r="O1630" t="str">
        <f>IF(datos_limpios[[#This Row],[Seating Capacity ]]&gt;4,"SI","NO")</f>
        <v>SI</v>
      </c>
      <c r="P1630">
        <v>28</v>
      </c>
    </row>
    <row r="1631" spans="1:16" x14ac:dyDescent="0.3">
      <c r="A1631" s="8" t="s">
        <v>52</v>
      </c>
      <c r="B1631" s="8" t="s">
        <v>431</v>
      </c>
      <c r="C1631" s="9">
        <v>1632</v>
      </c>
      <c r="D1631" s="3">
        <v>395000</v>
      </c>
      <c r="E1631" s="1">
        <f>datos_limpios[[#This Row],[Price INR   ]]*0.011</f>
        <v>4345</v>
      </c>
      <c r="F1631" s="13">
        <v>2018</v>
      </c>
      <c r="G1631" s="2">
        <v>75500</v>
      </c>
      <c r="H1631" s="8" t="s">
        <v>12</v>
      </c>
      <c r="I1631" s="8" t="s">
        <v>13</v>
      </c>
      <c r="J1631" s="8" t="s">
        <v>57</v>
      </c>
      <c r="K1631" t="s">
        <v>54</v>
      </c>
      <c r="L1631" t="s">
        <v>55</v>
      </c>
      <c r="M1631" s="2">
        <f>VALUE(MID(L1631,1,FIND("@",L1631)-6))</f>
        <v>67</v>
      </c>
      <c r="N1631">
        <v>5</v>
      </c>
      <c r="O1631" t="str">
        <f>IF(datos_limpios[[#This Row],[Seating Capacity ]]&gt;4,"SI","NO")</f>
        <v>SI</v>
      </c>
      <c r="P1631">
        <v>28</v>
      </c>
    </row>
    <row r="1632" spans="1:16" x14ac:dyDescent="0.3">
      <c r="A1632" s="8" t="s">
        <v>52</v>
      </c>
      <c r="B1632" s="8" t="s">
        <v>1129</v>
      </c>
      <c r="C1632" s="9">
        <v>1633</v>
      </c>
      <c r="D1632" s="3">
        <v>415000</v>
      </c>
      <c r="E1632" s="1">
        <f>datos_limpios[[#This Row],[Price INR   ]]*0.011</f>
        <v>4565</v>
      </c>
      <c r="F1632" s="13">
        <v>2014</v>
      </c>
      <c r="G1632" s="2">
        <v>70000</v>
      </c>
      <c r="H1632" s="8" t="s">
        <v>19</v>
      </c>
      <c r="I1632" s="8" t="s">
        <v>13</v>
      </c>
      <c r="J1632" s="8" t="s">
        <v>20</v>
      </c>
      <c r="K1632" t="s">
        <v>49</v>
      </c>
      <c r="L1632" t="s">
        <v>218</v>
      </c>
      <c r="M1632" s="2">
        <f>VALUE(MID(L1632,1,FIND("@",L1632)-6))</f>
        <v>108</v>
      </c>
      <c r="N1632">
        <v>5</v>
      </c>
      <c r="O1632" t="str">
        <f>IF(datos_limpios[[#This Row],[Seating Capacity ]]&gt;4,"SI","NO")</f>
        <v>SI</v>
      </c>
      <c r="P1632">
        <v>50</v>
      </c>
    </row>
    <row r="1633" spans="1:16" x14ac:dyDescent="0.3">
      <c r="A1633" s="8" t="s">
        <v>52</v>
      </c>
      <c r="B1633" s="8" t="s">
        <v>903</v>
      </c>
      <c r="C1633" s="9">
        <v>1634</v>
      </c>
      <c r="D1633" s="3">
        <v>419000</v>
      </c>
      <c r="E1633" s="1">
        <f>datos_limpios[[#This Row],[Price INR   ]]*0.011</f>
        <v>4609</v>
      </c>
      <c r="F1633" s="13">
        <v>2017</v>
      </c>
      <c r="G1633" s="2">
        <v>23700</v>
      </c>
      <c r="H1633" s="8" t="s">
        <v>12</v>
      </c>
      <c r="I1633" s="8" t="s">
        <v>13</v>
      </c>
      <c r="J1633" s="8" t="s">
        <v>115</v>
      </c>
      <c r="K1633" t="s">
        <v>387</v>
      </c>
      <c r="L1633" t="s">
        <v>388</v>
      </c>
      <c r="M1633" s="2">
        <f>VALUE(MID(L1633,1,FIND("@",L1633)-6))</f>
        <v>53</v>
      </c>
      <c r="N1633">
        <v>5</v>
      </c>
      <c r="O1633" t="str">
        <f>IF(datos_limpios[[#This Row],[Seating Capacity ]]&gt;4,"SI","NO")</f>
        <v>SI</v>
      </c>
      <c r="P1633">
        <v>28</v>
      </c>
    </row>
    <row r="1634" spans="1:16" x14ac:dyDescent="0.3">
      <c r="A1634" s="8" t="s">
        <v>52</v>
      </c>
      <c r="B1634" s="8" t="s">
        <v>53</v>
      </c>
      <c r="C1634" s="9">
        <v>1635</v>
      </c>
      <c r="D1634" s="3">
        <v>420000</v>
      </c>
      <c r="E1634" s="1">
        <f>datos_limpios[[#This Row],[Price INR   ]]*0.011</f>
        <v>4620</v>
      </c>
      <c r="F1634" s="13">
        <v>2017</v>
      </c>
      <c r="G1634" s="2">
        <v>43000</v>
      </c>
      <c r="H1634" s="8" t="s">
        <v>12</v>
      </c>
      <c r="I1634" s="8" t="s">
        <v>13</v>
      </c>
      <c r="J1634" s="8" t="s">
        <v>14</v>
      </c>
      <c r="K1634" t="s">
        <v>54</v>
      </c>
      <c r="L1634" t="s">
        <v>55</v>
      </c>
      <c r="M1634" s="2">
        <f>VALUE(MID(L1634,1,FIND("@",L1634)-6))</f>
        <v>67</v>
      </c>
      <c r="N1634">
        <v>5</v>
      </c>
      <c r="O1634" t="str">
        <f>IF(datos_limpios[[#This Row],[Seating Capacity ]]&gt;4,"SI","NO")</f>
        <v>SI</v>
      </c>
      <c r="P1634">
        <v>28</v>
      </c>
    </row>
    <row r="1635" spans="1:16" x14ac:dyDescent="0.3">
      <c r="A1635" s="8" t="s">
        <v>52</v>
      </c>
      <c r="B1635" s="8" t="s">
        <v>350</v>
      </c>
      <c r="C1635" s="9">
        <v>1636</v>
      </c>
      <c r="D1635" s="3">
        <v>425000</v>
      </c>
      <c r="E1635" s="1">
        <f>datos_limpios[[#This Row],[Price INR   ]]*0.011</f>
        <v>4675</v>
      </c>
      <c r="F1635" s="13">
        <v>2014</v>
      </c>
      <c r="G1635" s="2">
        <v>72000</v>
      </c>
      <c r="H1635" s="8" t="s">
        <v>19</v>
      </c>
      <c r="I1635" s="8" t="s">
        <v>13</v>
      </c>
      <c r="J1635" s="8" t="s">
        <v>20</v>
      </c>
      <c r="K1635" t="s">
        <v>49</v>
      </c>
      <c r="L1635" t="s">
        <v>218</v>
      </c>
      <c r="M1635" s="2">
        <f>VALUE(MID(L1635,1,FIND("@",L1635)-6))</f>
        <v>108</v>
      </c>
      <c r="N1635">
        <v>5</v>
      </c>
      <c r="O1635" t="str">
        <f>IF(datos_limpios[[#This Row],[Seating Capacity ]]&gt;4,"SI","NO")</f>
        <v>SI</v>
      </c>
      <c r="P1635">
        <v>50</v>
      </c>
    </row>
    <row r="1636" spans="1:16" x14ac:dyDescent="0.3">
      <c r="A1636" s="8" t="s">
        <v>52</v>
      </c>
      <c r="B1636" s="8" t="s">
        <v>316</v>
      </c>
      <c r="C1636" s="9">
        <v>1637</v>
      </c>
      <c r="D1636" s="3">
        <v>425000</v>
      </c>
      <c r="E1636" s="1">
        <f>datos_limpios[[#This Row],[Price INR   ]]*0.011</f>
        <v>4675</v>
      </c>
      <c r="F1636" s="13">
        <v>2015</v>
      </c>
      <c r="G1636" s="2">
        <v>75000</v>
      </c>
      <c r="H1636" s="8" t="s">
        <v>19</v>
      </c>
      <c r="I1636" s="8" t="s">
        <v>13</v>
      </c>
      <c r="J1636" s="8" t="s">
        <v>101</v>
      </c>
      <c r="K1636" t="s">
        <v>49</v>
      </c>
      <c r="L1636" t="s">
        <v>50</v>
      </c>
      <c r="M1636" s="2">
        <f>VALUE(MID(L1636,1,FIND("@",L1636)-6))</f>
        <v>84</v>
      </c>
      <c r="N1636">
        <v>5</v>
      </c>
      <c r="O1636" t="str">
        <f>IF(datos_limpios[[#This Row],[Seating Capacity ]]&gt;4,"SI","NO")</f>
        <v>SI</v>
      </c>
      <c r="P1636">
        <v>50</v>
      </c>
    </row>
    <row r="1637" spans="1:16" x14ac:dyDescent="0.3">
      <c r="A1637" s="8" t="s">
        <v>52</v>
      </c>
      <c r="B1637" s="8" t="s">
        <v>144</v>
      </c>
      <c r="C1637" s="9">
        <v>1638</v>
      </c>
      <c r="D1637" s="3">
        <v>426999</v>
      </c>
      <c r="E1637" s="1">
        <f>datos_limpios[[#This Row],[Price INR   ]]*0.011</f>
        <v>4696.9889999999996</v>
      </c>
      <c r="F1637" s="13">
        <v>2020</v>
      </c>
      <c r="G1637" s="2">
        <v>41669</v>
      </c>
      <c r="H1637" s="8" t="s">
        <v>12</v>
      </c>
      <c r="I1637" s="8" t="s">
        <v>40</v>
      </c>
      <c r="J1637" s="8" t="s">
        <v>713</v>
      </c>
      <c r="K1637" t="s">
        <v>54</v>
      </c>
      <c r="L1637" t="s">
        <v>55</v>
      </c>
      <c r="M1637" s="2">
        <f>VALUE(MID(L1637,1,FIND("@",L1637)-6))</f>
        <v>67</v>
      </c>
      <c r="N1637">
        <v>5</v>
      </c>
      <c r="O1637" t="str">
        <f>IF(datos_limpios[[#This Row],[Seating Capacity ]]&gt;4,"SI","NO")</f>
        <v>SI</v>
      </c>
      <c r="P1637">
        <v>28</v>
      </c>
    </row>
    <row r="1638" spans="1:16" x14ac:dyDescent="0.3">
      <c r="A1638" s="8" t="s">
        <v>52</v>
      </c>
      <c r="B1638" s="8" t="s">
        <v>903</v>
      </c>
      <c r="C1638" s="9">
        <v>1639</v>
      </c>
      <c r="D1638" s="3">
        <v>434999</v>
      </c>
      <c r="E1638" s="1">
        <f>datos_limpios[[#This Row],[Price INR   ]]*0.011</f>
        <v>4784.9889999999996</v>
      </c>
      <c r="F1638" s="13">
        <v>2019</v>
      </c>
      <c r="G1638" s="2">
        <v>32000</v>
      </c>
      <c r="H1638" s="8" t="s">
        <v>12</v>
      </c>
      <c r="I1638" s="8" t="s">
        <v>13</v>
      </c>
      <c r="J1638" s="8" t="s">
        <v>14</v>
      </c>
      <c r="K1638" t="s">
        <v>387</v>
      </c>
      <c r="L1638" t="s">
        <v>388</v>
      </c>
      <c r="M1638" s="2">
        <f>VALUE(MID(L1638,1,FIND("@",L1638)-6))</f>
        <v>53</v>
      </c>
      <c r="N1638">
        <v>5</v>
      </c>
      <c r="O1638" t="str">
        <f>IF(datos_limpios[[#This Row],[Seating Capacity ]]&gt;4,"SI","NO")</f>
        <v>SI</v>
      </c>
      <c r="P1638">
        <v>28</v>
      </c>
    </row>
    <row r="1639" spans="1:16" x14ac:dyDescent="0.3">
      <c r="A1639" s="8" t="s">
        <v>52</v>
      </c>
      <c r="B1639" s="8" t="s">
        <v>1072</v>
      </c>
      <c r="C1639" s="9">
        <v>1640</v>
      </c>
      <c r="D1639" s="3">
        <v>450000</v>
      </c>
      <c r="E1639" s="1">
        <f>datos_limpios[[#This Row],[Price INR   ]]*0.011</f>
        <v>4950</v>
      </c>
      <c r="F1639" s="13">
        <v>2016</v>
      </c>
      <c r="G1639" s="2">
        <v>2000000</v>
      </c>
      <c r="H1639" s="8" t="s">
        <v>19</v>
      </c>
      <c r="I1639" s="8" t="s">
        <v>13</v>
      </c>
      <c r="J1639" s="8" t="s">
        <v>20</v>
      </c>
      <c r="K1639" t="s">
        <v>49</v>
      </c>
      <c r="L1639" t="s">
        <v>218</v>
      </c>
      <c r="M1639" s="2">
        <f>VALUE(MID(L1639,1,FIND("@",L1639)-6))</f>
        <v>108</v>
      </c>
      <c r="N1639">
        <v>5</v>
      </c>
      <c r="O1639" t="str">
        <f>IF(datos_limpios[[#This Row],[Seating Capacity ]]&gt;4,"SI","NO")</f>
        <v>SI</v>
      </c>
      <c r="P1639">
        <v>50</v>
      </c>
    </row>
    <row r="1640" spans="1:16" x14ac:dyDescent="0.3">
      <c r="A1640" s="8" t="s">
        <v>52</v>
      </c>
      <c r="B1640" s="8" t="s">
        <v>53</v>
      </c>
      <c r="C1640" s="9">
        <v>1641</v>
      </c>
      <c r="D1640" s="3">
        <v>459999</v>
      </c>
      <c r="E1640" s="1">
        <f>datos_limpios[[#This Row],[Price INR   ]]*0.011</f>
        <v>5059.9889999999996</v>
      </c>
      <c r="F1640" s="13">
        <v>2018</v>
      </c>
      <c r="G1640" s="2">
        <v>22541</v>
      </c>
      <c r="H1640" s="8" t="s">
        <v>12</v>
      </c>
      <c r="I1640" s="8" t="s">
        <v>13</v>
      </c>
      <c r="J1640" s="8" t="s">
        <v>14</v>
      </c>
      <c r="K1640" t="s">
        <v>54</v>
      </c>
      <c r="L1640" t="s">
        <v>55</v>
      </c>
      <c r="M1640" s="2">
        <f>VALUE(MID(L1640,1,FIND("@",L1640)-6))</f>
        <v>67</v>
      </c>
      <c r="N1640">
        <v>5</v>
      </c>
      <c r="O1640" t="str">
        <f>IF(datos_limpios[[#This Row],[Seating Capacity ]]&gt;4,"SI","NO")</f>
        <v>SI</v>
      </c>
      <c r="P1640">
        <v>28</v>
      </c>
    </row>
    <row r="1641" spans="1:16" x14ac:dyDescent="0.3">
      <c r="A1641" s="8" t="s">
        <v>52</v>
      </c>
      <c r="B1641" s="8" t="s">
        <v>144</v>
      </c>
      <c r="C1641" s="9">
        <v>1642</v>
      </c>
      <c r="D1641" s="3">
        <v>470000</v>
      </c>
      <c r="E1641" s="1">
        <f>datos_limpios[[#This Row],[Price INR   ]]*0.011</f>
        <v>5170</v>
      </c>
      <c r="F1641" s="13">
        <v>2019</v>
      </c>
      <c r="G1641" s="2">
        <v>11183</v>
      </c>
      <c r="H1641" s="8" t="s">
        <v>12</v>
      </c>
      <c r="I1641" s="8" t="s">
        <v>40</v>
      </c>
      <c r="J1641" s="8" t="s">
        <v>77</v>
      </c>
      <c r="K1641" t="s">
        <v>54</v>
      </c>
      <c r="L1641" t="s">
        <v>55</v>
      </c>
      <c r="M1641" s="2">
        <f>VALUE(MID(L1641,1,FIND("@",L1641)-6))</f>
        <v>67</v>
      </c>
      <c r="N1641">
        <v>5</v>
      </c>
      <c r="O1641" t="str">
        <f>IF(datos_limpios[[#This Row],[Seating Capacity ]]&gt;4,"SI","NO")</f>
        <v>SI</v>
      </c>
      <c r="P1641">
        <v>28</v>
      </c>
    </row>
    <row r="1642" spans="1:16" x14ac:dyDescent="0.3">
      <c r="A1642" s="8" t="s">
        <v>52</v>
      </c>
      <c r="B1642" s="8" t="s">
        <v>316</v>
      </c>
      <c r="C1642" s="9">
        <v>1643</v>
      </c>
      <c r="D1642" s="3">
        <v>490000</v>
      </c>
      <c r="E1642" s="1">
        <f>datos_limpios[[#This Row],[Price INR   ]]*0.011</f>
        <v>5390</v>
      </c>
      <c r="F1642" s="13">
        <v>2015</v>
      </c>
      <c r="G1642" s="2">
        <v>98000</v>
      </c>
      <c r="H1642" s="8" t="s">
        <v>19</v>
      </c>
      <c r="I1642" s="8" t="s">
        <v>13</v>
      </c>
      <c r="J1642" s="8" t="s">
        <v>20</v>
      </c>
      <c r="K1642" t="s">
        <v>49</v>
      </c>
      <c r="L1642" t="s">
        <v>50</v>
      </c>
      <c r="M1642" s="2">
        <f>VALUE(MID(L1642,1,FIND("@",L1642)-6))</f>
        <v>84</v>
      </c>
      <c r="N1642">
        <v>5</v>
      </c>
      <c r="O1642" t="str">
        <f>IF(datos_limpios[[#This Row],[Seating Capacity ]]&gt;4,"SI","NO")</f>
        <v>SI</v>
      </c>
      <c r="P1642">
        <v>50</v>
      </c>
    </row>
    <row r="1643" spans="1:16" x14ac:dyDescent="0.3">
      <c r="A1643" s="8" t="s">
        <v>52</v>
      </c>
      <c r="B1643" s="8" t="s">
        <v>144</v>
      </c>
      <c r="C1643" s="9">
        <v>1644</v>
      </c>
      <c r="D1643" s="3">
        <v>490000</v>
      </c>
      <c r="E1643" s="1">
        <f>datos_limpios[[#This Row],[Price INR   ]]*0.011</f>
        <v>5390</v>
      </c>
      <c r="F1643" s="13">
        <v>2019</v>
      </c>
      <c r="G1643" s="2">
        <v>32000</v>
      </c>
      <c r="H1643" s="8" t="s">
        <v>12</v>
      </c>
      <c r="I1643" s="8" t="s">
        <v>40</v>
      </c>
      <c r="J1643" s="8" t="s">
        <v>115</v>
      </c>
      <c r="K1643" t="s">
        <v>54</v>
      </c>
      <c r="L1643" t="s">
        <v>55</v>
      </c>
      <c r="M1643" s="2">
        <f>VALUE(MID(L1643,1,FIND("@",L1643)-6))</f>
        <v>67</v>
      </c>
      <c r="N1643">
        <v>5</v>
      </c>
      <c r="O1643" t="str">
        <f>IF(datos_limpios[[#This Row],[Seating Capacity ]]&gt;4,"SI","NO")</f>
        <v>SI</v>
      </c>
      <c r="P1643">
        <v>28</v>
      </c>
    </row>
    <row r="1644" spans="1:16" x14ac:dyDescent="0.3">
      <c r="A1644" s="8" t="s">
        <v>52</v>
      </c>
      <c r="B1644" s="8" t="s">
        <v>926</v>
      </c>
      <c r="C1644" s="9">
        <v>1645</v>
      </c>
      <c r="D1644" s="3">
        <v>525000</v>
      </c>
      <c r="E1644" s="1">
        <f>datos_limpios[[#This Row],[Price INR   ]]*0.011</f>
        <v>5775</v>
      </c>
      <c r="F1644" s="13">
        <v>2014</v>
      </c>
      <c r="G1644" s="2">
        <v>48000</v>
      </c>
      <c r="H1644" s="8" t="s">
        <v>19</v>
      </c>
      <c r="I1644" s="8" t="s">
        <v>13</v>
      </c>
      <c r="J1644" s="8" t="s">
        <v>77</v>
      </c>
      <c r="K1644" t="s">
        <v>49</v>
      </c>
      <c r="L1644" t="s">
        <v>50</v>
      </c>
      <c r="M1644" s="2">
        <f>VALUE(MID(L1644,1,FIND("@",L1644)-6))</f>
        <v>84</v>
      </c>
      <c r="N1644">
        <v>5</v>
      </c>
      <c r="O1644" t="str">
        <f>IF(datos_limpios[[#This Row],[Seating Capacity ]]&gt;4,"SI","NO")</f>
        <v>SI</v>
      </c>
      <c r="P1644">
        <v>50</v>
      </c>
    </row>
    <row r="1645" spans="1:16" x14ac:dyDescent="0.3">
      <c r="A1645" s="8" t="s">
        <v>52</v>
      </c>
      <c r="B1645" s="8" t="s">
        <v>501</v>
      </c>
      <c r="C1645" s="9">
        <v>1646</v>
      </c>
      <c r="D1645" s="3">
        <v>600000</v>
      </c>
      <c r="E1645" s="1">
        <f>datos_limpios[[#This Row],[Price INR   ]]*0.011</f>
        <v>6600</v>
      </c>
      <c r="F1645" s="13">
        <v>2017</v>
      </c>
      <c r="G1645" s="2">
        <v>48000</v>
      </c>
      <c r="H1645" s="8" t="s">
        <v>12</v>
      </c>
      <c r="I1645" s="8" t="s">
        <v>13</v>
      </c>
      <c r="J1645" s="8" t="s">
        <v>101</v>
      </c>
      <c r="K1645" t="s">
        <v>196</v>
      </c>
      <c r="L1645" t="s">
        <v>280</v>
      </c>
      <c r="M1645" s="2">
        <f>VALUE(MID(L1645,1,FIND("@",L1645)-6))</f>
        <v>105</v>
      </c>
      <c r="N1645">
        <v>5</v>
      </c>
      <c r="O1645" t="str">
        <f>IF(datos_limpios[[#This Row],[Seating Capacity ]]&gt;4,"SI","NO")</f>
        <v>SI</v>
      </c>
      <c r="P1645">
        <v>50</v>
      </c>
    </row>
    <row r="1646" spans="1:16" x14ac:dyDescent="0.3">
      <c r="A1646" s="8" t="s">
        <v>52</v>
      </c>
      <c r="B1646" s="8" t="s">
        <v>1295</v>
      </c>
      <c r="C1646" s="9">
        <v>1647</v>
      </c>
      <c r="D1646" s="3">
        <v>625000</v>
      </c>
      <c r="E1646" s="1">
        <f>datos_limpios[[#This Row],[Price INR   ]]*0.011</f>
        <v>6875</v>
      </c>
      <c r="F1646" s="13">
        <v>2017</v>
      </c>
      <c r="G1646" s="2">
        <v>81000</v>
      </c>
      <c r="H1646" s="8" t="s">
        <v>19</v>
      </c>
      <c r="I1646" s="8" t="s">
        <v>13</v>
      </c>
      <c r="J1646" s="8" t="s">
        <v>20</v>
      </c>
      <c r="K1646" t="s">
        <v>49</v>
      </c>
      <c r="L1646" t="s">
        <v>50</v>
      </c>
      <c r="M1646" s="2">
        <f>VALUE(MID(L1646,1,FIND("@",L1646)-6))</f>
        <v>84</v>
      </c>
      <c r="N1646">
        <v>5</v>
      </c>
      <c r="O1646" t="str">
        <f>IF(datos_limpios[[#This Row],[Seating Capacity ]]&gt;4,"SI","NO")</f>
        <v>SI</v>
      </c>
      <c r="P1646">
        <v>50</v>
      </c>
    </row>
    <row r="1647" spans="1:16" x14ac:dyDescent="0.3">
      <c r="A1647" s="8" t="s">
        <v>52</v>
      </c>
      <c r="B1647" s="8" t="s">
        <v>731</v>
      </c>
      <c r="C1647" s="9">
        <v>1648</v>
      </c>
      <c r="D1647" s="3">
        <v>690000</v>
      </c>
      <c r="E1647" s="1">
        <f>datos_limpios[[#This Row],[Price INR   ]]*0.011</f>
        <v>7590</v>
      </c>
      <c r="F1647" s="13">
        <v>2016</v>
      </c>
      <c r="G1647" s="2">
        <v>35000</v>
      </c>
      <c r="H1647" s="8" t="s">
        <v>19</v>
      </c>
      <c r="I1647" s="8" t="s">
        <v>40</v>
      </c>
      <c r="J1647" s="8" t="s">
        <v>14</v>
      </c>
      <c r="K1647" t="s">
        <v>49</v>
      </c>
      <c r="L1647" t="s">
        <v>218</v>
      </c>
      <c r="M1647" s="2">
        <f>VALUE(MID(L1647,1,FIND("@",L1647)-6))</f>
        <v>108</v>
      </c>
      <c r="N1647">
        <v>5</v>
      </c>
      <c r="O1647" t="str">
        <f>IF(datos_limpios[[#This Row],[Seating Capacity ]]&gt;4,"SI","NO")</f>
        <v>SI</v>
      </c>
      <c r="P1647">
        <v>50</v>
      </c>
    </row>
    <row r="1648" spans="1:16" x14ac:dyDescent="0.3">
      <c r="A1648" s="8" t="s">
        <v>52</v>
      </c>
      <c r="B1648" s="8" t="s">
        <v>1011</v>
      </c>
      <c r="C1648" s="9">
        <v>1649</v>
      </c>
      <c r="D1648" s="3">
        <v>690000</v>
      </c>
      <c r="E1648" s="1">
        <f>datos_limpios[[#This Row],[Price INR   ]]*0.011</f>
        <v>7590</v>
      </c>
      <c r="F1648" s="13">
        <v>2016</v>
      </c>
      <c r="G1648" s="2">
        <v>65000</v>
      </c>
      <c r="H1648" s="8" t="s">
        <v>19</v>
      </c>
      <c r="I1648" s="8" t="s">
        <v>13</v>
      </c>
      <c r="J1648" s="8" t="s">
        <v>14</v>
      </c>
      <c r="K1648" t="s">
        <v>49</v>
      </c>
      <c r="L1648" t="s">
        <v>218</v>
      </c>
      <c r="M1648" s="2">
        <f>VALUE(MID(L1648,1,FIND("@",L1648)-6))</f>
        <v>108</v>
      </c>
      <c r="N1648">
        <v>5</v>
      </c>
      <c r="O1648" t="str">
        <f>IF(datos_limpios[[#This Row],[Seating Capacity ]]&gt;4,"SI","NO")</f>
        <v>SI</v>
      </c>
      <c r="P1648">
        <v>50</v>
      </c>
    </row>
    <row r="1649" spans="1:16" x14ac:dyDescent="0.3">
      <c r="A1649" s="8" t="s">
        <v>52</v>
      </c>
      <c r="B1649" s="8" t="s">
        <v>1305</v>
      </c>
      <c r="C1649" s="9">
        <v>1650</v>
      </c>
      <c r="D1649" s="3">
        <v>775000</v>
      </c>
      <c r="E1649" s="1">
        <f>datos_limpios[[#This Row],[Price INR   ]]*0.011</f>
        <v>8525</v>
      </c>
      <c r="F1649" s="13">
        <v>2017</v>
      </c>
      <c r="G1649" s="2">
        <v>67000</v>
      </c>
      <c r="H1649" s="8" t="s">
        <v>19</v>
      </c>
      <c r="I1649" s="8" t="s">
        <v>40</v>
      </c>
      <c r="J1649" s="8" t="s">
        <v>20</v>
      </c>
      <c r="K1649" t="s">
        <v>49</v>
      </c>
      <c r="L1649" t="s">
        <v>218</v>
      </c>
      <c r="M1649" s="2">
        <f>VALUE(MID(L1649,1,FIND("@",L1649)-6))</f>
        <v>108</v>
      </c>
      <c r="N1649">
        <v>5</v>
      </c>
      <c r="O1649" t="str">
        <f>IF(datos_limpios[[#This Row],[Seating Capacity ]]&gt;4,"SI","NO")</f>
        <v>SI</v>
      </c>
      <c r="P1649">
        <v>50</v>
      </c>
    </row>
    <row r="1650" spans="1:16" x14ac:dyDescent="0.3">
      <c r="A1650" s="8" t="s">
        <v>52</v>
      </c>
      <c r="B1650" s="8" t="s">
        <v>501</v>
      </c>
      <c r="C1650" s="9">
        <v>1651</v>
      </c>
      <c r="D1650" s="3">
        <v>789000</v>
      </c>
      <c r="E1650" s="1">
        <f>datos_limpios[[#This Row],[Price INR   ]]*0.011</f>
        <v>8679</v>
      </c>
      <c r="F1650" s="13">
        <v>2017</v>
      </c>
      <c r="G1650" s="2">
        <v>60444</v>
      </c>
      <c r="H1650" s="8" t="s">
        <v>12</v>
      </c>
      <c r="I1650" s="8" t="s">
        <v>13</v>
      </c>
      <c r="J1650" s="8" t="s">
        <v>30</v>
      </c>
      <c r="K1650" t="s">
        <v>196</v>
      </c>
      <c r="L1650" t="s">
        <v>280</v>
      </c>
      <c r="M1650" s="2">
        <f>VALUE(MID(L1650,1,FIND("@",L1650)-6))</f>
        <v>105</v>
      </c>
      <c r="N1650">
        <v>5</v>
      </c>
      <c r="O1650" t="str">
        <f>IF(datos_limpios[[#This Row],[Seating Capacity ]]&gt;4,"SI","NO")</f>
        <v>SI</v>
      </c>
      <c r="P1650">
        <v>50</v>
      </c>
    </row>
    <row r="1651" spans="1:16" x14ac:dyDescent="0.3">
      <c r="A1651" s="8" t="s">
        <v>52</v>
      </c>
      <c r="B1651" s="8" t="s">
        <v>571</v>
      </c>
      <c r="C1651" s="9">
        <v>1652</v>
      </c>
      <c r="D1651" s="3">
        <v>800000</v>
      </c>
      <c r="E1651" s="1">
        <f>datos_limpios[[#This Row],[Price INR   ]]*0.011</f>
        <v>8800</v>
      </c>
      <c r="F1651" s="13">
        <v>2021</v>
      </c>
      <c r="G1651" s="2">
        <v>13000</v>
      </c>
      <c r="H1651" s="8" t="s">
        <v>12</v>
      </c>
      <c r="I1651" s="8" t="s">
        <v>40</v>
      </c>
      <c r="J1651" s="8" t="s">
        <v>20</v>
      </c>
      <c r="K1651" t="s">
        <v>54</v>
      </c>
      <c r="L1651" t="s">
        <v>572</v>
      </c>
      <c r="M1651" s="2">
        <f>VALUE(MID(L1651,1,FIND("@",L1651)-6))</f>
        <v>99</v>
      </c>
      <c r="N1651">
        <v>5</v>
      </c>
      <c r="O1651" t="str">
        <f>IF(datos_limpios[[#This Row],[Seating Capacity ]]&gt;4,"SI","NO")</f>
        <v>SI</v>
      </c>
      <c r="P1651">
        <v>40</v>
      </c>
    </row>
    <row r="1652" spans="1:16" x14ac:dyDescent="0.3">
      <c r="A1652" s="8" t="s">
        <v>52</v>
      </c>
      <c r="B1652" s="8" t="s">
        <v>279</v>
      </c>
      <c r="C1652" s="9">
        <v>1653</v>
      </c>
      <c r="D1652" s="3">
        <v>890000</v>
      </c>
      <c r="E1652" s="1">
        <f>datos_limpios[[#This Row],[Price INR   ]]*0.011</f>
        <v>9790</v>
      </c>
      <c r="F1652" s="13">
        <v>2020</v>
      </c>
      <c r="G1652" s="2">
        <v>23500</v>
      </c>
      <c r="H1652" s="8" t="s">
        <v>12</v>
      </c>
      <c r="I1652" s="8" t="s">
        <v>13</v>
      </c>
      <c r="J1652" s="8" t="s">
        <v>20</v>
      </c>
      <c r="K1652" t="s">
        <v>196</v>
      </c>
      <c r="L1652" t="s">
        <v>280</v>
      </c>
      <c r="M1652" s="2">
        <f>VALUE(MID(L1652,1,FIND("@",L1652)-6))</f>
        <v>105</v>
      </c>
      <c r="N1652">
        <v>5</v>
      </c>
      <c r="O1652" t="str">
        <f>IF(datos_limpios[[#This Row],[Seating Capacity ]]&gt;4,"SI","NO")</f>
        <v>SI</v>
      </c>
      <c r="P1652">
        <v>50</v>
      </c>
    </row>
    <row r="1653" spans="1:16" x14ac:dyDescent="0.3">
      <c r="A1653" s="8" t="s">
        <v>52</v>
      </c>
      <c r="B1653" s="8" t="s">
        <v>1087</v>
      </c>
      <c r="C1653" s="9">
        <v>1654</v>
      </c>
      <c r="D1653" s="3">
        <v>960000</v>
      </c>
      <c r="E1653" s="1">
        <f>datos_limpios[[#This Row],[Price INR   ]]*0.011</f>
        <v>10560</v>
      </c>
      <c r="F1653" s="13">
        <v>2018</v>
      </c>
      <c r="G1653" s="2">
        <v>24000</v>
      </c>
      <c r="H1653" s="8" t="s">
        <v>19</v>
      </c>
      <c r="I1653" s="8" t="s">
        <v>13</v>
      </c>
      <c r="J1653" s="8" t="s">
        <v>82</v>
      </c>
      <c r="K1653" t="s">
        <v>49</v>
      </c>
      <c r="L1653" t="s">
        <v>50</v>
      </c>
      <c r="M1653" s="2">
        <f>VALUE(MID(L1653,1,FIND("@",L1653)-6))</f>
        <v>84</v>
      </c>
      <c r="N1653">
        <v>5</v>
      </c>
      <c r="O1653" t="str">
        <f>IF(datos_limpios[[#This Row],[Seating Capacity ]]&gt;4,"SI","NO")</f>
        <v>SI</v>
      </c>
      <c r="P1653">
        <v>50</v>
      </c>
    </row>
    <row r="1654" spans="1:16" x14ac:dyDescent="0.3">
      <c r="A1654" s="8" t="s">
        <v>52</v>
      </c>
      <c r="B1654" s="8" t="s">
        <v>1322</v>
      </c>
      <c r="C1654" s="9">
        <v>1655</v>
      </c>
      <c r="D1654" s="3">
        <v>1000000</v>
      </c>
      <c r="E1654" s="1">
        <f>datos_limpios[[#This Row],[Price INR   ]]*0.011</f>
        <v>11000</v>
      </c>
      <c r="F1654" s="13">
        <v>2022</v>
      </c>
      <c r="G1654" s="2">
        <v>4000</v>
      </c>
      <c r="H1654" s="8" t="s">
        <v>12</v>
      </c>
      <c r="I1654" s="8" t="s">
        <v>40</v>
      </c>
      <c r="J1654" s="8" t="s">
        <v>20</v>
      </c>
      <c r="K1654" t="s">
        <v>54</v>
      </c>
      <c r="L1654" t="s">
        <v>964</v>
      </c>
      <c r="M1654" s="2">
        <f>VALUE(MID(L1654,1,FIND("@",L1654)-6))</f>
        <v>71</v>
      </c>
      <c r="N1654">
        <v>5</v>
      </c>
      <c r="O1654" t="str">
        <f>IF(datos_limpios[[#This Row],[Seating Capacity ]]&gt;4,"SI","NO")</f>
        <v>SI</v>
      </c>
      <c r="P1654">
        <v>40</v>
      </c>
    </row>
    <row r="1655" spans="1:16" x14ac:dyDescent="0.3">
      <c r="A1655" s="8" t="s">
        <v>986</v>
      </c>
      <c r="B1655" s="8" t="s">
        <v>987</v>
      </c>
      <c r="C1655" s="9">
        <v>1656</v>
      </c>
      <c r="D1655" s="3">
        <v>18000000</v>
      </c>
      <c r="E1655" s="1">
        <f>datos_limpios[[#This Row],[Price INR   ]]*0.011</f>
        <v>198000</v>
      </c>
      <c r="F1655" s="13">
        <v>2011</v>
      </c>
      <c r="G1655" s="2">
        <v>60000</v>
      </c>
      <c r="H1655" s="8" t="s">
        <v>12</v>
      </c>
      <c r="I1655" s="8" t="s">
        <v>40</v>
      </c>
      <c r="J1655" s="8" t="s">
        <v>25</v>
      </c>
      <c r="K1655" t="s">
        <v>988</v>
      </c>
      <c r="L1655" t="s">
        <v>989</v>
      </c>
      <c r="M1655" s="2">
        <f>VALUE(MID(L1655,1,FIND("@",L1655)-6))</f>
        <v>570</v>
      </c>
      <c r="N1655">
        <v>5</v>
      </c>
      <c r="O1655" t="str">
        <f>IF(datos_limpios[[#This Row],[Seating Capacity ]]&gt;4,"SI","NO")</f>
        <v>SI</v>
      </c>
      <c r="P1655">
        <v>82.5</v>
      </c>
    </row>
    <row r="1656" spans="1:16" x14ac:dyDescent="0.3">
      <c r="A1656" s="8" t="s">
        <v>986</v>
      </c>
      <c r="B1656" s="8" t="s">
        <v>1133</v>
      </c>
      <c r="C1656" s="9">
        <v>1657</v>
      </c>
      <c r="D1656" s="3">
        <v>20000000</v>
      </c>
      <c r="E1656" s="1">
        <f>datos_limpios[[#This Row],[Price INR   ]]*0.011</f>
        <v>220000</v>
      </c>
      <c r="F1656" s="13">
        <v>2011</v>
      </c>
      <c r="G1656" s="2">
        <v>27000</v>
      </c>
      <c r="H1656" s="8" t="s">
        <v>12</v>
      </c>
      <c r="I1656" s="8" t="s">
        <v>40</v>
      </c>
      <c r="J1656" s="8" t="s">
        <v>57</v>
      </c>
      <c r="K1656" t="s">
        <v>988</v>
      </c>
      <c r="L1656" t="s">
        <v>989</v>
      </c>
      <c r="M1656" s="2">
        <f>VALUE(MID(L1656,1,FIND("@",L1656)-6))</f>
        <v>570</v>
      </c>
      <c r="N1656">
        <v>5</v>
      </c>
      <c r="O1656" t="str">
        <f>IF(datos_limpios[[#This Row],[Seating Capacity ]]&gt;4,"SI","NO")</f>
        <v>SI</v>
      </c>
      <c r="P1656">
        <v>82.5</v>
      </c>
    </row>
    <row r="1657" spans="1:16" x14ac:dyDescent="0.3">
      <c r="A1657" s="8" t="s">
        <v>986</v>
      </c>
      <c r="B1657" s="8" t="s">
        <v>1133</v>
      </c>
      <c r="C1657" s="9">
        <v>1658</v>
      </c>
      <c r="D1657" s="3">
        <v>20000000</v>
      </c>
      <c r="E1657" s="1">
        <f>datos_limpios[[#This Row],[Price INR   ]]*0.011</f>
        <v>220000</v>
      </c>
      <c r="F1657" s="13">
        <v>2012</v>
      </c>
      <c r="G1657" s="2">
        <v>55000</v>
      </c>
      <c r="H1657" s="8" t="s">
        <v>12</v>
      </c>
      <c r="I1657" s="8" t="s">
        <v>40</v>
      </c>
      <c r="J1657" s="8" t="s">
        <v>20</v>
      </c>
      <c r="K1657" t="s">
        <v>988</v>
      </c>
      <c r="L1657" t="s">
        <v>989</v>
      </c>
      <c r="M1657" s="2">
        <f>VALUE(MID(L1657,1,FIND("@",L1657)-6))</f>
        <v>570</v>
      </c>
      <c r="N1657">
        <v>5</v>
      </c>
      <c r="O1657" t="str">
        <f>IF(datos_limpios[[#This Row],[Seating Capacity ]]&gt;4,"SI","NO")</f>
        <v>SI</v>
      </c>
      <c r="P1657">
        <v>82.5</v>
      </c>
    </row>
    <row r="1658" spans="1:16" x14ac:dyDescent="0.3">
      <c r="A1658" s="8" t="s">
        <v>43</v>
      </c>
      <c r="B1658" s="8" t="s">
        <v>323</v>
      </c>
      <c r="C1658" s="9">
        <v>1659</v>
      </c>
      <c r="D1658" s="3">
        <v>225000</v>
      </c>
      <c r="E1658" s="1">
        <f>datos_limpios[[#This Row],[Price INR   ]]*0.011</f>
        <v>2475</v>
      </c>
      <c r="F1658" s="13">
        <v>2012</v>
      </c>
      <c r="G1658" s="2">
        <v>69000</v>
      </c>
      <c r="H1658" s="8" t="s">
        <v>12</v>
      </c>
      <c r="I1658" s="8" t="s">
        <v>13</v>
      </c>
      <c r="J1658" s="8" t="s">
        <v>77</v>
      </c>
      <c r="K1658" t="s">
        <v>210</v>
      </c>
      <c r="L1658" t="s">
        <v>324</v>
      </c>
      <c r="M1658" s="2">
        <f>VALUE(MID(L1658,1,FIND("@",L1658)-6))</f>
        <v>105</v>
      </c>
      <c r="N1658">
        <v>5</v>
      </c>
      <c r="O1658" t="str">
        <f>IF(datos_limpios[[#This Row],[Seating Capacity ]]&gt;4,"SI","NO")</f>
        <v>SI</v>
      </c>
      <c r="P1658">
        <v>45</v>
      </c>
    </row>
    <row r="1659" spans="1:16" x14ac:dyDescent="0.3">
      <c r="A1659" s="8" t="s">
        <v>43</v>
      </c>
      <c r="B1659" s="8" t="s">
        <v>584</v>
      </c>
      <c r="C1659" s="9">
        <v>1660</v>
      </c>
      <c r="D1659" s="3">
        <v>350000</v>
      </c>
      <c r="E1659" s="1">
        <f>datos_limpios[[#This Row],[Price INR   ]]*0.011</f>
        <v>3850</v>
      </c>
      <c r="F1659" s="13">
        <v>2012</v>
      </c>
      <c r="G1659" s="2">
        <v>130000</v>
      </c>
      <c r="H1659" s="8" t="s">
        <v>19</v>
      </c>
      <c r="I1659" s="8" t="s">
        <v>13</v>
      </c>
      <c r="J1659" s="8" t="s">
        <v>20</v>
      </c>
      <c r="K1659" t="s">
        <v>210</v>
      </c>
      <c r="L1659" t="s">
        <v>585</v>
      </c>
      <c r="M1659" s="2">
        <f>VALUE(MID(L1659,1,FIND("@",L1659)-6))</f>
        <v>105</v>
      </c>
      <c r="N1659">
        <v>5</v>
      </c>
      <c r="O1659" t="str">
        <f>IF(datos_limpios[[#This Row],[Seating Capacity ]]&gt;4,"SI","NO")</f>
        <v>SI</v>
      </c>
      <c r="P1659">
        <v>55</v>
      </c>
    </row>
    <row r="1660" spans="1:16" x14ac:dyDescent="0.3">
      <c r="A1660" s="8" t="s">
        <v>43</v>
      </c>
      <c r="B1660" s="8" t="s">
        <v>248</v>
      </c>
      <c r="C1660" s="9">
        <v>1661</v>
      </c>
      <c r="D1660" s="3">
        <v>425000</v>
      </c>
      <c r="E1660" s="1">
        <f>datos_limpios[[#This Row],[Price INR   ]]*0.011</f>
        <v>4675</v>
      </c>
      <c r="F1660" s="13">
        <v>2014</v>
      </c>
      <c r="G1660" s="2">
        <v>24000</v>
      </c>
      <c r="H1660" s="8" t="s">
        <v>12</v>
      </c>
      <c r="I1660" s="8" t="s">
        <v>40</v>
      </c>
      <c r="J1660" s="8" t="s">
        <v>249</v>
      </c>
      <c r="K1660" t="s">
        <v>210</v>
      </c>
      <c r="L1660" t="s">
        <v>250</v>
      </c>
      <c r="M1660" s="2">
        <f>VALUE(MID(L1660,1,FIND("@",L1660)-6))</f>
        <v>104</v>
      </c>
      <c r="N1660">
        <v>5</v>
      </c>
      <c r="O1660" t="str">
        <f>IF(datos_limpios[[#This Row],[Seating Capacity ]]&gt;4,"SI","NO")</f>
        <v>SI</v>
      </c>
      <c r="P1660">
        <v>55</v>
      </c>
    </row>
    <row r="1661" spans="1:16" x14ac:dyDescent="0.3">
      <c r="A1661" s="8" t="s">
        <v>43</v>
      </c>
      <c r="B1661" s="8" t="s">
        <v>923</v>
      </c>
      <c r="C1661" s="9">
        <v>1662</v>
      </c>
      <c r="D1661" s="3">
        <v>425000</v>
      </c>
      <c r="E1661" s="1">
        <f>datos_limpios[[#This Row],[Price INR   ]]*0.011</f>
        <v>4675</v>
      </c>
      <c r="F1661" s="13">
        <v>2013</v>
      </c>
      <c r="G1661" s="2">
        <v>57000</v>
      </c>
      <c r="H1661" s="8" t="s">
        <v>12</v>
      </c>
      <c r="I1661" s="8" t="s">
        <v>40</v>
      </c>
      <c r="J1661" s="8" t="s">
        <v>20</v>
      </c>
      <c r="K1661" t="s">
        <v>210</v>
      </c>
      <c r="L1661" t="s">
        <v>211</v>
      </c>
      <c r="M1661" s="2">
        <f>VALUE(MID(L1661,1,FIND("@",L1661)-6))</f>
        <v>103</v>
      </c>
      <c r="N1661">
        <v>5</v>
      </c>
      <c r="O1661" t="str">
        <f>IF(datos_limpios[[#This Row],[Seating Capacity ]]&gt;4,"SI","NO")</f>
        <v>SI</v>
      </c>
      <c r="P1661">
        <v>55</v>
      </c>
    </row>
    <row r="1662" spans="1:16" x14ac:dyDescent="0.3">
      <c r="A1662" s="8" t="s">
        <v>43</v>
      </c>
      <c r="B1662" s="8" t="s">
        <v>325</v>
      </c>
      <c r="C1662" s="9">
        <v>1663</v>
      </c>
      <c r="D1662" s="3">
        <v>499000</v>
      </c>
      <c r="E1662" s="1">
        <f>datos_limpios[[#This Row],[Price INR   ]]*0.011</f>
        <v>5489</v>
      </c>
      <c r="F1662" s="13">
        <v>2014</v>
      </c>
      <c r="G1662" s="2">
        <v>88000</v>
      </c>
      <c r="H1662" s="8" t="s">
        <v>19</v>
      </c>
      <c r="I1662" s="8" t="s">
        <v>40</v>
      </c>
      <c r="J1662" s="8" t="s">
        <v>101</v>
      </c>
      <c r="K1662" t="s">
        <v>196</v>
      </c>
      <c r="L1662" t="s">
        <v>326</v>
      </c>
      <c r="M1662" s="2">
        <f>VALUE(MID(L1662,1,FIND("@",L1662)-6))</f>
        <v>103</v>
      </c>
      <c r="N1662">
        <v>5</v>
      </c>
      <c r="O1662" t="str">
        <f>IF(datos_limpios[[#This Row],[Seating Capacity ]]&gt;4,"SI","NO")</f>
        <v>SI</v>
      </c>
      <c r="P1662">
        <v>55</v>
      </c>
    </row>
    <row r="1663" spans="1:16" x14ac:dyDescent="0.3">
      <c r="A1663" s="8" t="s">
        <v>43</v>
      </c>
      <c r="B1663" s="8" t="s">
        <v>1366</v>
      </c>
      <c r="C1663" s="9">
        <v>1664</v>
      </c>
      <c r="D1663" s="3">
        <v>500000</v>
      </c>
      <c r="E1663" s="1">
        <f>datos_limpios[[#This Row],[Price INR   ]]*0.011</f>
        <v>5500</v>
      </c>
      <c r="F1663" s="13">
        <v>2012</v>
      </c>
      <c r="G1663" s="2">
        <v>86288</v>
      </c>
      <c r="H1663" s="8" t="s">
        <v>19</v>
      </c>
      <c r="I1663" s="8" t="s">
        <v>13</v>
      </c>
      <c r="J1663" s="8" t="s">
        <v>101</v>
      </c>
      <c r="K1663" t="s">
        <v>210</v>
      </c>
      <c r="L1663" t="s">
        <v>326</v>
      </c>
      <c r="M1663" s="2">
        <f>VALUE(MID(L1663,1,FIND("@",L1663)-6))</f>
        <v>103</v>
      </c>
      <c r="N1663">
        <v>5</v>
      </c>
      <c r="O1663" t="str">
        <f>IF(datos_limpios[[#This Row],[Seating Capacity ]]&gt;4,"SI","NO")</f>
        <v>SI</v>
      </c>
      <c r="P1663">
        <v>55</v>
      </c>
    </row>
    <row r="1664" spans="1:16" x14ac:dyDescent="0.3">
      <c r="A1664" s="8" t="s">
        <v>43</v>
      </c>
      <c r="B1664" s="8" t="s">
        <v>325</v>
      </c>
      <c r="C1664" s="9">
        <v>1665</v>
      </c>
      <c r="D1664" s="3">
        <v>549000</v>
      </c>
      <c r="E1664" s="1">
        <f>datos_limpios[[#This Row],[Price INR   ]]*0.011</f>
        <v>6039</v>
      </c>
      <c r="F1664" s="13">
        <v>2014</v>
      </c>
      <c r="G1664" s="2">
        <v>42000</v>
      </c>
      <c r="H1664" s="8" t="s">
        <v>19</v>
      </c>
      <c r="I1664" s="8" t="s">
        <v>40</v>
      </c>
      <c r="J1664" s="8" t="s">
        <v>115</v>
      </c>
      <c r="K1664" t="s">
        <v>196</v>
      </c>
      <c r="L1664" t="s">
        <v>326</v>
      </c>
      <c r="M1664" s="2">
        <f>VALUE(MID(L1664,1,FIND("@",L1664)-6))</f>
        <v>103</v>
      </c>
      <c r="N1664">
        <v>5</v>
      </c>
      <c r="O1664" t="str">
        <f>IF(datos_limpios[[#This Row],[Seating Capacity ]]&gt;4,"SI","NO")</f>
        <v>SI</v>
      </c>
      <c r="P1664">
        <v>55</v>
      </c>
    </row>
    <row r="1665" spans="1:16" x14ac:dyDescent="0.3">
      <c r="A1665" s="8" t="s">
        <v>43</v>
      </c>
      <c r="B1665" s="8" t="s">
        <v>584</v>
      </c>
      <c r="C1665" s="9">
        <v>1666</v>
      </c>
      <c r="D1665" s="3">
        <v>550000</v>
      </c>
      <c r="E1665" s="1">
        <f>datos_limpios[[#This Row],[Price INR   ]]*0.011</f>
        <v>6050</v>
      </c>
      <c r="F1665" s="13">
        <v>2016</v>
      </c>
      <c r="G1665" s="2">
        <v>83000</v>
      </c>
      <c r="H1665" s="8" t="s">
        <v>19</v>
      </c>
      <c r="I1665" s="8" t="s">
        <v>13</v>
      </c>
      <c r="J1665" s="8" t="s">
        <v>20</v>
      </c>
      <c r="K1665" t="s">
        <v>210</v>
      </c>
      <c r="L1665" t="s">
        <v>585</v>
      </c>
      <c r="M1665" s="2">
        <f>VALUE(MID(L1665,1,FIND("@",L1665)-6))</f>
        <v>105</v>
      </c>
      <c r="N1665">
        <v>5</v>
      </c>
      <c r="O1665" t="str">
        <f>IF(datos_limpios[[#This Row],[Seating Capacity ]]&gt;4,"SI","NO")</f>
        <v>SI</v>
      </c>
      <c r="P1665">
        <v>55</v>
      </c>
    </row>
    <row r="1666" spans="1:16" x14ac:dyDescent="0.3">
      <c r="A1666" s="8" t="s">
        <v>43</v>
      </c>
      <c r="B1666" s="8" t="s">
        <v>584</v>
      </c>
      <c r="C1666" s="9">
        <v>1667</v>
      </c>
      <c r="D1666" s="3">
        <v>640000</v>
      </c>
      <c r="E1666" s="1">
        <f>datos_limpios[[#This Row],[Price INR   ]]*0.011</f>
        <v>7040</v>
      </c>
      <c r="F1666" s="13">
        <v>2016</v>
      </c>
      <c r="G1666" s="2">
        <v>124000</v>
      </c>
      <c r="H1666" s="8" t="s">
        <v>19</v>
      </c>
      <c r="I1666" s="8" t="s">
        <v>13</v>
      </c>
      <c r="J1666" s="8" t="s">
        <v>14</v>
      </c>
      <c r="K1666" t="s">
        <v>210</v>
      </c>
      <c r="L1666" t="s">
        <v>585</v>
      </c>
      <c r="M1666" s="2">
        <f>VALUE(MID(L1666,1,FIND("@",L1666)-6))</f>
        <v>105</v>
      </c>
      <c r="N1666">
        <v>5</v>
      </c>
      <c r="O1666" t="str">
        <f>IF(datos_limpios[[#This Row],[Seating Capacity ]]&gt;4,"SI","NO")</f>
        <v>SI</v>
      </c>
      <c r="P1666">
        <v>55</v>
      </c>
    </row>
    <row r="1667" spans="1:16" x14ac:dyDescent="0.3">
      <c r="A1667" s="8" t="s">
        <v>43</v>
      </c>
      <c r="B1667" s="8" t="s">
        <v>584</v>
      </c>
      <c r="C1667" s="9">
        <v>1668</v>
      </c>
      <c r="D1667" s="3">
        <v>745000</v>
      </c>
      <c r="E1667" s="1">
        <f>datos_limpios[[#This Row],[Price INR   ]]*0.011</f>
        <v>8195</v>
      </c>
      <c r="F1667" s="13">
        <v>2016</v>
      </c>
      <c r="G1667" s="2">
        <v>117048</v>
      </c>
      <c r="H1667" s="8" t="s">
        <v>19</v>
      </c>
      <c r="I1667" s="8" t="s">
        <v>13</v>
      </c>
      <c r="J1667" s="8" t="s">
        <v>77</v>
      </c>
      <c r="K1667" t="s">
        <v>210</v>
      </c>
      <c r="L1667" t="s">
        <v>585</v>
      </c>
      <c r="M1667" s="2">
        <f>VALUE(MID(L1667,1,FIND("@",L1667)-6))</f>
        <v>105</v>
      </c>
      <c r="N1667">
        <v>5</v>
      </c>
      <c r="O1667" t="str">
        <f>IF(datos_limpios[[#This Row],[Seating Capacity ]]&gt;4,"SI","NO")</f>
        <v>SI</v>
      </c>
      <c r="P1667">
        <v>55</v>
      </c>
    </row>
    <row r="1668" spans="1:16" x14ac:dyDescent="0.3">
      <c r="A1668" s="8" t="s">
        <v>43</v>
      </c>
      <c r="B1668" s="8" t="s">
        <v>1029</v>
      </c>
      <c r="C1668" s="9">
        <v>1669</v>
      </c>
      <c r="D1668" s="3">
        <v>795000</v>
      </c>
      <c r="E1668" s="1">
        <f>datos_limpios[[#This Row],[Price INR   ]]*0.011</f>
        <v>8745</v>
      </c>
      <c r="F1668" s="13">
        <v>2014</v>
      </c>
      <c r="G1668" s="2">
        <v>53000</v>
      </c>
      <c r="H1668" s="8" t="s">
        <v>12</v>
      </c>
      <c r="I1668" s="8" t="s">
        <v>40</v>
      </c>
      <c r="J1668" s="8" t="s">
        <v>20</v>
      </c>
      <c r="K1668" t="s">
        <v>45</v>
      </c>
      <c r="L1668" t="s">
        <v>1030</v>
      </c>
      <c r="M1668" s="2">
        <f>VALUE(MID(L1668,1,FIND("@",L1668)-6))</f>
        <v>158</v>
      </c>
      <c r="N1668">
        <v>5</v>
      </c>
      <c r="O1668" t="str">
        <f>IF(datos_limpios[[#This Row],[Seating Capacity ]]&gt;4,"SI","NO")</f>
        <v>SI</v>
      </c>
      <c r="P1668">
        <v>60</v>
      </c>
    </row>
    <row r="1669" spans="1:16" x14ac:dyDescent="0.3">
      <c r="A1669" s="8" t="s">
        <v>43</v>
      </c>
      <c r="B1669" s="8" t="s">
        <v>1225</v>
      </c>
      <c r="C1669" s="9">
        <v>1670</v>
      </c>
      <c r="D1669" s="3">
        <v>819999</v>
      </c>
      <c r="E1669" s="1">
        <f>datos_limpios[[#This Row],[Price INR   ]]*0.011</f>
        <v>9019.9889999999996</v>
      </c>
      <c r="F1669" s="13">
        <v>2015</v>
      </c>
      <c r="G1669" s="2">
        <v>94580</v>
      </c>
      <c r="H1669" s="8" t="s">
        <v>12</v>
      </c>
      <c r="I1669" s="8" t="s">
        <v>40</v>
      </c>
      <c r="J1669" s="8" t="s">
        <v>101</v>
      </c>
      <c r="K1669" t="s">
        <v>45</v>
      </c>
      <c r="L1669" t="s">
        <v>885</v>
      </c>
      <c r="M1669" s="2">
        <f>VALUE(MID(L1669,1,FIND("@",L1669)-6))</f>
        <v>177</v>
      </c>
      <c r="N1669">
        <v>5</v>
      </c>
      <c r="O1669" t="str">
        <f>IF(datos_limpios[[#This Row],[Seating Capacity ]]&gt;4,"SI","NO")</f>
        <v>SI</v>
      </c>
      <c r="P1669">
        <v>50</v>
      </c>
    </row>
    <row r="1670" spans="1:16" x14ac:dyDescent="0.3">
      <c r="A1670" s="8" t="s">
        <v>43</v>
      </c>
      <c r="B1670" s="8" t="s">
        <v>1373</v>
      </c>
      <c r="C1670" s="9">
        <v>1671</v>
      </c>
      <c r="D1670" s="3">
        <v>880000</v>
      </c>
      <c r="E1670" s="1">
        <f>datos_limpios[[#This Row],[Price INR   ]]*0.011</f>
        <v>9680</v>
      </c>
      <c r="F1670" s="13">
        <v>2018</v>
      </c>
      <c r="G1670" s="2">
        <v>47000</v>
      </c>
      <c r="H1670" s="8" t="s">
        <v>12</v>
      </c>
      <c r="I1670" s="8" t="s">
        <v>13</v>
      </c>
      <c r="J1670" s="8" t="s">
        <v>20</v>
      </c>
      <c r="K1670" t="s">
        <v>210</v>
      </c>
      <c r="L1670" t="s">
        <v>250</v>
      </c>
      <c r="M1670" s="2">
        <f>VALUE(MID(L1670,1,FIND("@",L1670)-6))</f>
        <v>104</v>
      </c>
      <c r="N1670">
        <v>5</v>
      </c>
      <c r="O1670" t="str">
        <f>IF(datos_limpios[[#This Row],[Seating Capacity ]]&gt;4,"SI","NO")</f>
        <v>SI</v>
      </c>
      <c r="P1670">
        <v>55</v>
      </c>
    </row>
    <row r="1671" spans="1:16" x14ac:dyDescent="0.3">
      <c r="A1671" s="8" t="s">
        <v>43</v>
      </c>
      <c r="B1671" s="8" t="s">
        <v>376</v>
      </c>
      <c r="C1671" s="9">
        <v>1672</v>
      </c>
      <c r="D1671" s="3">
        <v>885000</v>
      </c>
      <c r="E1671" s="1">
        <f>datos_limpios[[#This Row],[Price INR   ]]*0.011</f>
        <v>9735</v>
      </c>
      <c r="F1671" s="13">
        <v>2018</v>
      </c>
      <c r="G1671" s="2">
        <v>38000</v>
      </c>
      <c r="H1671" s="8" t="s">
        <v>12</v>
      </c>
      <c r="I1671" s="8" t="s">
        <v>13</v>
      </c>
      <c r="J1671" s="8" t="s">
        <v>30</v>
      </c>
      <c r="K1671" t="s">
        <v>210</v>
      </c>
      <c r="L1671" t="s">
        <v>377</v>
      </c>
      <c r="M1671" s="2">
        <f>VALUE(MID(L1671,1,FIND("@",L1671)-6))</f>
        <v>104</v>
      </c>
      <c r="N1671">
        <v>5</v>
      </c>
      <c r="O1671" t="str">
        <f>IF(datos_limpios[[#This Row],[Seating Capacity ]]&gt;4,"SI","NO")</f>
        <v>SI</v>
      </c>
      <c r="P1671">
        <v>55</v>
      </c>
    </row>
    <row r="1672" spans="1:16" x14ac:dyDescent="0.3">
      <c r="A1672" s="8" t="s">
        <v>43</v>
      </c>
      <c r="B1672" s="8" t="s">
        <v>1028</v>
      </c>
      <c r="C1672" s="9">
        <v>1673</v>
      </c>
      <c r="D1672" s="3">
        <v>900000</v>
      </c>
      <c r="E1672" s="1">
        <f>datos_limpios[[#This Row],[Price INR   ]]*0.011</f>
        <v>9900</v>
      </c>
      <c r="F1672" s="13">
        <v>2018</v>
      </c>
      <c r="G1672" s="2">
        <v>55000</v>
      </c>
      <c r="H1672" s="8" t="s">
        <v>12</v>
      </c>
      <c r="I1672" s="8" t="s">
        <v>40</v>
      </c>
      <c r="J1672" s="8" t="s">
        <v>14</v>
      </c>
      <c r="K1672" t="s">
        <v>210</v>
      </c>
      <c r="L1672" t="s">
        <v>377</v>
      </c>
      <c r="M1672" s="2">
        <f>VALUE(MID(L1672,1,FIND("@",L1672)-6))</f>
        <v>104</v>
      </c>
      <c r="N1672">
        <v>5</v>
      </c>
      <c r="O1672" t="str">
        <f>IF(datos_limpios[[#This Row],[Seating Capacity ]]&gt;4,"SI","NO")</f>
        <v>SI</v>
      </c>
      <c r="P1672">
        <v>55</v>
      </c>
    </row>
    <row r="1673" spans="1:16" x14ac:dyDescent="0.3">
      <c r="A1673" s="8" t="s">
        <v>43</v>
      </c>
      <c r="B1673" s="8" t="s">
        <v>584</v>
      </c>
      <c r="C1673" s="9">
        <v>1674</v>
      </c>
      <c r="D1673" s="3">
        <v>950000</v>
      </c>
      <c r="E1673" s="1">
        <f>datos_limpios[[#This Row],[Price INR   ]]*0.011</f>
        <v>10450</v>
      </c>
      <c r="F1673" s="13">
        <v>2019</v>
      </c>
      <c r="G1673" s="2">
        <v>32809</v>
      </c>
      <c r="H1673" s="8" t="s">
        <v>19</v>
      </c>
      <c r="I1673" s="8" t="s">
        <v>13</v>
      </c>
      <c r="J1673" s="8" t="s">
        <v>77</v>
      </c>
      <c r="K1673" t="s">
        <v>210</v>
      </c>
      <c r="L1673" t="s">
        <v>585</v>
      </c>
      <c r="M1673" s="2">
        <f>VALUE(MID(L1673,1,FIND("@",L1673)-6))</f>
        <v>105</v>
      </c>
      <c r="N1673">
        <v>5</v>
      </c>
      <c r="O1673" t="str">
        <f>IF(datos_limpios[[#This Row],[Seating Capacity ]]&gt;4,"SI","NO")</f>
        <v>SI</v>
      </c>
      <c r="P1673">
        <v>55</v>
      </c>
    </row>
    <row r="1674" spans="1:16" x14ac:dyDescent="0.3">
      <c r="A1674" s="8" t="s">
        <v>43</v>
      </c>
      <c r="B1674" s="8" t="s">
        <v>1028</v>
      </c>
      <c r="C1674" s="9">
        <v>1675</v>
      </c>
      <c r="D1674" s="3">
        <v>1099000</v>
      </c>
      <c r="E1674" s="1">
        <f>datos_limpios[[#This Row],[Price INR   ]]*0.011</f>
        <v>12089</v>
      </c>
      <c r="F1674" s="13">
        <v>2018</v>
      </c>
      <c r="G1674" s="2">
        <v>20690</v>
      </c>
      <c r="H1674" s="8" t="s">
        <v>12</v>
      </c>
      <c r="I1674" s="8" t="s">
        <v>40</v>
      </c>
      <c r="J1674" s="8" t="s">
        <v>30</v>
      </c>
      <c r="K1674" t="s">
        <v>210</v>
      </c>
      <c r="L1674" t="s">
        <v>377</v>
      </c>
      <c r="M1674" s="2">
        <f>VALUE(MID(L1674,1,FIND("@",L1674)-6))</f>
        <v>104</v>
      </c>
      <c r="N1674">
        <v>5</v>
      </c>
      <c r="O1674" t="str">
        <f>IF(datos_limpios[[#This Row],[Seating Capacity ]]&gt;4,"SI","NO")</f>
        <v>SI</v>
      </c>
      <c r="P1674">
        <v>55</v>
      </c>
    </row>
    <row r="1675" spans="1:16" x14ac:dyDescent="0.3">
      <c r="A1675" s="8" t="s">
        <v>43</v>
      </c>
      <c r="B1675" s="8" t="s">
        <v>370</v>
      </c>
      <c r="C1675" s="9">
        <v>1676</v>
      </c>
      <c r="D1675" s="3">
        <v>1125000</v>
      </c>
      <c r="E1675" s="1">
        <f>datos_limpios[[#This Row],[Price INR   ]]*0.011</f>
        <v>12375</v>
      </c>
      <c r="F1675" s="13">
        <v>2020</v>
      </c>
      <c r="G1675" s="2">
        <v>46807</v>
      </c>
      <c r="H1675" s="8" t="s">
        <v>12</v>
      </c>
      <c r="I1675" s="8" t="s">
        <v>40</v>
      </c>
      <c r="J1675" s="8" t="s">
        <v>30</v>
      </c>
      <c r="K1675" t="s">
        <v>54</v>
      </c>
      <c r="L1675" t="s">
        <v>371</v>
      </c>
      <c r="M1675" s="2">
        <f>VALUE(MID(L1675,1,FIND("@",L1675)-6))</f>
        <v>109</v>
      </c>
      <c r="N1675">
        <v>5</v>
      </c>
      <c r="O1675" t="str">
        <f>IF(datos_limpios[[#This Row],[Seating Capacity ]]&gt;4,"SI","NO")</f>
        <v>SI</v>
      </c>
      <c r="P1675">
        <v>55</v>
      </c>
    </row>
    <row r="1676" spans="1:16" x14ac:dyDescent="0.3">
      <c r="A1676" s="8" t="s">
        <v>43</v>
      </c>
      <c r="B1676" s="8" t="s">
        <v>1358</v>
      </c>
      <c r="C1676" s="9">
        <v>1677</v>
      </c>
      <c r="D1676" s="3">
        <v>1160000</v>
      </c>
      <c r="E1676" s="1">
        <f>datos_limpios[[#This Row],[Price INR   ]]*0.011</f>
        <v>12760</v>
      </c>
      <c r="F1676" s="13">
        <v>2015</v>
      </c>
      <c r="G1676" s="2">
        <v>47981</v>
      </c>
      <c r="H1676" s="8" t="s">
        <v>19</v>
      </c>
      <c r="I1676" s="8" t="s">
        <v>40</v>
      </c>
      <c r="J1676" s="8" t="s">
        <v>101</v>
      </c>
      <c r="K1676" t="s">
        <v>127</v>
      </c>
      <c r="L1676" t="s">
        <v>643</v>
      </c>
      <c r="M1676" s="2">
        <f>VALUE(MID(L1676,1,FIND("@",L1676)-6))</f>
        <v>141</v>
      </c>
      <c r="N1676">
        <v>5</v>
      </c>
      <c r="O1676" t="str">
        <f>IF(datos_limpios[[#This Row],[Seating Capacity ]]&gt;4,"SI","NO")</f>
        <v>SI</v>
      </c>
      <c r="P1676">
        <v>50</v>
      </c>
    </row>
    <row r="1677" spans="1:16" x14ac:dyDescent="0.3">
      <c r="A1677" s="8" t="s">
        <v>43</v>
      </c>
      <c r="B1677" s="8" t="s">
        <v>44</v>
      </c>
      <c r="C1677" s="9">
        <v>1678</v>
      </c>
      <c r="D1677" s="3">
        <v>1300000</v>
      </c>
      <c r="E1677" s="1">
        <f>datos_limpios[[#This Row],[Price INR   ]]*0.011</f>
        <v>14300</v>
      </c>
      <c r="F1677" s="13">
        <v>2016</v>
      </c>
      <c r="G1677" s="2">
        <v>55000</v>
      </c>
      <c r="H1677" s="8" t="s">
        <v>12</v>
      </c>
      <c r="I1677" s="8" t="s">
        <v>40</v>
      </c>
      <c r="J1677" s="8" t="s">
        <v>14</v>
      </c>
      <c r="K1677" t="s">
        <v>45</v>
      </c>
      <c r="L1677" t="s">
        <v>46</v>
      </c>
      <c r="M1677" s="2">
        <f>VALUE(MID(L1677,1,FIND("@",L1677)-6))</f>
        <v>177</v>
      </c>
      <c r="N1677">
        <v>5</v>
      </c>
      <c r="O1677" t="str">
        <f>IF(datos_limpios[[#This Row],[Seating Capacity ]]&gt;4,"SI","NO")</f>
        <v>SI</v>
      </c>
      <c r="P1677">
        <v>50</v>
      </c>
    </row>
    <row r="1678" spans="1:16" x14ac:dyDescent="0.3">
      <c r="A1678" s="8" t="s">
        <v>43</v>
      </c>
      <c r="B1678" s="8" t="s">
        <v>44</v>
      </c>
      <c r="C1678" s="9">
        <v>1679</v>
      </c>
      <c r="D1678" s="3">
        <v>1390000</v>
      </c>
      <c r="E1678" s="1">
        <f>datos_limpios[[#This Row],[Price INR   ]]*0.011</f>
        <v>15290</v>
      </c>
      <c r="F1678" s="13">
        <v>2017</v>
      </c>
      <c r="G1678" s="2">
        <v>56000</v>
      </c>
      <c r="H1678" s="8" t="s">
        <v>12</v>
      </c>
      <c r="I1678" s="8" t="s">
        <v>40</v>
      </c>
      <c r="J1678" s="8" t="s">
        <v>20</v>
      </c>
      <c r="K1678" t="s">
        <v>45</v>
      </c>
      <c r="L1678" t="s">
        <v>46</v>
      </c>
      <c r="M1678" s="2">
        <f>VALUE(MID(L1678,1,FIND("@",L1678)-6))</f>
        <v>177</v>
      </c>
      <c r="N1678">
        <v>5</v>
      </c>
      <c r="O1678" t="str">
        <f>IF(datos_limpios[[#This Row],[Seating Capacity ]]&gt;4,"SI","NO")</f>
        <v>SI</v>
      </c>
      <c r="P1678">
        <v>50</v>
      </c>
    </row>
    <row r="1679" spans="1:16" x14ac:dyDescent="0.3">
      <c r="A1679" s="8" t="s">
        <v>43</v>
      </c>
      <c r="B1679" s="8" t="s">
        <v>44</v>
      </c>
      <c r="C1679" s="9">
        <v>1680</v>
      </c>
      <c r="D1679" s="3">
        <v>1390000</v>
      </c>
      <c r="E1679" s="1">
        <f>datos_limpios[[#This Row],[Price INR   ]]*0.011</f>
        <v>15290</v>
      </c>
      <c r="F1679" s="13">
        <v>2017</v>
      </c>
      <c r="G1679" s="2">
        <v>56000</v>
      </c>
      <c r="H1679" s="8" t="s">
        <v>12</v>
      </c>
      <c r="I1679" s="8" t="s">
        <v>40</v>
      </c>
      <c r="J1679" s="8" t="s">
        <v>20</v>
      </c>
      <c r="K1679" t="s">
        <v>45</v>
      </c>
      <c r="L1679" t="s">
        <v>46</v>
      </c>
      <c r="M1679" s="2">
        <f>VALUE(MID(L1679,1,FIND("@",L1679)-6))</f>
        <v>177</v>
      </c>
      <c r="N1679">
        <v>5</v>
      </c>
      <c r="O1679" t="str">
        <f>IF(datos_limpios[[#This Row],[Seating Capacity ]]&gt;4,"SI","NO")</f>
        <v>SI</v>
      </c>
      <c r="P1679">
        <v>50</v>
      </c>
    </row>
    <row r="1680" spans="1:16" x14ac:dyDescent="0.3">
      <c r="A1680" s="8" t="s">
        <v>43</v>
      </c>
      <c r="B1680" s="8" t="s">
        <v>1400</v>
      </c>
      <c r="C1680" s="9">
        <v>1681</v>
      </c>
      <c r="D1680" s="3">
        <v>1400000</v>
      </c>
      <c r="E1680" s="1">
        <f>datos_limpios[[#This Row],[Price INR   ]]*0.011</f>
        <v>15400</v>
      </c>
      <c r="F1680" s="13">
        <v>2020</v>
      </c>
      <c r="G1680" s="2">
        <v>94182</v>
      </c>
      <c r="H1680" s="8" t="s">
        <v>19</v>
      </c>
      <c r="I1680" s="8" t="s">
        <v>40</v>
      </c>
      <c r="J1680" s="8" t="s">
        <v>14</v>
      </c>
      <c r="K1680" t="s">
        <v>127</v>
      </c>
      <c r="L1680" t="s">
        <v>187</v>
      </c>
      <c r="M1680" s="2">
        <f>VALUE(MID(L1680,1,FIND("@",L1680)-6))</f>
        <v>141</v>
      </c>
      <c r="N1680">
        <v>5</v>
      </c>
      <c r="O1680" t="str">
        <f>IF(datos_limpios[[#This Row],[Seating Capacity ]]&gt;4,"SI","NO")</f>
        <v>SI</v>
      </c>
      <c r="P1680">
        <v>50</v>
      </c>
    </row>
    <row r="1681" spans="1:16" x14ac:dyDescent="0.3">
      <c r="A1681" s="8" t="s">
        <v>43</v>
      </c>
      <c r="B1681" s="8" t="s">
        <v>44</v>
      </c>
      <c r="C1681" s="9">
        <v>1682</v>
      </c>
      <c r="D1681" s="3">
        <v>1495000</v>
      </c>
      <c r="E1681" s="1">
        <f>datos_limpios[[#This Row],[Price INR   ]]*0.011</f>
        <v>16445</v>
      </c>
      <c r="F1681" s="13">
        <v>2017</v>
      </c>
      <c r="G1681" s="2">
        <v>28000</v>
      </c>
      <c r="H1681" s="8" t="s">
        <v>12</v>
      </c>
      <c r="I1681" s="8" t="s">
        <v>40</v>
      </c>
      <c r="J1681" s="8" t="s">
        <v>14</v>
      </c>
      <c r="K1681" t="s">
        <v>45</v>
      </c>
      <c r="L1681" t="s">
        <v>46</v>
      </c>
      <c r="M1681" s="2">
        <f>VALUE(MID(L1681,1,FIND("@",L1681)-6))</f>
        <v>177</v>
      </c>
      <c r="N1681">
        <v>5</v>
      </c>
      <c r="O1681" t="str">
        <f>IF(datos_limpios[[#This Row],[Seating Capacity ]]&gt;4,"SI","NO")</f>
        <v>SI</v>
      </c>
      <c r="P1681">
        <v>50</v>
      </c>
    </row>
    <row r="1682" spans="1:16" x14ac:dyDescent="0.3">
      <c r="A1682" s="8" t="s">
        <v>43</v>
      </c>
      <c r="B1682" s="8" t="s">
        <v>561</v>
      </c>
      <c r="C1682" s="9">
        <v>1683</v>
      </c>
      <c r="D1682" s="3">
        <v>1500000</v>
      </c>
      <c r="E1682" s="1">
        <f>datos_limpios[[#This Row],[Price INR   ]]*0.011</f>
        <v>16500</v>
      </c>
      <c r="F1682" s="13">
        <v>2016</v>
      </c>
      <c r="G1682" s="2">
        <v>70000</v>
      </c>
      <c r="H1682" s="8" t="s">
        <v>12</v>
      </c>
      <c r="I1682" s="8" t="s">
        <v>40</v>
      </c>
      <c r="J1682" s="8" t="s">
        <v>20</v>
      </c>
      <c r="K1682" t="s">
        <v>45</v>
      </c>
      <c r="L1682" t="s">
        <v>46</v>
      </c>
      <c r="M1682" s="2">
        <f>VALUE(MID(L1682,1,FIND("@",L1682)-6))</f>
        <v>177</v>
      </c>
      <c r="N1682">
        <v>5</v>
      </c>
      <c r="O1682" t="str">
        <f>IF(datos_limpios[[#This Row],[Seating Capacity ]]&gt;4,"SI","NO")</f>
        <v>SI</v>
      </c>
      <c r="P1682">
        <v>66</v>
      </c>
    </row>
    <row r="1683" spans="1:16" x14ac:dyDescent="0.3">
      <c r="A1683" s="8" t="s">
        <v>43</v>
      </c>
      <c r="B1683" s="8" t="s">
        <v>900</v>
      </c>
      <c r="C1683" s="9">
        <v>1684</v>
      </c>
      <c r="D1683" s="3">
        <v>1515000</v>
      </c>
      <c r="E1683" s="1">
        <f>datos_limpios[[#This Row],[Price INR   ]]*0.011</f>
        <v>16665</v>
      </c>
      <c r="F1683" s="13">
        <v>2018</v>
      </c>
      <c r="G1683" s="2">
        <v>67546</v>
      </c>
      <c r="H1683" s="8" t="s">
        <v>12</v>
      </c>
      <c r="I1683" s="8" t="s">
        <v>40</v>
      </c>
      <c r="J1683" s="8" t="s">
        <v>713</v>
      </c>
      <c r="K1683" t="s">
        <v>45</v>
      </c>
      <c r="L1683" t="s">
        <v>46</v>
      </c>
      <c r="M1683" s="2">
        <f>VALUE(MID(L1683,1,FIND("@",L1683)-6))</f>
        <v>177</v>
      </c>
      <c r="N1683">
        <v>5</v>
      </c>
      <c r="O1683" t="str">
        <f>IF(datos_limpios[[#This Row],[Seating Capacity ]]&gt;4,"SI","NO")</f>
        <v>SI</v>
      </c>
      <c r="P1683">
        <v>50</v>
      </c>
    </row>
    <row r="1684" spans="1:16" x14ac:dyDescent="0.3">
      <c r="A1684" s="8" t="s">
        <v>43</v>
      </c>
      <c r="B1684" s="8" t="s">
        <v>1119</v>
      </c>
      <c r="C1684" s="9">
        <v>1685</v>
      </c>
      <c r="D1684" s="3">
        <v>1600000</v>
      </c>
      <c r="E1684" s="1">
        <f>datos_limpios[[#This Row],[Price INR   ]]*0.011</f>
        <v>17600</v>
      </c>
      <c r="F1684" s="13">
        <v>2022</v>
      </c>
      <c r="G1684" s="2">
        <v>1300</v>
      </c>
      <c r="H1684" s="8" t="s">
        <v>12</v>
      </c>
      <c r="I1684" s="8" t="s">
        <v>13</v>
      </c>
      <c r="J1684" s="8" t="s">
        <v>30</v>
      </c>
      <c r="K1684" t="s">
        <v>54</v>
      </c>
      <c r="L1684" t="s">
        <v>1013</v>
      </c>
      <c r="M1684" s="2">
        <f>VALUE(MID(L1684,1,FIND("@",L1684)-6))</f>
        <v>114</v>
      </c>
      <c r="N1684">
        <v>5</v>
      </c>
      <c r="O1684" t="str">
        <f>IF(datos_limpios[[#This Row],[Seating Capacity ]]&gt;4,"SI","NO")</f>
        <v>SI</v>
      </c>
      <c r="P1684">
        <v>50</v>
      </c>
    </row>
    <row r="1685" spans="1:16" x14ac:dyDescent="0.3">
      <c r="A1685" s="8" t="s">
        <v>43</v>
      </c>
      <c r="B1685" s="8" t="s">
        <v>1131</v>
      </c>
      <c r="C1685" s="9">
        <v>1686</v>
      </c>
      <c r="D1685" s="3">
        <v>1625000</v>
      </c>
      <c r="E1685" s="1">
        <f>datos_limpios[[#This Row],[Price INR   ]]*0.011</f>
        <v>17875</v>
      </c>
      <c r="F1685" s="13">
        <v>2021</v>
      </c>
      <c r="G1685" s="2">
        <v>7900</v>
      </c>
      <c r="H1685" s="8" t="s">
        <v>12</v>
      </c>
      <c r="I1685" s="8" t="s">
        <v>40</v>
      </c>
      <c r="J1685" s="8" t="s">
        <v>77</v>
      </c>
      <c r="K1685" t="s">
        <v>54</v>
      </c>
      <c r="L1685" t="s">
        <v>1013</v>
      </c>
      <c r="M1685" s="2">
        <f>VALUE(MID(L1685,1,FIND("@",L1685)-6))</f>
        <v>114</v>
      </c>
      <c r="N1685">
        <v>5</v>
      </c>
      <c r="O1685" t="str">
        <f>IF(datos_limpios[[#This Row],[Seating Capacity ]]&gt;4,"SI","NO")</f>
        <v>SI</v>
      </c>
      <c r="P1685">
        <v>50</v>
      </c>
    </row>
    <row r="1686" spans="1:16" x14ac:dyDescent="0.3">
      <c r="A1686" s="8" t="s">
        <v>43</v>
      </c>
      <c r="B1686" s="8" t="s">
        <v>1178</v>
      </c>
      <c r="C1686" s="9">
        <v>1687</v>
      </c>
      <c r="D1686" s="3">
        <v>1650000</v>
      </c>
      <c r="E1686" s="1">
        <f>datos_limpios[[#This Row],[Price INR   ]]*0.011</f>
        <v>18150</v>
      </c>
      <c r="F1686" s="13">
        <v>2017</v>
      </c>
      <c r="G1686" s="2">
        <v>52458</v>
      </c>
      <c r="H1686" s="8" t="s">
        <v>12</v>
      </c>
      <c r="I1686" s="8" t="s">
        <v>40</v>
      </c>
      <c r="J1686" s="8" t="s">
        <v>101</v>
      </c>
      <c r="K1686" t="s">
        <v>45</v>
      </c>
      <c r="L1686" t="s">
        <v>46</v>
      </c>
      <c r="M1686" s="2">
        <f>VALUE(MID(L1686,1,FIND("@",L1686)-6))</f>
        <v>177</v>
      </c>
      <c r="N1686">
        <v>5</v>
      </c>
      <c r="O1686" t="str">
        <f>IF(datos_limpios[[#This Row],[Seating Capacity ]]&gt;4,"SI","NO")</f>
        <v>SI</v>
      </c>
      <c r="P1686">
        <v>66</v>
      </c>
    </row>
    <row r="1687" spans="1:16" x14ac:dyDescent="0.3">
      <c r="A1687" s="8" t="s">
        <v>43</v>
      </c>
      <c r="B1687" s="8" t="s">
        <v>884</v>
      </c>
      <c r="C1687" s="9">
        <v>1688</v>
      </c>
      <c r="D1687" s="3">
        <v>1685000</v>
      </c>
      <c r="E1687" s="1">
        <f>datos_limpios[[#This Row],[Price INR   ]]*0.011</f>
        <v>18535</v>
      </c>
      <c r="F1687" s="13">
        <v>2017</v>
      </c>
      <c r="G1687" s="2">
        <v>28600</v>
      </c>
      <c r="H1687" s="8" t="s">
        <v>12</v>
      </c>
      <c r="I1687" s="8" t="s">
        <v>40</v>
      </c>
      <c r="J1687" s="8" t="s">
        <v>14</v>
      </c>
      <c r="K1687" t="s">
        <v>45</v>
      </c>
      <c r="L1687" t="s">
        <v>885</v>
      </c>
      <c r="M1687" s="2">
        <f>VALUE(MID(L1687,1,FIND("@",L1687)-6))</f>
        <v>177</v>
      </c>
      <c r="N1687">
        <v>5</v>
      </c>
      <c r="O1687" t="str">
        <f>IF(datos_limpios[[#This Row],[Seating Capacity ]]&gt;4,"SI","NO")</f>
        <v>SI</v>
      </c>
      <c r="P1687">
        <v>50</v>
      </c>
    </row>
    <row r="1688" spans="1:16" x14ac:dyDescent="0.3">
      <c r="A1688" s="8" t="s">
        <v>43</v>
      </c>
      <c r="B1688" s="8" t="s">
        <v>561</v>
      </c>
      <c r="C1688" s="9">
        <v>1689</v>
      </c>
      <c r="D1688" s="3">
        <v>2350000</v>
      </c>
      <c r="E1688" s="1">
        <f>datos_limpios[[#This Row],[Price INR   ]]*0.011</f>
        <v>25850</v>
      </c>
      <c r="F1688" s="13">
        <v>2018</v>
      </c>
      <c r="G1688" s="2">
        <v>14120</v>
      </c>
      <c r="H1688" s="8" t="s">
        <v>12</v>
      </c>
      <c r="I1688" s="8" t="s">
        <v>40</v>
      </c>
      <c r="J1688" s="8" t="s">
        <v>82</v>
      </c>
      <c r="K1688" t="s">
        <v>45</v>
      </c>
      <c r="L1688" t="s">
        <v>46</v>
      </c>
      <c r="M1688" s="2">
        <f>VALUE(MID(L1688,1,FIND("@",L1688)-6))</f>
        <v>177</v>
      </c>
      <c r="N1688">
        <v>5</v>
      </c>
      <c r="O1688" t="str">
        <f>IF(datos_limpios[[#This Row],[Seating Capacity ]]&gt;4,"SI","NO")</f>
        <v>SI</v>
      </c>
      <c r="P1688">
        <v>66</v>
      </c>
    </row>
    <row r="1689" spans="1:16" x14ac:dyDescent="0.3">
      <c r="A1689" s="8" t="s">
        <v>43</v>
      </c>
      <c r="B1689" s="8" t="s">
        <v>588</v>
      </c>
      <c r="C1689" s="9">
        <v>1690</v>
      </c>
      <c r="D1689" s="3">
        <v>2500000</v>
      </c>
      <c r="E1689" s="1">
        <f>datos_limpios[[#This Row],[Price INR   ]]*0.011</f>
        <v>27500</v>
      </c>
      <c r="F1689" s="13">
        <v>2017</v>
      </c>
      <c r="G1689" s="2">
        <v>82900</v>
      </c>
      <c r="H1689" s="8" t="s">
        <v>19</v>
      </c>
      <c r="I1689" s="8" t="s">
        <v>40</v>
      </c>
      <c r="J1689" s="8" t="s">
        <v>82</v>
      </c>
      <c r="K1689" t="s">
        <v>127</v>
      </c>
      <c r="L1689" t="s">
        <v>452</v>
      </c>
      <c r="M1689" s="2">
        <f>VALUE(MID(L1689,1,FIND("@",L1689)-6))</f>
        <v>174</v>
      </c>
      <c r="N1689">
        <v>5</v>
      </c>
      <c r="O1689" t="str">
        <f>IF(datos_limpios[[#This Row],[Seating Capacity ]]&gt;4,"SI","NO")</f>
        <v>SI</v>
      </c>
      <c r="P1689">
        <v>66</v>
      </c>
    </row>
    <row r="1690" spans="1:16" x14ac:dyDescent="0.3">
      <c r="A1690" s="8" t="s">
        <v>43</v>
      </c>
      <c r="B1690" s="8" t="s">
        <v>561</v>
      </c>
      <c r="C1690" s="9">
        <v>1691</v>
      </c>
      <c r="D1690" s="3">
        <v>3195000</v>
      </c>
      <c r="E1690" s="1">
        <f>datos_limpios[[#This Row],[Price INR   ]]*0.011</f>
        <v>35145</v>
      </c>
      <c r="F1690" s="13">
        <v>2021</v>
      </c>
      <c r="G1690" s="2">
        <v>21651</v>
      </c>
      <c r="H1690" s="8" t="s">
        <v>12</v>
      </c>
      <c r="I1690" s="8" t="s">
        <v>40</v>
      </c>
      <c r="J1690" s="8" t="s">
        <v>57</v>
      </c>
      <c r="K1690" t="s">
        <v>45</v>
      </c>
      <c r="L1690" t="s">
        <v>46</v>
      </c>
      <c r="M1690" s="2">
        <f>VALUE(MID(L1690,1,FIND("@",L1690)-6))</f>
        <v>177</v>
      </c>
      <c r="N1690">
        <v>5</v>
      </c>
      <c r="O1690" t="str">
        <f>IF(datos_limpios[[#This Row],[Seating Capacity ]]&gt;4,"SI","NO")</f>
        <v>SI</v>
      </c>
      <c r="P1690">
        <v>66</v>
      </c>
    </row>
    <row r="1691" spans="1:16" x14ac:dyDescent="0.3">
      <c r="A1691" s="8" t="s">
        <v>43</v>
      </c>
      <c r="B1691" s="8" t="s">
        <v>561</v>
      </c>
      <c r="C1691" s="9">
        <v>1692</v>
      </c>
      <c r="D1691" s="3">
        <v>3199000</v>
      </c>
      <c r="E1691" s="1">
        <f>datos_limpios[[#This Row],[Price INR   ]]*0.011</f>
        <v>35189</v>
      </c>
      <c r="F1691" s="13">
        <v>2021</v>
      </c>
      <c r="G1691" s="2">
        <v>6900</v>
      </c>
      <c r="H1691" s="8" t="s">
        <v>12</v>
      </c>
      <c r="I1691" s="8" t="s">
        <v>40</v>
      </c>
      <c r="J1691" s="8" t="s">
        <v>82</v>
      </c>
      <c r="K1691" t="s">
        <v>45</v>
      </c>
      <c r="L1691" t="s">
        <v>46</v>
      </c>
      <c r="M1691" s="2">
        <f>VALUE(MID(L1691,1,FIND("@",L1691)-6))</f>
        <v>177</v>
      </c>
      <c r="N1691">
        <v>5</v>
      </c>
      <c r="O1691" t="str">
        <f>IF(datos_limpios[[#This Row],[Seating Capacity ]]&gt;4,"SI","NO")</f>
        <v>SI</v>
      </c>
      <c r="P1691">
        <v>66</v>
      </c>
    </row>
    <row r="1692" spans="1:16" x14ac:dyDescent="0.3">
      <c r="A1692" s="8" t="s">
        <v>43</v>
      </c>
      <c r="B1692" s="8" t="s">
        <v>588</v>
      </c>
      <c r="C1692" s="9">
        <v>1693</v>
      </c>
      <c r="D1692" s="3">
        <v>3199000</v>
      </c>
      <c r="E1692" s="1">
        <f>datos_limpios[[#This Row],[Price INR   ]]*0.011</f>
        <v>35189</v>
      </c>
      <c r="F1692" s="13">
        <v>2019</v>
      </c>
      <c r="G1692" s="2">
        <v>6900</v>
      </c>
      <c r="H1692" s="8" t="s">
        <v>19</v>
      </c>
      <c r="I1692" s="8" t="s">
        <v>40</v>
      </c>
      <c r="J1692" s="8" t="s">
        <v>14</v>
      </c>
      <c r="K1692" t="s">
        <v>127</v>
      </c>
      <c r="L1692" t="s">
        <v>452</v>
      </c>
      <c r="M1692" s="2">
        <f>VALUE(MID(L1692,1,FIND("@",L1692)-6))</f>
        <v>174</v>
      </c>
      <c r="N1692">
        <v>5</v>
      </c>
      <c r="O1692" t="str">
        <f>IF(datos_limpios[[#This Row],[Seating Capacity ]]&gt;4,"SI","NO")</f>
        <v>SI</v>
      </c>
      <c r="P1692">
        <v>66</v>
      </c>
    </row>
    <row r="1693" spans="1:16" x14ac:dyDescent="0.3">
      <c r="A1693" s="8" t="s">
        <v>43</v>
      </c>
      <c r="B1693" s="8" t="s">
        <v>1302</v>
      </c>
      <c r="C1693" s="9">
        <v>1694</v>
      </c>
      <c r="D1693" s="3">
        <v>3325000</v>
      </c>
      <c r="E1693" s="1">
        <f>datos_limpios[[#This Row],[Price INR   ]]*0.011</f>
        <v>36575</v>
      </c>
      <c r="F1693" s="13">
        <v>2021</v>
      </c>
      <c r="G1693" s="2">
        <v>13092</v>
      </c>
      <c r="H1693" s="8" t="s">
        <v>12</v>
      </c>
      <c r="I1693" s="8" t="s">
        <v>40</v>
      </c>
      <c r="J1693" s="8" t="s">
        <v>20</v>
      </c>
      <c r="K1693" t="s">
        <v>266</v>
      </c>
      <c r="L1693" t="s">
        <v>267</v>
      </c>
      <c r="M1693" s="2">
        <f>VALUE(MID(L1693,1,FIND("@",L1693)-6))</f>
        <v>188</v>
      </c>
      <c r="N1693">
        <v>5</v>
      </c>
      <c r="O1693" t="str">
        <f>IF(datos_limpios[[#This Row],[Seating Capacity ]]&gt;4,"SI","NO")</f>
        <v>SI</v>
      </c>
      <c r="P1693">
        <v>66</v>
      </c>
    </row>
    <row r="1694" spans="1:16" x14ac:dyDescent="0.3">
      <c r="A1694" s="8" t="s">
        <v>43</v>
      </c>
      <c r="B1694" s="8" t="s">
        <v>1306</v>
      </c>
      <c r="C1694" s="9">
        <v>1695</v>
      </c>
      <c r="D1694" s="3">
        <v>3400000</v>
      </c>
      <c r="E1694" s="1">
        <f>datos_limpios[[#This Row],[Price INR   ]]*0.011</f>
        <v>37400</v>
      </c>
      <c r="F1694" s="13">
        <v>2019</v>
      </c>
      <c r="G1694" s="2">
        <v>30600</v>
      </c>
      <c r="H1694" s="8" t="s">
        <v>12</v>
      </c>
      <c r="I1694" s="8" t="s">
        <v>40</v>
      </c>
      <c r="J1694" s="8" t="s">
        <v>30</v>
      </c>
      <c r="K1694" t="s">
        <v>266</v>
      </c>
      <c r="L1694" t="s">
        <v>1307</v>
      </c>
      <c r="M1694" s="2">
        <f>VALUE(MID(L1694,1,FIND("@",L1694)-6))</f>
        <v>227</v>
      </c>
      <c r="N1694">
        <v>5</v>
      </c>
      <c r="O1694" t="str">
        <f>IF(datos_limpios[[#This Row],[Seating Capacity ]]&gt;4,"SI","NO")</f>
        <v>SI</v>
      </c>
      <c r="P1694">
        <v>50</v>
      </c>
    </row>
    <row r="1695" spans="1:16" x14ac:dyDescent="0.3">
      <c r="A1695" s="8" t="s">
        <v>914</v>
      </c>
      <c r="B1695" s="8" t="s">
        <v>915</v>
      </c>
      <c r="C1695" s="9">
        <v>1696</v>
      </c>
      <c r="D1695" s="3">
        <v>675000</v>
      </c>
      <c r="E1695" s="1">
        <f>datos_limpios[[#This Row],[Price INR   ]]*0.011</f>
        <v>7425</v>
      </c>
      <c r="F1695" s="13">
        <v>2013</v>
      </c>
      <c r="G1695" s="2">
        <v>106223</v>
      </c>
      <c r="H1695" s="8" t="s">
        <v>19</v>
      </c>
      <c r="I1695" s="8" t="s">
        <v>40</v>
      </c>
      <c r="J1695" s="8" t="s">
        <v>20</v>
      </c>
      <c r="K1695" t="s">
        <v>916</v>
      </c>
      <c r="L1695" t="s">
        <v>175</v>
      </c>
      <c r="M1695" s="2">
        <f>VALUE(MID(L1695,1,FIND("@",L1695)-6))</f>
        <v>184</v>
      </c>
      <c r="N1695">
        <v>7</v>
      </c>
      <c r="O1695" t="str">
        <f>IF(datos_limpios[[#This Row],[Seating Capacity ]]&gt;4,"SI","NO")</f>
        <v>SI</v>
      </c>
      <c r="P1695">
        <v>78</v>
      </c>
    </row>
    <row r="1696" spans="1:16" x14ac:dyDescent="0.3">
      <c r="A1696" s="8" t="s">
        <v>914</v>
      </c>
      <c r="B1696" s="8" t="s">
        <v>954</v>
      </c>
      <c r="C1696" s="9">
        <v>1697</v>
      </c>
      <c r="D1696" s="3">
        <v>900000</v>
      </c>
      <c r="E1696" s="1">
        <f>datos_limpios[[#This Row],[Price INR   ]]*0.011</f>
        <v>9900</v>
      </c>
      <c r="F1696" s="13">
        <v>2016</v>
      </c>
      <c r="G1696" s="2">
        <v>70000</v>
      </c>
      <c r="H1696" s="8" t="s">
        <v>19</v>
      </c>
      <c r="I1696" s="8" t="s">
        <v>13</v>
      </c>
      <c r="J1696" s="8" t="s">
        <v>101</v>
      </c>
      <c r="K1696" t="s">
        <v>916</v>
      </c>
      <c r="L1696" t="s">
        <v>955</v>
      </c>
      <c r="M1696" s="2">
        <f>VALUE(MID(L1696,1,FIND("@",L1696)-6))</f>
        <v>162</v>
      </c>
      <c r="N1696">
        <v>7</v>
      </c>
      <c r="O1696" t="str">
        <f>IF(datos_limpios[[#This Row],[Seating Capacity ]]&gt;4,"SI","NO")</f>
        <v>SI</v>
      </c>
      <c r="P1696">
        <v>78</v>
      </c>
    </row>
    <row r="1697" spans="1:16" x14ac:dyDescent="0.3">
      <c r="A1697" s="8" t="s">
        <v>914</v>
      </c>
      <c r="B1697" s="8" t="s">
        <v>915</v>
      </c>
      <c r="C1697" s="9">
        <v>1698</v>
      </c>
      <c r="D1697" s="3">
        <v>975000</v>
      </c>
      <c r="E1697" s="1">
        <f>datos_limpios[[#This Row],[Price INR   ]]*0.011</f>
        <v>10725</v>
      </c>
      <c r="F1697" s="13">
        <v>2013</v>
      </c>
      <c r="G1697" s="2">
        <v>72000</v>
      </c>
      <c r="H1697" s="8" t="s">
        <v>19</v>
      </c>
      <c r="I1697" s="8" t="s">
        <v>40</v>
      </c>
      <c r="J1697" s="8" t="s">
        <v>77</v>
      </c>
      <c r="K1697" t="s">
        <v>916</v>
      </c>
      <c r="L1697" t="s">
        <v>175</v>
      </c>
      <c r="M1697" s="2">
        <f>VALUE(MID(L1697,1,FIND("@",L1697)-6))</f>
        <v>184</v>
      </c>
      <c r="N1697">
        <v>7</v>
      </c>
      <c r="O1697" t="str">
        <f>IF(datos_limpios[[#This Row],[Seating Capacity ]]&gt;4,"SI","NO")</f>
        <v>SI</v>
      </c>
      <c r="P1697">
        <v>78</v>
      </c>
    </row>
    <row r="1698" spans="1:16" x14ac:dyDescent="0.3">
      <c r="A1698" s="8" t="s">
        <v>60</v>
      </c>
      <c r="B1698" s="8" t="s">
        <v>647</v>
      </c>
      <c r="C1698" s="9">
        <v>1699</v>
      </c>
      <c r="D1698" s="3">
        <v>49000</v>
      </c>
      <c r="E1698" s="1">
        <f>datos_limpios[[#This Row],[Price INR   ]]*0.011</f>
        <v>539</v>
      </c>
      <c r="F1698" s="13">
        <v>2010</v>
      </c>
      <c r="G1698" s="2">
        <v>60000</v>
      </c>
      <c r="H1698" s="8" t="s">
        <v>12</v>
      </c>
      <c r="I1698" s="8" t="s">
        <v>13</v>
      </c>
      <c r="J1698" s="8" t="s">
        <v>20</v>
      </c>
      <c r="K1698" t="s">
        <v>648</v>
      </c>
      <c r="L1698" t="s">
        <v>1496</v>
      </c>
      <c r="M1698" s="2">
        <f>VALUE(MID(L1698,1,FIND("@",L1698)-6))</f>
        <v>35</v>
      </c>
      <c r="N1698">
        <v>4</v>
      </c>
      <c r="O1698" t="str">
        <f>IF(datos_limpios[[#This Row],[Seating Capacity ]]&gt;4,"SI","NO")</f>
        <v>NO</v>
      </c>
      <c r="P1698">
        <v>15</v>
      </c>
    </row>
    <row r="1699" spans="1:16" x14ac:dyDescent="0.3">
      <c r="A1699" s="8" t="s">
        <v>60</v>
      </c>
      <c r="B1699" s="8" t="s">
        <v>621</v>
      </c>
      <c r="C1699" s="9">
        <v>1700</v>
      </c>
      <c r="D1699" s="3">
        <v>114999</v>
      </c>
      <c r="E1699" s="1">
        <f>datos_limpios[[#This Row],[Price INR   ]]*0.011</f>
        <v>1264.989</v>
      </c>
      <c r="F1699" s="13">
        <v>2012</v>
      </c>
      <c r="G1699" s="2">
        <v>93000</v>
      </c>
      <c r="H1699" s="8" t="s">
        <v>12</v>
      </c>
      <c r="I1699" s="8" t="s">
        <v>13</v>
      </c>
      <c r="J1699" s="8" t="s">
        <v>77</v>
      </c>
      <c r="K1699" t="s">
        <v>496</v>
      </c>
      <c r="L1699" t="s">
        <v>1537</v>
      </c>
      <c r="M1699" s="2">
        <f>VALUE(MID(L1699,1,FIND("@",L1699)-6))</f>
        <v>90</v>
      </c>
      <c r="N1699">
        <v>5</v>
      </c>
      <c r="O1699" t="str">
        <f>IF(datos_limpios[[#This Row],[Seating Capacity ]]&gt;4,"SI","NO")</f>
        <v>SI</v>
      </c>
      <c r="P1699">
        <v>44</v>
      </c>
    </row>
    <row r="1700" spans="1:16" x14ac:dyDescent="0.3">
      <c r="A1700" s="8" t="s">
        <v>60</v>
      </c>
      <c r="B1700" s="8" t="s">
        <v>554</v>
      </c>
      <c r="C1700" s="9">
        <v>1701</v>
      </c>
      <c r="D1700" s="3">
        <v>199000</v>
      </c>
      <c r="E1700" s="1">
        <f>datos_limpios[[#This Row],[Price INR   ]]*0.011</f>
        <v>2189</v>
      </c>
      <c r="F1700" s="13">
        <v>2011</v>
      </c>
      <c r="G1700" s="2">
        <v>192326</v>
      </c>
      <c r="H1700" s="8" t="s">
        <v>19</v>
      </c>
      <c r="I1700" s="8" t="s">
        <v>13</v>
      </c>
      <c r="J1700" s="8" t="s">
        <v>20</v>
      </c>
      <c r="K1700" t="s">
        <v>158</v>
      </c>
      <c r="L1700" t="s">
        <v>1508</v>
      </c>
      <c r="M1700" s="2">
        <f>VALUE(MID(L1700,1,FIND("@",L1700)-6))</f>
        <v>12</v>
      </c>
      <c r="N1700">
        <v>7</v>
      </c>
      <c r="O1700" t="str">
        <f>IF(datos_limpios[[#This Row],[Seating Capacity ]]&gt;4,"SI","NO")</f>
        <v>SI</v>
      </c>
      <c r="P1700">
        <v>65</v>
      </c>
    </row>
    <row r="1701" spans="1:16" x14ac:dyDescent="0.3">
      <c r="A1701" s="8" t="s">
        <v>60</v>
      </c>
      <c r="B1701" s="8" t="s">
        <v>554</v>
      </c>
      <c r="C1701" s="9">
        <v>1702</v>
      </c>
      <c r="D1701" s="3">
        <v>250999</v>
      </c>
      <c r="E1701" s="1">
        <f>datos_limpios[[#This Row],[Price INR   ]]*0.011</f>
        <v>2760.989</v>
      </c>
      <c r="F1701" s="13">
        <v>2011</v>
      </c>
      <c r="G1701" s="2">
        <v>98000</v>
      </c>
      <c r="H1701" s="8" t="s">
        <v>19</v>
      </c>
      <c r="I1701" s="8" t="s">
        <v>13</v>
      </c>
      <c r="J1701" s="8" t="s">
        <v>77</v>
      </c>
      <c r="K1701" t="s">
        <v>158</v>
      </c>
      <c r="L1701" t="s">
        <v>1544</v>
      </c>
      <c r="M1701" s="2">
        <f>VALUE(MID(L1701,1,FIND("@",L1701)-6))</f>
        <v>120</v>
      </c>
      <c r="N1701">
        <v>7</v>
      </c>
      <c r="O1701" t="str">
        <f>IF(datos_limpios[[#This Row],[Seating Capacity ]]&gt;4,"SI","NO")</f>
        <v>SI</v>
      </c>
      <c r="P1701">
        <v>65</v>
      </c>
    </row>
    <row r="1702" spans="1:16" x14ac:dyDescent="0.3">
      <c r="A1702" s="8" t="s">
        <v>60</v>
      </c>
      <c r="B1702" s="8" t="s">
        <v>506</v>
      </c>
      <c r="C1702" s="9">
        <v>1703</v>
      </c>
      <c r="D1702" s="3">
        <v>375000</v>
      </c>
      <c r="E1702" s="1">
        <f>datos_limpios[[#This Row],[Price INR   ]]*0.011</f>
        <v>4125</v>
      </c>
      <c r="F1702" s="13">
        <v>2013</v>
      </c>
      <c r="G1702" s="2">
        <v>97000</v>
      </c>
      <c r="H1702" s="8" t="s">
        <v>19</v>
      </c>
      <c r="I1702" s="8" t="s">
        <v>13</v>
      </c>
      <c r="J1702" s="8" t="s">
        <v>101</v>
      </c>
      <c r="K1702" t="s">
        <v>158</v>
      </c>
      <c r="L1702" t="s">
        <v>507</v>
      </c>
      <c r="M1702" s="2">
        <f>VALUE(MID(L1702,1,FIND("@",L1702)-6))</f>
        <v>138</v>
      </c>
      <c r="N1702">
        <v>7</v>
      </c>
      <c r="O1702" t="str">
        <f>IF(datos_limpios[[#This Row],[Seating Capacity ]]&gt;4,"SI","NO")</f>
        <v>SI</v>
      </c>
      <c r="P1702">
        <v>55</v>
      </c>
    </row>
    <row r="1703" spans="1:16" x14ac:dyDescent="0.3">
      <c r="A1703" s="8" t="s">
        <v>60</v>
      </c>
      <c r="B1703" s="8" t="s">
        <v>1189</v>
      </c>
      <c r="C1703" s="9">
        <v>1704</v>
      </c>
      <c r="D1703" s="3">
        <v>375000</v>
      </c>
      <c r="E1703" s="1">
        <f>datos_limpios[[#This Row],[Price INR   ]]*0.011</f>
        <v>4125</v>
      </c>
      <c r="F1703" s="13">
        <v>2018</v>
      </c>
      <c r="G1703" s="2">
        <v>48144</v>
      </c>
      <c r="H1703" s="8" t="s">
        <v>12</v>
      </c>
      <c r="I1703" s="8" t="s">
        <v>13</v>
      </c>
      <c r="J1703" s="8" t="s">
        <v>14</v>
      </c>
      <c r="K1703" t="s">
        <v>97</v>
      </c>
      <c r="L1703" t="s">
        <v>110</v>
      </c>
      <c r="M1703" s="2">
        <f>VALUE(MID(L1703,1,FIND("@",L1703)-6))</f>
        <v>84</v>
      </c>
      <c r="N1703">
        <v>5</v>
      </c>
      <c r="O1703" t="str">
        <f>IF(datos_limpios[[#This Row],[Seating Capacity ]]&gt;4,"SI","NO")</f>
        <v>SI</v>
      </c>
      <c r="P1703">
        <v>35</v>
      </c>
    </row>
    <row r="1704" spans="1:16" x14ac:dyDescent="0.3">
      <c r="A1704" s="8" t="s">
        <v>60</v>
      </c>
      <c r="B1704" s="8" t="s">
        <v>661</v>
      </c>
      <c r="C1704" s="9">
        <v>1705</v>
      </c>
      <c r="D1704" s="3">
        <v>379000</v>
      </c>
      <c r="E1704" s="1">
        <f>datos_limpios[[#This Row],[Price INR   ]]*0.011</f>
        <v>4169</v>
      </c>
      <c r="F1704" s="13">
        <v>2018</v>
      </c>
      <c r="G1704" s="2">
        <v>29434</v>
      </c>
      <c r="H1704" s="8" t="s">
        <v>12</v>
      </c>
      <c r="I1704" s="8" t="s">
        <v>13</v>
      </c>
      <c r="J1704" s="8" t="s">
        <v>77</v>
      </c>
      <c r="K1704" t="s">
        <v>112</v>
      </c>
      <c r="L1704" t="s">
        <v>113</v>
      </c>
      <c r="M1704" s="2">
        <f>VALUE(MID(L1704,1,FIND("@",L1704)-6))</f>
        <v>69</v>
      </c>
      <c r="N1704">
        <v>5</v>
      </c>
      <c r="O1704" t="str">
        <f>IF(datos_limpios[[#This Row],[Seating Capacity ]]&gt;4,"SI","NO")</f>
        <v>SI</v>
      </c>
      <c r="P1704">
        <v>35</v>
      </c>
    </row>
    <row r="1705" spans="1:16" x14ac:dyDescent="0.3">
      <c r="A1705" s="8" t="s">
        <v>60</v>
      </c>
      <c r="B1705" s="8" t="s">
        <v>109</v>
      </c>
      <c r="C1705" s="9">
        <v>1706</v>
      </c>
      <c r="D1705" s="3">
        <v>395000</v>
      </c>
      <c r="E1705" s="1">
        <f>datos_limpios[[#This Row],[Price INR   ]]*0.011</f>
        <v>4345</v>
      </c>
      <c r="F1705" s="13">
        <v>2017</v>
      </c>
      <c r="G1705" s="2">
        <v>46992</v>
      </c>
      <c r="H1705" s="8" t="s">
        <v>12</v>
      </c>
      <c r="I1705" s="8" t="s">
        <v>13</v>
      </c>
      <c r="J1705" s="8" t="s">
        <v>20</v>
      </c>
      <c r="K1705" t="s">
        <v>97</v>
      </c>
      <c r="L1705" t="s">
        <v>110</v>
      </c>
      <c r="M1705" s="2">
        <f>VALUE(MID(L1705,1,FIND("@",L1705)-6))</f>
        <v>84</v>
      </c>
      <c r="N1705">
        <v>5</v>
      </c>
      <c r="O1705" t="str">
        <f>IF(datos_limpios[[#This Row],[Seating Capacity ]]&gt;4,"SI","NO")</f>
        <v>SI</v>
      </c>
      <c r="P1705">
        <v>35</v>
      </c>
    </row>
    <row r="1706" spans="1:16" x14ac:dyDescent="0.3">
      <c r="A1706" s="8" t="s">
        <v>60</v>
      </c>
      <c r="B1706" s="8" t="s">
        <v>1079</v>
      </c>
      <c r="C1706" s="9">
        <v>1707</v>
      </c>
      <c r="D1706" s="3">
        <v>400000</v>
      </c>
      <c r="E1706" s="1">
        <f>datos_limpios[[#This Row],[Price INR   ]]*0.011</f>
        <v>4400</v>
      </c>
      <c r="F1706" s="13">
        <v>2018</v>
      </c>
      <c r="G1706" s="2">
        <v>91460</v>
      </c>
      <c r="H1706" s="8" t="s">
        <v>12</v>
      </c>
      <c r="I1706" s="8" t="s">
        <v>13</v>
      </c>
      <c r="J1706" s="8" t="s">
        <v>101</v>
      </c>
      <c r="K1706" t="s">
        <v>97</v>
      </c>
      <c r="L1706" t="s">
        <v>110</v>
      </c>
      <c r="M1706" s="2">
        <f>VALUE(MID(L1706,1,FIND("@",L1706)-6))</f>
        <v>84</v>
      </c>
      <c r="N1706">
        <v>5</v>
      </c>
      <c r="O1706" t="str">
        <f>IF(datos_limpios[[#This Row],[Seating Capacity ]]&gt;4,"SI","NO")</f>
        <v>SI</v>
      </c>
      <c r="P1706">
        <v>35</v>
      </c>
    </row>
    <row r="1707" spans="1:16" x14ac:dyDescent="0.3">
      <c r="A1707" s="8" t="s">
        <v>60</v>
      </c>
      <c r="B1707" s="8" t="s">
        <v>109</v>
      </c>
      <c r="C1707" s="9">
        <v>1708</v>
      </c>
      <c r="D1707" s="3">
        <v>409000</v>
      </c>
      <c r="E1707" s="1">
        <f>datos_limpios[[#This Row],[Price INR   ]]*0.011</f>
        <v>4499</v>
      </c>
      <c r="F1707" s="13">
        <v>2018</v>
      </c>
      <c r="G1707" s="2">
        <v>27069</v>
      </c>
      <c r="H1707" s="8" t="s">
        <v>12</v>
      </c>
      <c r="I1707" s="8" t="s">
        <v>13</v>
      </c>
      <c r="J1707" s="8" t="s">
        <v>20</v>
      </c>
      <c r="K1707" t="s">
        <v>97</v>
      </c>
      <c r="L1707" t="s">
        <v>110</v>
      </c>
      <c r="M1707" s="2">
        <f>VALUE(MID(L1707,1,FIND("@",L1707)-6))</f>
        <v>84</v>
      </c>
      <c r="N1707">
        <v>5</v>
      </c>
      <c r="O1707" t="str">
        <f>IF(datos_limpios[[#This Row],[Seating Capacity ]]&gt;4,"SI","NO")</f>
        <v>SI</v>
      </c>
      <c r="P1707">
        <v>35</v>
      </c>
    </row>
    <row r="1708" spans="1:16" x14ac:dyDescent="0.3">
      <c r="A1708" s="8" t="s">
        <v>60</v>
      </c>
      <c r="B1708" s="8" t="s">
        <v>247</v>
      </c>
      <c r="C1708" s="9">
        <v>1709</v>
      </c>
      <c r="D1708" s="3">
        <v>425000</v>
      </c>
      <c r="E1708" s="1">
        <f>datos_limpios[[#This Row],[Price INR   ]]*0.011</f>
        <v>4675</v>
      </c>
      <c r="F1708" s="13">
        <v>2017</v>
      </c>
      <c r="G1708" s="2">
        <v>39000</v>
      </c>
      <c r="H1708" s="8" t="s">
        <v>19</v>
      </c>
      <c r="I1708" s="8" t="s">
        <v>13</v>
      </c>
      <c r="J1708" s="8" t="s">
        <v>77</v>
      </c>
      <c r="K1708" t="s">
        <v>21</v>
      </c>
      <c r="L1708" t="s">
        <v>22</v>
      </c>
      <c r="M1708" s="2">
        <f>VALUE(MID(L1708,1,FIND("@",L1708)-6))</f>
        <v>74</v>
      </c>
      <c r="N1708">
        <v>5</v>
      </c>
      <c r="O1708" t="str">
        <f>IF(datos_limpios[[#This Row],[Seating Capacity ]]&gt;4,"SI","NO")</f>
        <v>SI</v>
      </c>
      <c r="P1708">
        <v>44</v>
      </c>
    </row>
    <row r="1709" spans="1:16" x14ac:dyDescent="0.3">
      <c r="A1709" s="8" t="s">
        <v>60</v>
      </c>
      <c r="B1709" s="8" t="s">
        <v>506</v>
      </c>
      <c r="C1709" s="9">
        <v>1710</v>
      </c>
      <c r="D1709" s="3">
        <v>425000</v>
      </c>
      <c r="E1709" s="1">
        <f>datos_limpios[[#This Row],[Price INR   ]]*0.011</f>
        <v>4675</v>
      </c>
      <c r="F1709" s="13">
        <v>2013</v>
      </c>
      <c r="G1709" s="2">
        <v>96000</v>
      </c>
      <c r="H1709" s="8" t="s">
        <v>19</v>
      </c>
      <c r="I1709" s="8" t="s">
        <v>13</v>
      </c>
      <c r="J1709" s="8" t="s">
        <v>20</v>
      </c>
      <c r="K1709" t="s">
        <v>158</v>
      </c>
      <c r="L1709" t="s">
        <v>507</v>
      </c>
      <c r="M1709" s="2">
        <f>VALUE(MID(L1709,1,FIND("@",L1709)-6))</f>
        <v>138</v>
      </c>
      <c r="N1709">
        <v>7</v>
      </c>
      <c r="O1709" t="str">
        <f>IF(datos_limpios[[#This Row],[Seating Capacity ]]&gt;4,"SI","NO")</f>
        <v>SI</v>
      </c>
      <c r="P1709">
        <v>55</v>
      </c>
    </row>
    <row r="1710" spans="1:16" x14ac:dyDescent="0.3">
      <c r="A1710" s="8" t="s">
        <v>60</v>
      </c>
      <c r="B1710" s="8" t="s">
        <v>851</v>
      </c>
      <c r="C1710" s="9">
        <v>1711</v>
      </c>
      <c r="D1710" s="3">
        <v>449000</v>
      </c>
      <c r="E1710" s="1">
        <f>datos_limpios[[#This Row],[Price INR   ]]*0.011</f>
        <v>4939</v>
      </c>
      <c r="F1710" s="13">
        <v>2018</v>
      </c>
      <c r="G1710" s="2">
        <v>53512</v>
      </c>
      <c r="H1710" s="8" t="s">
        <v>12</v>
      </c>
      <c r="I1710" s="8" t="s">
        <v>13</v>
      </c>
      <c r="J1710" s="8" t="s">
        <v>62</v>
      </c>
      <c r="K1710" t="s">
        <v>97</v>
      </c>
      <c r="L1710" t="s">
        <v>110</v>
      </c>
      <c r="M1710" s="2">
        <f>VALUE(MID(L1710,1,FIND("@",L1710)-6))</f>
        <v>84</v>
      </c>
      <c r="N1710">
        <v>5</v>
      </c>
      <c r="O1710" t="str">
        <f>IF(datos_limpios[[#This Row],[Seating Capacity ]]&gt;4,"SI","NO")</f>
        <v>SI</v>
      </c>
      <c r="P1710">
        <v>35</v>
      </c>
    </row>
    <row r="1711" spans="1:16" x14ac:dyDescent="0.3">
      <c r="A1711" s="8" t="s">
        <v>60</v>
      </c>
      <c r="B1711" s="8" t="s">
        <v>148</v>
      </c>
      <c r="C1711" s="9">
        <v>1712</v>
      </c>
      <c r="D1711" s="3">
        <v>475000</v>
      </c>
      <c r="E1711" s="1">
        <f>datos_limpios[[#This Row],[Price INR   ]]*0.011</f>
        <v>5225</v>
      </c>
      <c r="F1711" s="13">
        <v>2017</v>
      </c>
      <c r="G1711" s="2">
        <v>34867</v>
      </c>
      <c r="H1711" s="8" t="s">
        <v>12</v>
      </c>
      <c r="I1711" s="8" t="s">
        <v>40</v>
      </c>
      <c r="J1711" s="8" t="s">
        <v>77</v>
      </c>
      <c r="K1711" t="s">
        <v>97</v>
      </c>
      <c r="L1711" t="s">
        <v>110</v>
      </c>
      <c r="M1711" s="2">
        <f>VALUE(MID(L1711,1,FIND("@",L1711)-6))</f>
        <v>84</v>
      </c>
      <c r="N1711">
        <v>5</v>
      </c>
      <c r="O1711" t="str">
        <f>IF(datos_limpios[[#This Row],[Seating Capacity ]]&gt;4,"SI","NO")</f>
        <v>SI</v>
      </c>
      <c r="P1711">
        <v>35</v>
      </c>
    </row>
    <row r="1712" spans="1:16" x14ac:dyDescent="0.3">
      <c r="A1712" s="8" t="s">
        <v>60</v>
      </c>
      <c r="B1712" s="8" t="s">
        <v>537</v>
      </c>
      <c r="C1712" s="9">
        <v>1713</v>
      </c>
      <c r="D1712" s="3">
        <v>484999</v>
      </c>
      <c r="E1712" s="1">
        <f>datos_limpios[[#This Row],[Price INR   ]]*0.011</f>
        <v>5334.9889999999996</v>
      </c>
      <c r="F1712" s="13">
        <v>2018</v>
      </c>
      <c r="G1712" s="2">
        <v>35000</v>
      </c>
      <c r="H1712" s="8" t="s">
        <v>12</v>
      </c>
      <c r="I1712" s="8" t="s">
        <v>40</v>
      </c>
      <c r="J1712" s="8" t="s">
        <v>57</v>
      </c>
      <c r="K1712" t="s">
        <v>97</v>
      </c>
      <c r="L1712" t="s">
        <v>110</v>
      </c>
      <c r="M1712" s="2">
        <f>VALUE(MID(L1712,1,FIND("@",L1712)-6))</f>
        <v>84</v>
      </c>
      <c r="N1712">
        <v>5</v>
      </c>
      <c r="O1712" t="str">
        <f>IF(datos_limpios[[#This Row],[Seating Capacity ]]&gt;4,"SI","NO")</f>
        <v>SI</v>
      </c>
      <c r="P1712">
        <v>35</v>
      </c>
    </row>
    <row r="1713" spans="1:16" x14ac:dyDescent="0.3">
      <c r="A1713" s="8" t="s">
        <v>60</v>
      </c>
      <c r="B1713" s="8" t="s">
        <v>111</v>
      </c>
      <c r="C1713" s="9">
        <v>1714</v>
      </c>
      <c r="D1713" s="3">
        <v>490000</v>
      </c>
      <c r="E1713" s="1">
        <f>datos_limpios[[#This Row],[Price INR   ]]*0.011</f>
        <v>5390</v>
      </c>
      <c r="F1713" s="13">
        <v>2018</v>
      </c>
      <c r="G1713" s="2">
        <v>43000</v>
      </c>
      <c r="H1713" s="8" t="s">
        <v>19</v>
      </c>
      <c r="I1713" s="8" t="s">
        <v>13</v>
      </c>
      <c r="J1713" s="8" t="s">
        <v>20</v>
      </c>
      <c r="K1713" t="s">
        <v>112</v>
      </c>
      <c r="L1713" t="s">
        <v>113</v>
      </c>
      <c r="M1713" s="2">
        <f>VALUE(MID(L1713,1,FIND("@",L1713)-6))</f>
        <v>69</v>
      </c>
      <c r="N1713">
        <v>5</v>
      </c>
      <c r="O1713" t="str">
        <f>IF(datos_limpios[[#This Row],[Seating Capacity ]]&gt;4,"SI","NO")</f>
        <v>SI</v>
      </c>
      <c r="P1713">
        <v>35</v>
      </c>
    </row>
    <row r="1714" spans="1:16" x14ac:dyDescent="0.3">
      <c r="A1714" s="8" t="s">
        <v>60</v>
      </c>
      <c r="B1714" s="8" t="s">
        <v>1386</v>
      </c>
      <c r="C1714" s="9">
        <v>1715</v>
      </c>
      <c r="D1714" s="3">
        <v>525000</v>
      </c>
      <c r="E1714" s="1">
        <f>datos_limpios[[#This Row],[Price INR   ]]*0.011</f>
        <v>5775</v>
      </c>
      <c r="F1714" s="13">
        <v>2019</v>
      </c>
      <c r="G1714" s="2">
        <v>32000</v>
      </c>
      <c r="H1714" s="8" t="s">
        <v>12</v>
      </c>
      <c r="I1714" s="8" t="s">
        <v>13</v>
      </c>
      <c r="J1714" s="8" t="s">
        <v>115</v>
      </c>
      <c r="K1714" t="s">
        <v>97</v>
      </c>
      <c r="L1714" t="s">
        <v>110</v>
      </c>
      <c r="M1714" s="2">
        <f>VALUE(MID(L1714,1,FIND("@",L1714)-6))</f>
        <v>84</v>
      </c>
      <c r="N1714">
        <v>5</v>
      </c>
      <c r="O1714" t="str">
        <f>IF(datos_limpios[[#This Row],[Seating Capacity ]]&gt;4,"SI","NO")</f>
        <v>SI</v>
      </c>
      <c r="P1714">
        <v>35</v>
      </c>
    </row>
    <row r="1715" spans="1:16" x14ac:dyDescent="0.3">
      <c r="A1715" s="8" t="s">
        <v>60</v>
      </c>
      <c r="B1715" s="8" t="s">
        <v>1200</v>
      </c>
      <c r="C1715" s="9">
        <v>1716</v>
      </c>
      <c r="D1715" s="3">
        <v>530000</v>
      </c>
      <c r="E1715" s="1">
        <f>datos_limpios[[#This Row],[Price INR   ]]*0.011</f>
        <v>5830</v>
      </c>
      <c r="F1715" s="13">
        <v>2020</v>
      </c>
      <c r="G1715" s="2">
        <v>5923</v>
      </c>
      <c r="H1715" s="8" t="s">
        <v>19</v>
      </c>
      <c r="I1715" s="8" t="s">
        <v>13</v>
      </c>
      <c r="J1715" s="8" t="s">
        <v>20</v>
      </c>
      <c r="K1715" t="s">
        <v>21</v>
      </c>
      <c r="L1715" t="s">
        <v>22</v>
      </c>
      <c r="M1715" s="2">
        <f>VALUE(MID(L1715,1,FIND("@",L1715)-6))</f>
        <v>74</v>
      </c>
      <c r="N1715">
        <v>5</v>
      </c>
      <c r="O1715" t="str">
        <f>IF(datos_limpios[[#This Row],[Seating Capacity ]]&gt;4,"SI","NO")</f>
        <v>SI</v>
      </c>
      <c r="P1715">
        <v>44</v>
      </c>
    </row>
    <row r="1716" spans="1:16" x14ac:dyDescent="0.3">
      <c r="A1716" s="8" t="s">
        <v>60</v>
      </c>
      <c r="B1716" s="8" t="s">
        <v>1220</v>
      </c>
      <c r="C1716" s="9">
        <v>1717</v>
      </c>
      <c r="D1716" s="3">
        <v>555000</v>
      </c>
      <c r="E1716" s="1">
        <f>datos_limpios[[#This Row],[Price INR   ]]*0.011</f>
        <v>6105</v>
      </c>
      <c r="F1716" s="13">
        <v>2018</v>
      </c>
      <c r="G1716" s="2">
        <v>20000</v>
      </c>
      <c r="H1716" s="8" t="s">
        <v>12</v>
      </c>
      <c r="I1716" s="8" t="s">
        <v>40</v>
      </c>
      <c r="J1716" s="8" t="s">
        <v>30</v>
      </c>
      <c r="K1716" t="s">
        <v>97</v>
      </c>
      <c r="L1716" t="s">
        <v>110</v>
      </c>
      <c r="M1716" s="2">
        <f>VALUE(MID(L1716,1,FIND("@",L1716)-6))</f>
        <v>84</v>
      </c>
      <c r="N1716">
        <v>5</v>
      </c>
      <c r="O1716" t="str">
        <f>IF(datos_limpios[[#This Row],[Seating Capacity ]]&gt;4,"SI","NO")</f>
        <v>SI</v>
      </c>
      <c r="P1716">
        <v>35</v>
      </c>
    </row>
    <row r="1717" spans="1:16" x14ac:dyDescent="0.3">
      <c r="A1717" s="8" t="s">
        <v>60</v>
      </c>
      <c r="B1717" s="8" t="s">
        <v>463</v>
      </c>
      <c r="C1717" s="9">
        <v>1718</v>
      </c>
      <c r="D1717" s="3">
        <v>565000</v>
      </c>
      <c r="E1717" s="1">
        <f>datos_limpios[[#This Row],[Price INR   ]]*0.011</f>
        <v>6215</v>
      </c>
      <c r="F1717" s="13">
        <v>2014</v>
      </c>
      <c r="G1717" s="2">
        <v>100472</v>
      </c>
      <c r="H1717" s="8" t="s">
        <v>19</v>
      </c>
      <c r="I1717" s="8" t="s">
        <v>13</v>
      </c>
      <c r="J1717" s="8" t="s">
        <v>20</v>
      </c>
      <c r="K1717" t="s">
        <v>464</v>
      </c>
      <c r="L1717" t="s">
        <v>1507</v>
      </c>
      <c r="M1717" s="2">
        <f>VALUE(MID(L1717,1,FIND("@",L1717)-6))</f>
        <v>90</v>
      </c>
      <c r="N1717">
        <v>7</v>
      </c>
      <c r="O1717" t="str">
        <f>IF(datos_limpios[[#This Row],[Seating Capacity ]]&gt;4,"SI","NO")</f>
        <v>SI</v>
      </c>
      <c r="P1717">
        <v>65</v>
      </c>
    </row>
    <row r="1718" spans="1:16" x14ac:dyDescent="0.3">
      <c r="A1718" s="8" t="s">
        <v>60</v>
      </c>
      <c r="B1718" s="8" t="s">
        <v>506</v>
      </c>
      <c r="C1718" s="9">
        <v>1719</v>
      </c>
      <c r="D1718" s="3">
        <v>575000</v>
      </c>
      <c r="E1718" s="1">
        <f>datos_limpios[[#This Row],[Price INR   ]]*0.011</f>
        <v>6325</v>
      </c>
      <c r="F1718" s="13">
        <v>2013</v>
      </c>
      <c r="G1718" s="2">
        <v>72000</v>
      </c>
      <c r="H1718" s="8" t="s">
        <v>19</v>
      </c>
      <c r="I1718" s="8" t="s">
        <v>13</v>
      </c>
      <c r="J1718" s="8" t="s">
        <v>20</v>
      </c>
      <c r="K1718" t="s">
        <v>158</v>
      </c>
      <c r="L1718" t="s">
        <v>507</v>
      </c>
      <c r="M1718" s="2">
        <f>VALUE(MID(L1718,1,FIND("@",L1718)-6))</f>
        <v>138</v>
      </c>
      <c r="N1718">
        <v>7</v>
      </c>
      <c r="O1718" t="str">
        <f>IF(datos_limpios[[#This Row],[Seating Capacity ]]&gt;4,"SI","NO")</f>
        <v>SI</v>
      </c>
      <c r="P1718">
        <v>55</v>
      </c>
    </row>
    <row r="1719" spans="1:16" x14ac:dyDescent="0.3">
      <c r="A1719" s="8" t="s">
        <v>60</v>
      </c>
      <c r="B1719" s="8" t="s">
        <v>1403</v>
      </c>
      <c r="C1719" s="9">
        <v>1720</v>
      </c>
      <c r="D1719" s="3">
        <v>575000</v>
      </c>
      <c r="E1719" s="1">
        <f>datos_limpios[[#This Row],[Price INR   ]]*0.011</f>
        <v>6325</v>
      </c>
      <c r="F1719" s="13">
        <v>2020</v>
      </c>
      <c r="G1719" s="2">
        <v>40000</v>
      </c>
      <c r="H1719" s="8" t="s">
        <v>12</v>
      </c>
      <c r="I1719" s="8" t="s">
        <v>13</v>
      </c>
      <c r="J1719" s="8" t="s">
        <v>20</v>
      </c>
      <c r="K1719" t="s">
        <v>97</v>
      </c>
      <c r="L1719" t="s">
        <v>92</v>
      </c>
      <c r="M1719" s="2">
        <f>VALUE(MID(L1719,1,FIND("@",L1719)-6))</f>
        <v>85</v>
      </c>
      <c r="N1719">
        <v>5</v>
      </c>
      <c r="O1719" t="str">
        <f>IF(datos_limpios[[#This Row],[Seating Capacity ]]&gt;4,"SI","NO")</f>
        <v>SI</v>
      </c>
      <c r="P1719">
        <v>37</v>
      </c>
    </row>
    <row r="1720" spans="1:16" x14ac:dyDescent="0.3">
      <c r="A1720" s="8" t="s">
        <v>60</v>
      </c>
      <c r="B1720" s="8" t="s">
        <v>372</v>
      </c>
      <c r="C1720" s="9">
        <v>1721</v>
      </c>
      <c r="D1720" s="3">
        <v>580000</v>
      </c>
      <c r="E1720" s="1">
        <f>datos_limpios[[#This Row],[Price INR   ]]*0.011</f>
        <v>6380</v>
      </c>
      <c r="F1720" s="13">
        <v>2018</v>
      </c>
      <c r="G1720" s="2">
        <v>81000</v>
      </c>
      <c r="H1720" s="8" t="s">
        <v>12</v>
      </c>
      <c r="I1720" s="8" t="s">
        <v>40</v>
      </c>
      <c r="J1720" s="8" t="s">
        <v>30</v>
      </c>
      <c r="K1720" t="s">
        <v>15</v>
      </c>
      <c r="L1720" t="s">
        <v>373</v>
      </c>
      <c r="M1720" s="2">
        <f>VALUE(MID(L1720,1,FIND("@",L1720)-6))</f>
        <v>108</v>
      </c>
      <c r="N1720">
        <v>5</v>
      </c>
      <c r="O1720" t="str">
        <f>IF(datos_limpios[[#This Row],[Seating Capacity ]]&gt;4,"SI","NO")</f>
        <v>SI</v>
      </c>
      <c r="P1720">
        <v>44</v>
      </c>
    </row>
    <row r="1721" spans="1:16" x14ac:dyDescent="0.3">
      <c r="A1721" s="8" t="s">
        <v>60</v>
      </c>
      <c r="B1721" s="8" t="s">
        <v>537</v>
      </c>
      <c r="C1721" s="9">
        <v>1722</v>
      </c>
      <c r="D1721" s="3">
        <v>585000</v>
      </c>
      <c r="E1721" s="1">
        <f>datos_limpios[[#This Row],[Price INR   ]]*0.011</f>
        <v>6435</v>
      </c>
      <c r="F1721" s="13">
        <v>2019</v>
      </c>
      <c r="G1721" s="2">
        <v>12000</v>
      </c>
      <c r="H1721" s="8" t="s">
        <v>12</v>
      </c>
      <c r="I1721" s="8" t="s">
        <v>40</v>
      </c>
      <c r="J1721" s="8" t="s">
        <v>77</v>
      </c>
      <c r="K1721" t="s">
        <v>97</v>
      </c>
      <c r="L1721" t="s">
        <v>110</v>
      </c>
      <c r="M1721" s="2">
        <f>VALUE(MID(L1721,1,FIND("@",L1721)-6))</f>
        <v>84</v>
      </c>
      <c r="N1721">
        <v>5</v>
      </c>
      <c r="O1721" t="str">
        <f>IF(datos_limpios[[#This Row],[Seating Capacity ]]&gt;4,"SI","NO")</f>
        <v>SI</v>
      </c>
      <c r="P1721">
        <v>35</v>
      </c>
    </row>
    <row r="1722" spans="1:16" x14ac:dyDescent="0.3">
      <c r="A1722" s="8" t="s">
        <v>60</v>
      </c>
      <c r="B1722" s="8" t="s">
        <v>1287</v>
      </c>
      <c r="C1722" s="9">
        <v>1723</v>
      </c>
      <c r="D1722" s="3">
        <v>725000</v>
      </c>
      <c r="E1722" s="1">
        <f>datos_limpios[[#This Row],[Price INR   ]]*0.011</f>
        <v>7974.9999999999991</v>
      </c>
      <c r="F1722" s="13">
        <v>2018</v>
      </c>
      <c r="G1722" s="2">
        <v>65000</v>
      </c>
      <c r="H1722" s="8" t="s">
        <v>19</v>
      </c>
      <c r="I1722" s="8" t="s">
        <v>13</v>
      </c>
      <c r="J1722" s="8" t="s">
        <v>20</v>
      </c>
      <c r="K1722" t="s">
        <v>165</v>
      </c>
      <c r="L1722" t="s">
        <v>704</v>
      </c>
      <c r="M1722" s="2">
        <f>VALUE(MID(L1722,1,FIND("@",L1722)-6))</f>
        <v>108</v>
      </c>
      <c r="N1722">
        <v>5</v>
      </c>
      <c r="O1722" t="str">
        <f>IF(datos_limpios[[#This Row],[Seating Capacity ]]&gt;4,"SI","NO")</f>
        <v>SI</v>
      </c>
      <c r="P1722">
        <v>44</v>
      </c>
    </row>
    <row r="1723" spans="1:16" x14ac:dyDescent="0.3">
      <c r="A1723" s="8" t="s">
        <v>60</v>
      </c>
      <c r="B1723" s="8" t="s">
        <v>970</v>
      </c>
      <c r="C1723" s="9">
        <v>1724</v>
      </c>
      <c r="D1723" s="3">
        <v>740000</v>
      </c>
      <c r="E1723" s="1">
        <f>datos_limpios[[#This Row],[Price INR   ]]*0.011</f>
        <v>8139.9999999999991</v>
      </c>
      <c r="F1723" s="13">
        <v>2015</v>
      </c>
      <c r="G1723" s="2">
        <v>155000</v>
      </c>
      <c r="H1723" s="8" t="s">
        <v>19</v>
      </c>
      <c r="I1723" s="8" t="s">
        <v>13</v>
      </c>
      <c r="J1723" s="8" t="s">
        <v>101</v>
      </c>
      <c r="K1723" t="s">
        <v>158</v>
      </c>
      <c r="L1723" t="s">
        <v>507</v>
      </c>
      <c r="M1723" s="2">
        <f>VALUE(MID(L1723,1,FIND("@",L1723)-6))</f>
        <v>138</v>
      </c>
      <c r="N1723">
        <v>7</v>
      </c>
      <c r="O1723" t="str">
        <f>IF(datos_limpios[[#This Row],[Seating Capacity ]]&gt;4,"SI","NO")</f>
        <v>SI</v>
      </c>
      <c r="P1723">
        <v>55</v>
      </c>
    </row>
    <row r="1724" spans="1:16" x14ac:dyDescent="0.3">
      <c r="A1724" s="8" t="s">
        <v>60</v>
      </c>
      <c r="B1724" s="8" t="s">
        <v>993</v>
      </c>
      <c r="C1724" s="9">
        <v>1725</v>
      </c>
      <c r="D1724" s="3">
        <v>750000</v>
      </c>
      <c r="E1724" s="1">
        <f>datos_limpios[[#This Row],[Price INR   ]]*0.011</f>
        <v>8250</v>
      </c>
      <c r="F1724" s="13">
        <v>2019</v>
      </c>
      <c r="G1724" s="2">
        <v>33000</v>
      </c>
      <c r="H1724" s="8" t="s">
        <v>12</v>
      </c>
      <c r="I1724" s="8" t="s">
        <v>13</v>
      </c>
      <c r="J1724" s="8" t="s">
        <v>77</v>
      </c>
      <c r="K1724" t="s">
        <v>15</v>
      </c>
      <c r="L1724" t="s">
        <v>373</v>
      </c>
      <c r="M1724" s="2">
        <f>VALUE(MID(L1724,1,FIND("@",L1724)-6))</f>
        <v>108</v>
      </c>
      <c r="N1724">
        <v>5</v>
      </c>
      <c r="O1724" t="str">
        <f>IF(datos_limpios[[#This Row],[Seating Capacity ]]&gt;4,"SI","NO")</f>
        <v>SI</v>
      </c>
      <c r="P1724">
        <v>44</v>
      </c>
    </row>
    <row r="1725" spans="1:16" x14ac:dyDescent="0.3">
      <c r="A1725" s="8" t="s">
        <v>60</v>
      </c>
      <c r="B1725" s="8" t="s">
        <v>993</v>
      </c>
      <c r="C1725" s="9">
        <v>1726</v>
      </c>
      <c r="D1725" s="3">
        <v>760000</v>
      </c>
      <c r="E1725" s="1">
        <f>datos_limpios[[#This Row],[Price INR   ]]*0.011</f>
        <v>8360</v>
      </c>
      <c r="F1725" s="13">
        <v>2018</v>
      </c>
      <c r="G1725" s="2">
        <v>20251</v>
      </c>
      <c r="H1725" s="8" t="s">
        <v>12</v>
      </c>
      <c r="I1725" s="8" t="s">
        <v>13</v>
      </c>
      <c r="J1725" s="8" t="s">
        <v>14</v>
      </c>
      <c r="K1725" t="s">
        <v>15</v>
      </c>
      <c r="L1725" t="s">
        <v>373</v>
      </c>
      <c r="M1725" s="2">
        <f>VALUE(MID(L1725,1,FIND("@",L1725)-6))</f>
        <v>108</v>
      </c>
      <c r="N1725">
        <v>5</v>
      </c>
      <c r="O1725" t="str">
        <f>IF(datos_limpios[[#This Row],[Seating Capacity ]]&gt;4,"SI","NO")</f>
        <v>SI</v>
      </c>
      <c r="P1725">
        <v>44</v>
      </c>
    </row>
    <row r="1726" spans="1:16" x14ac:dyDescent="0.3">
      <c r="A1726" s="8" t="s">
        <v>60</v>
      </c>
      <c r="B1726" s="8" t="s">
        <v>1106</v>
      </c>
      <c r="C1726" s="9">
        <v>1727</v>
      </c>
      <c r="D1726" s="3">
        <v>795000</v>
      </c>
      <c r="E1726" s="1">
        <f>datos_limpios[[#This Row],[Price INR   ]]*0.011</f>
        <v>8745</v>
      </c>
      <c r="F1726" s="13">
        <v>2021</v>
      </c>
      <c r="G1726" s="2">
        <v>9000</v>
      </c>
      <c r="H1726" s="8" t="s">
        <v>12</v>
      </c>
      <c r="I1726" s="8" t="s">
        <v>40</v>
      </c>
      <c r="J1726" s="8" t="s">
        <v>82</v>
      </c>
      <c r="K1726" t="s">
        <v>97</v>
      </c>
      <c r="L1726" t="s">
        <v>110</v>
      </c>
      <c r="M1726" s="2">
        <f>VALUE(MID(L1726,1,FIND("@",L1726)-6))</f>
        <v>84</v>
      </c>
      <c r="N1726">
        <v>5</v>
      </c>
      <c r="O1726" t="str">
        <f>IF(datos_limpios[[#This Row],[Seating Capacity ]]&gt;4,"SI","NO")</f>
        <v>SI</v>
      </c>
      <c r="P1726">
        <v>35</v>
      </c>
    </row>
    <row r="1727" spans="1:16" x14ac:dyDescent="0.3">
      <c r="A1727" s="8" t="s">
        <v>60</v>
      </c>
      <c r="B1727" s="8" t="s">
        <v>1281</v>
      </c>
      <c r="C1727" s="9">
        <v>1728</v>
      </c>
      <c r="D1727" s="3">
        <v>850000</v>
      </c>
      <c r="E1727" s="1">
        <f>datos_limpios[[#This Row],[Price INR   ]]*0.011</f>
        <v>9350</v>
      </c>
      <c r="F1727" s="13">
        <v>2018</v>
      </c>
      <c r="G1727" s="2">
        <v>65000</v>
      </c>
      <c r="H1727" s="8" t="s">
        <v>19</v>
      </c>
      <c r="I1727" s="8" t="s">
        <v>13</v>
      </c>
      <c r="J1727" s="8" t="s">
        <v>20</v>
      </c>
      <c r="K1727" t="s">
        <v>158</v>
      </c>
      <c r="L1727" t="s">
        <v>609</v>
      </c>
      <c r="M1727" s="2">
        <f>VALUE(MID(L1727,1,FIND("@",L1727)-6))</f>
        <v>154</v>
      </c>
      <c r="N1727">
        <v>7</v>
      </c>
      <c r="O1727" t="str">
        <f>IF(datos_limpios[[#This Row],[Seating Capacity ]]&gt;4,"SI","NO")</f>
        <v>SI</v>
      </c>
      <c r="P1727">
        <v>60</v>
      </c>
    </row>
    <row r="1728" spans="1:16" x14ac:dyDescent="0.3">
      <c r="A1728" s="8" t="s">
        <v>60</v>
      </c>
      <c r="B1728" s="8" t="s">
        <v>703</v>
      </c>
      <c r="C1728" s="9">
        <v>1729</v>
      </c>
      <c r="D1728" s="3">
        <v>860000</v>
      </c>
      <c r="E1728" s="1">
        <f>datos_limpios[[#This Row],[Price INR   ]]*0.011</f>
        <v>9460</v>
      </c>
      <c r="F1728" s="13">
        <v>2018</v>
      </c>
      <c r="G1728" s="2">
        <v>82200</v>
      </c>
      <c r="H1728" s="8" t="s">
        <v>19</v>
      </c>
      <c r="I1728" s="8" t="s">
        <v>13</v>
      </c>
      <c r="J1728" s="8" t="s">
        <v>14</v>
      </c>
      <c r="K1728" t="s">
        <v>165</v>
      </c>
      <c r="L1728" t="s">
        <v>704</v>
      </c>
      <c r="M1728" s="2">
        <f>VALUE(MID(L1728,1,FIND("@",L1728)-6))</f>
        <v>108</v>
      </c>
      <c r="N1728">
        <v>5</v>
      </c>
      <c r="O1728" t="str">
        <f>IF(datos_limpios[[#This Row],[Seating Capacity ]]&gt;4,"SI","NO")</f>
        <v>SI</v>
      </c>
      <c r="P1728">
        <v>44</v>
      </c>
    </row>
    <row r="1729" spans="1:16" x14ac:dyDescent="0.3">
      <c r="A1729" s="8" t="s">
        <v>60</v>
      </c>
      <c r="B1729" s="8" t="s">
        <v>423</v>
      </c>
      <c r="C1729" s="9">
        <v>1730</v>
      </c>
      <c r="D1729" s="3">
        <v>890000</v>
      </c>
      <c r="E1729" s="1">
        <f>datos_limpios[[#This Row],[Price INR   ]]*0.011</f>
        <v>9790</v>
      </c>
      <c r="F1729" s="13">
        <v>2022</v>
      </c>
      <c r="G1729" s="2">
        <v>7500</v>
      </c>
      <c r="H1729" s="8" t="s">
        <v>12</v>
      </c>
      <c r="I1729" s="8" t="s">
        <v>13</v>
      </c>
      <c r="J1729" s="8" t="s">
        <v>20</v>
      </c>
      <c r="K1729" t="s">
        <v>97</v>
      </c>
      <c r="L1729" t="s">
        <v>110</v>
      </c>
      <c r="M1729" s="2">
        <f>VALUE(MID(L1729,1,FIND("@",L1729)-6))</f>
        <v>84</v>
      </c>
      <c r="N1729">
        <v>5</v>
      </c>
      <c r="O1729" t="str">
        <f>IF(datos_limpios[[#This Row],[Seating Capacity ]]&gt;4,"SI","NO")</f>
        <v>SI</v>
      </c>
      <c r="P1729">
        <v>37</v>
      </c>
    </row>
    <row r="1730" spans="1:16" x14ac:dyDescent="0.3">
      <c r="A1730" s="8" t="s">
        <v>60</v>
      </c>
      <c r="B1730" s="8" t="s">
        <v>419</v>
      </c>
      <c r="C1730" s="9">
        <v>1731</v>
      </c>
      <c r="D1730" s="3">
        <v>890000</v>
      </c>
      <c r="E1730" s="1">
        <f>datos_limpios[[#This Row],[Price INR   ]]*0.011</f>
        <v>9790</v>
      </c>
      <c r="F1730" s="13">
        <v>2018</v>
      </c>
      <c r="G1730" s="2">
        <v>35000</v>
      </c>
      <c r="H1730" s="8" t="s">
        <v>12</v>
      </c>
      <c r="I1730" s="8" t="s">
        <v>40</v>
      </c>
      <c r="J1730" s="8" t="s">
        <v>62</v>
      </c>
      <c r="K1730" t="s">
        <v>15</v>
      </c>
      <c r="L1730" t="s">
        <v>373</v>
      </c>
      <c r="M1730" s="2">
        <f>VALUE(MID(L1730,1,FIND("@",L1730)-6))</f>
        <v>108</v>
      </c>
      <c r="N1730">
        <v>5</v>
      </c>
      <c r="O1730" t="str">
        <f>IF(datos_limpios[[#This Row],[Seating Capacity ]]&gt;4,"SI","NO")</f>
        <v>SI</v>
      </c>
      <c r="P1730">
        <v>44</v>
      </c>
    </row>
    <row r="1731" spans="1:16" x14ac:dyDescent="0.3">
      <c r="A1731" s="8" t="s">
        <v>60</v>
      </c>
      <c r="B1731" s="8" t="s">
        <v>1367</v>
      </c>
      <c r="C1731" s="9">
        <v>1732</v>
      </c>
      <c r="D1731" s="3">
        <v>925000</v>
      </c>
      <c r="E1731" s="1">
        <f>datos_limpios[[#This Row],[Price INR   ]]*0.011</f>
        <v>10175</v>
      </c>
      <c r="F1731" s="13">
        <v>2017</v>
      </c>
      <c r="G1731" s="2">
        <v>28000</v>
      </c>
      <c r="H1731" s="8" t="s">
        <v>19</v>
      </c>
      <c r="I1731" s="8" t="s">
        <v>13</v>
      </c>
      <c r="J1731" s="8" t="s">
        <v>30</v>
      </c>
      <c r="K1731" t="s">
        <v>165</v>
      </c>
      <c r="L1731" t="s">
        <v>704</v>
      </c>
      <c r="M1731" s="2">
        <f>VALUE(MID(L1731,1,FIND("@",L1731)-6))</f>
        <v>108</v>
      </c>
      <c r="N1731">
        <v>5</v>
      </c>
      <c r="O1731" t="str">
        <f>IF(datos_limpios[[#This Row],[Seating Capacity ]]&gt;4,"SI","NO")</f>
        <v>SI</v>
      </c>
      <c r="P1731">
        <v>44</v>
      </c>
    </row>
    <row r="1732" spans="1:16" x14ac:dyDescent="0.3">
      <c r="A1732" s="8" t="s">
        <v>60</v>
      </c>
      <c r="B1732" s="8" t="s">
        <v>456</v>
      </c>
      <c r="C1732" s="9">
        <v>1733</v>
      </c>
      <c r="D1732" s="3">
        <v>1000000</v>
      </c>
      <c r="E1732" s="1">
        <f>datos_limpios[[#This Row],[Price INR   ]]*0.011</f>
        <v>11000</v>
      </c>
      <c r="F1732" s="13">
        <v>2018</v>
      </c>
      <c r="G1732" s="2">
        <v>38000</v>
      </c>
      <c r="H1732" s="8" t="s">
        <v>19</v>
      </c>
      <c r="I1732" s="8" t="s">
        <v>13</v>
      </c>
      <c r="J1732" s="8" t="s">
        <v>20</v>
      </c>
      <c r="K1732" t="s">
        <v>158</v>
      </c>
      <c r="L1732" t="s">
        <v>444</v>
      </c>
      <c r="M1732" s="2">
        <f>VALUE(MID(L1732,1,FIND("@",L1732)-6))</f>
        <v>148</v>
      </c>
      <c r="N1732">
        <v>7</v>
      </c>
      <c r="O1732" t="str">
        <f>IF(datos_limpios[[#This Row],[Seating Capacity ]]&gt;4,"SI","NO")</f>
        <v>SI</v>
      </c>
      <c r="P1732">
        <v>60</v>
      </c>
    </row>
    <row r="1733" spans="1:16" x14ac:dyDescent="0.3">
      <c r="A1733" s="8" t="s">
        <v>60</v>
      </c>
      <c r="B1733" s="8" t="s">
        <v>540</v>
      </c>
      <c r="C1733" s="9">
        <v>1734</v>
      </c>
      <c r="D1733" s="3">
        <v>1050000</v>
      </c>
      <c r="E1733" s="1">
        <f>datos_limpios[[#This Row],[Price INR   ]]*0.011</f>
        <v>11550</v>
      </c>
      <c r="F1733" s="13">
        <v>2022</v>
      </c>
      <c r="G1733" s="2">
        <v>1500</v>
      </c>
      <c r="H1733" s="8" t="s">
        <v>12</v>
      </c>
      <c r="I1733" s="8" t="s">
        <v>13</v>
      </c>
      <c r="J1733" s="8" t="s">
        <v>101</v>
      </c>
      <c r="K1733" t="s">
        <v>97</v>
      </c>
      <c r="L1733" t="s">
        <v>541</v>
      </c>
      <c r="M1733" s="2">
        <f>VALUE(MID(L1733,1,FIND("@",L1733)-6))</f>
        <v>118</v>
      </c>
      <c r="N1733">
        <v>5</v>
      </c>
      <c r="O1733" t="str">
        <f>IF(datos_limpios[[#This Row],[Seating Capacity ]]&gt;4,"SI","NO")</f>
        <v>SI</v>
      </c>
      <c r="P1733">
        <v>44</v>
      </c>
    </row>
    <row r="1734" spans="1:16" x14ac:dyDescent="0.3">
      <c r="A1734" s="8" t="s">
        <v>60</v>
      </c>
      <c r="B1734" s="8" t="s">
        <v>1352</v>
      </c>
      <c r="C1734" s="9">
        <v>1735</v>
      </c>
      <c r="D1734" s="3">
        <v>1050000</v>
      </c>
      <c r="E1734" s="1">
        <f>datos_limpios[[#This Row],[Price INR   ]]*0.011</f>
        <v>11550</v>
      </c>
      <c r="F1734" s="13">
        <v>2017</v>
      </c>
      <c r="G1734" s="2">
        <v>88757</v>
      </c>
      <c r="H1734" s="8" t="s">
        <v>19</v>
      </c>
      <c r="I1734" s="8" t="s">
        <v>13</v>
      </c>
      <c r="J1734" s="8" t="s">
        <v>57</v>
      </c>
      <c r="K1734" t="s">
        <v>158</v>
      </c>
      <c r="L1734" t="s">
        <v>609</v>
      </c>
      <c r="M1734" s="2">
        <f>VALUE(MID(L1734,1,FIND("@",L1734)-6))</f>
        <v>154</v>
      </c>
      <c r="N1734">
        <v>6</v>
      </c>
      <c r="O1734" t="str">
        <f>IF(datos_limpios[[#This Row],[Seating Capacity ]]&gt;4,"SI","NO")</f>
        <v>SI</v>
      </c>
      <c r="P1734">
        <v>60</v>
      </c>
    </row>
    <row r="1735" spans="1:16" x14ac:dyDescent="0.3">
      <c r="A1735" s="8" t="s">
        <v>60</v>
      </c>
      <c r="B1735" s="8" t="s">
        <v>419</v>
      </c>
      <c r="C1735" s="9">
        <v>1736</v>
      </c>
      <c r="D1735" s="3">
        <v>1085000</v>
      </c>
      <c r="E1735" s="1">
        <f>datos_limpios[[#This Row],[Price INR   ]]*0.011</f>
        <v>11935</v>
      </c>
      <c r="F1735" s="13">
        <v>2018</v>
      </c>
      <c r="G1735" s="2">
        <v>8922</v>
      </c>
      <c r="H1735" s="8" t="s">
        <v>12</v>
      </c>
      <c r="I1735" s="8" t="s">
        <v>40</v>
      </c>
      <c r="J1735" s="8" t="s">
        <v>30</v>
      </c>
      <c r="K1735" t="s">
        <v>15</v>
      </c>
      <c r="L1735" t="s">
        <v>373</v>
      </c>
      <c r="M1735" s="2">
        <f>VALUE(MID(L1735,1,FIND("@",L1735)-6))</f>
        <v>108</v>
      </c>
      <c r="N1735">
        <v>5</v>
      </c>
      <c r="O1735" t="str">
        <f>IF(datos_limpios[[#This Row],[Seating Capacity ]]&gt;4,"SI","NO")</f>
        <v>SI</v>
      </c>
      <c r="P1735">
        <v>44</v>
      </c>
    </row>
    <row r="1736" spans="1:16" x14ac:dyDescent="0.3">
      <c r="A1736" s="8" t="s">
        <v>60</v>
      </c>
      <c r="B1736" s="8" t="s">
        <v>608</v>
      </c>
      <c r="C1736" s="9">
        <v>1737</v>
      </c>
      <c r="D1736" s="3">
        <v>1200000</v>
      </c>
      <c r="E1736" s="1">
        <f>datos_limpios[[#This Row],[Price INR   ]]*0.011</f>
        <v>13200</v>
      </c>
      <c r="F1736" s="13">
        <v>2017</v>
      </c>
      <c r="G1736" s="2">
        <v>95785</v>
      </c>
      <c r="H1736" s="8" t="s">
        <v>19</v>
      </c>
      <c r="I1736" s="8" t="s">
        <v>40</v>
      </c>
      <c r="J1736" s="8" t="s">
        <v>57</v>
      </c>
      <c r="K1736" t="s">
        <v>158</v>
      </c>
      <c r="L1736" t="s">
        <v>609</v>
      </c>
      <c r="M1736" s="2">
        <f>VALUE(MID(L1736,1,FIND("@",L1736)-6))</f>
        <v>154</v>
      </c>
      <c r="N1736">
        <v>7</v>
      </c>
      <c r="O1736" t="str">
        <f>IF(datos_limpios[[#This Row],[Seating Capacity ]]&gt;4,"SI","NO")</f>
        <v>SI</v>
      </c>
      <c r="P1736">
        <v>60</v>
      </c>
    </row>
    <row r="1737" spans="1:16" x14ac:dyDescent="0.3">
      <c r="A1737" s="8" t="s">
        <v>60</v>
      </c>
      <c r="B1737" s="8" t="s">
        <v>61</v>
      </c>
      <c r="C1737" s="9">
        <v>1738</v>
      </c>
      <c r="D1737" s="3">
        <v>1695000</v>
      </c>
      <c r="E1737" s="1">
        <f>datos_limpios[[#This Row],[Price INR   ]]*0.011</f>
        <v>18645</v>
      </c>
      <c r="F1737" s="13">
        <v>2019</v>
      </c>
      <c r="G1737" s="2">
        <v>20856</v>
      </c>
      <c r="H1737" s="8" t="s">
        <v>19</v>
      </c>
      <c r="I1737" s="8" t="s">
        <v>13</v>
      </c>
      <c r="J1737" s="8" t="s">
        <v>62</v>
      </c>
      <c r="K1737" t="s">
        <v>63</v>
      </c>
      <c r="L1737" t="s">
        <v>64</v>
      </c>
      <c r="M1737" s="2">
        <f>VALUE(MID(L1737,1,FIND("@",L1737)-6))</f>
        <v>138</v>
      </c>
      <c r="N1737">
        <v>5</v>
      </c>
      <c r="O1737" t="str">
        <f>IF(datos_limpios[[#This Row],[Seating Capacity ]]&gt;4,"SI","NO")</f>
        <v>SI</v>
      </c>
      <c r="P1737">
        <v>50</v>
      </c>
    </row>
    <row r="1738" spans="1:16" x14ac:dyDescent="0.3">
      <c r="A1738" s="8" t="s">
        <v>60</v>
      </c>
      <c r="B1738" s="8" t="s">
        <v>61</v>
      </c>
      <c r="C1738" s="9">
        <v>1739</v>
      </c>
      <c r="D1738" s="3">
        <v>1725000</v>
      </c>
      <c r="E1738" s="1">
        <f>datos_limpios[[#This Row],[Price INR   ]]*0.011</f>
        <v>18975</v>
      </c>
      <c r="F1738" s="13">
        <v>2019</v>
      </c>
      <c r="G1738" s="2">
        <v>68758</v>
      </c>
      <c r="H1738" s="8" t="s">
        <v>19</v>
      </c>
      <c r="I1738" s="8" t="s">
        <v>13</v>
      </c>
      <c r="J1738" s="8" t="s">
        <v>20</v>
      </c>
      <c r="K1738" t="s">
        <v>63</v>
      </c>
      <c r="L1738" t="s">
        <v>64</v>
      </c>
      <c r="M1738" s="2">
        <f>VALUE(MID(L1738,1,FIND("@",L1738)-6))</f>
        <v>138</v>
      </c>
      <c r="N1738">
        <v>5</v>
      </c>
      <c r="O1738" t="str">
        <f>IF(datos_limpios[[#This Row],[Seating Capacity ]]&gt;4,"SI","NO")</f>
        <v>SI</v>
      </c>
      <c r="P1738">
        <v>50</v>
      </c>
    </row>
    <row r="1739" spans="1:16" x14ac:dyDescent="0.3">
      <c r="A1739" s="8" t="s">
        <v>60</v>
      </c>
      <c r="B1739" s="8" t="s">
        <v>1020</v>
      </c>
      <c r="C1739" s="9">
        <v>1740</v>
      </c>
      <c r="D1739" s="3">
        <v>1750000</v>
      </c>
      <c r="E1739" s="1">
        <f>datos_limpios[[#This Row],[Price INR   ]]*0.011</f>
        <v>19250</v>
      </c>
      <c r="F1739" s="13">
        <v>2020</v>
      </c>
      <c r="G1739" s="2">
        <v>14400</v>
      </c>
      <c r="H1739" s="8" t="s">
        <v>19</v>
      </c>
      <c r="I1739" s="8" t="s">
        <v>13</v>
      </c>
      <c r="J1739" s="8" t="s">
        <v>77</v>
      </c>
      <c r="K1739" t="s">
        <v>63</v>
      </c>
      <c r="L1739" t="s">
        <v>257</v>
      </c>
      <c r="M1739" s="2">
        <f>VALUE(MID(L1739,1,FIND("@",L1739)-6))</f>
        <v>168</v>
      </c>
      <c r="N1739">
        <v>5</v>
      </c>
      <c r="O1739" t="str">
        <f>IF(datos_limpios[[#This Row],[Seating Capacity ]]&gt;4,"SI","NO")</f>
        <v>SI</v>
      </c>
      <c r="P1739">
        <v>50</v>
      </c>
    </row>
    <row r="1740" spans="1:16" x14ac:dyDescent="0.3">
      <c r="A1740" s="8" t="s">
        <v>60</v>
      </c>
      <c r="B1740" s="8" t="s">
        <v>883</v>
      </c>
      <c r="C1740" s="9">
        <v>1741</v>
      </c>
      <c r="D1740" s="3">
        <v>1875000</v>
      </c>
      <c r="E1740" s="1">
        <f>datos_limpios[[#This Row],[Price INR   ]]*0.011</f>
        <v>20625</v>
      </c>
      <c r="F1740" s="13">
        <v>2021</v>
      </c>
      <c r="G1740" s="2">
        <v>28000</v>
      </c>
      <c r="H1740" s="8" t="s">
        <v>19</v>
      </c>
      <c r="I1740" s="8" t="s">
        <v>13</v>
      </c>
      <c r="J1740" s="8" t="s">
        <v>20</v>
      </c>
      <c r="K1740" t="s">
        <v>63</v>
      </c>
      <c r="L1740" t="s">
        <v>257</v>
      </c>
      <c r="M1740" s="2">
        <f>VALUE(MID(L1740,1,FIND("@",L1740)-6))</f>
        <v>168</v>
      </c>
      <c r="N1740">
        <v>7</v>
      </c>
      <c r="O1740" t="str">
        <f>IF(datos_limpios[[#This Row],[Seating Capacity ]]&gt;4,"SI","NO")</f>
        <v>SI</v>
      </c>
      <c r="P1740">
        <v>50</v>
      </c>
    </row>
    <row r="1741" spans="1:16" x14ac:dyDescent="0.3">
      <c r="A1741" s="8" t="s">
        <v>60</v>
      </c>
      <c r="B1741" s="8" t="s">
        <v>1245</v>
      </c>
      <c r="C1741" s="9">
        <v>1742</v>
      </c>
      <c r="D1741" s="3">
        <v>1930000</v>
      </c>
      <c r="E1741" s="1">
        <f>datos_limpios[[#This Row],[Price INR   ]]*0.011</f>
        <v>21230</v>
      </c>
      <c r="F1741" s="13">
        <v>2021</v>
      </c>
      <c r="G1741" s="2">
        <v>15000</v>
      </c>
      <c r="H1741" s="8" t="s">
        <v>19</v>
      </c>
      <c r="I1741" s="8" t="s">
        <v>13</v>
      </c>
      <c r="J1741" s="8" t="s">
        <v>101</v>
      </c>
      <c r="K1741" t="s">
        <v>63</v>
      </c>
      <c r="L1741" t="s">
        <v>257</v>
      </c>
      <c r="M1741" s="2">
        <f>VALUE(MID(L1741,1,FIND("@",L1741)-6))</f>
        <v>168</v>
      </c>
      <c r="N1741">
        <v>5</v>
      </c>
      <c r="O1741" t="str">
        <f>IF(datos_limpios[[#This Row],[Seating Capacity ]]&gt;4,"SI","NO")</f>
        <v>SI</v>
      </c>
      <c r="P1741">
        <v>50</v>
      </c>
    </row>
    <row r="1742" spans="1:16" x14ac:dyDescent="0.3">
      <c r="A1742" s="8" t="s">
        <v>60</v>
      </c>
      <c r="B1742" s="8" t="s">
        <v>698</v>
      </c>
      <c r="C1742" s="9">
        <v>1743</v>
      </c>
      <c r="D1742" s="3">
        <v>1995000</v>
      </c>
      <c r="E1742" s="1">
        <f>datos_limpios[[#This Row],[Price INR   ]]*0.011</f>
        <v>21945</v>
      </c>
      <c r="F1742" s="13">
        <v>2020</v>
      </c>
      <c r="G1742" s="2">
        <v>8000</v>
      </c>
      <c r="H1742" s="8" t="s">
        <v>19</v>
      </c>
      <c r="I1742" s="8" t="s">
        <v>40</v>
      </c>
      <c r="J1742" s="8" t="s">
        <v>101</v>
      </c>
      <c r="K1742" t="s">
        <v>63</v>
      </c>
      <c r="L1742" t="s">
        <v>257</v>
      </c>
      <c r="M1742" s="2">
        <f>VALUE(MID(L1742,1,FIND("@",L1742)-6))</f>
        <v>168</v>
      </c>
      <c r="N1742">
        <v>5</v>
      </c>
      <c r="O1742" t="str">
        <f>IF(datos_limpios[[#This Row],[Seating Capacity ]]&gt;4,"SI","NO")</f>
        <v>SI</v>
      </c>
      <c r="P1742">
        <v>50</v>
      </c>
    </row>
    <row r="1743" spans="1:16" x14ac:dyDescent="0.3">
      <c r="A1743" s="8" t="s">
        <v>60</v>
      </c>
      <c r="B1743" s="8" t="s">
        <v>1020</v>
      </c>
      <c r="C1743" s="9">
        <v>1744</v>
      </c>
      <c r="D1743" s="3">
        <v>2095000</v>
      </c>
      <c r="E1743" s="1">
        <f>datos_limpios[[#This Row],[Price INR   ]]*0.011</f>
        <v>23045</v>
      </c>
      <c r="F1743" s="13">
        <v>2021</v>
      </c>
      <c r="G1743" s="2">
        <v>23000</v>
      </c>
      <c r="H1743" s="8" t="s">
        <v>19</v>
      </c>
      <c r="I1743" s="8" t="s">
        <v>13</v>
      </c>
      <c r="J1743" s="8" t="s">
        <v>30</v>
      </c>
      <c r="K1743" t="s">
        <v>63</v>
      </c>
      <c r="L1743" t="s">
        <v>257</v>
      </c>
      <c r="M1743" s="2">
        <f>VALUE(MID(L1743,1,FIND("@",L1743)-6))</f>
        <v>168</v>
      </c>
      <c r="N1743">
        <v>5</v>
      </c>
      <c r="O1743" t="str">
        <f>IF(datos_limpios[[#This Row],[Seating Capacity ]]&gt;4,"SI","NO")</f>
        <v>SI</v>
      </c>
      <c r="P1743">
        <v>50</v>
      </c>
    </row>
    <row r="1744" spans="1:16" x14ac:dyDescent="0.3">
      <c r="A1744" s="8" t="s">
        <v>60</v>
      </c>
      <c r="B1744" s="8" t="s">
        <v>256</v>
      </c>
      <c r="C1744" s="9">
        <v>1745</v>
      </c>
      <c r="D1744" s="3">
        <v>2145000</v>
      </c>
      <c r="E1744" s="1">
        <f>datos_limpios[[#This Row],[Price INR   ]]*0.011</f>
        <v>23595</v>
      </c>
      <c r="F1744" s="13">
        <v>2020</v>
      </c>
      <c r="G1744" s="2">
        <v>10290</v>
      </c>
      <c r="H1744" s="8" t="s">
        <v>19</v>
      </c>
      <c r="I1744" s="8" t="s">
        <v>13</v>
      </c>
      <c r="J1744" s="8" t="s">
        <v>30</v>
      </c>
      <c r="K1744" t="s">
        <v>63</v>
      </c>
      <c r="L1744" t="s">
        <v>257</v>
      </c>
      <c r="M1744" s="2">
        <f>VALUE(MID(L1744,1,FIND("@",L1744)-6))</f>
        <v>168</v>
      </c>
      <c r="N1744">
        <v>5</v>
      </c>
      <c r="O1744" t="str">
        <f>IF(datos_limpios[[#This Row],[Seating Capacity ]]&gt;4,"SI","NO")</f>
        <v>SI</v>
      </c>
      <c r="P1744">
        <v>50</v>
      </c>
    </row>
    <row r="1745" spans="1:16" x14ac:dyDescent="0.3">
      <c r="A1745" s="8" t="s">
        <v>60</v>
      </c>
      <c r="B1745" s="8" t="s">
        <v>1324</v>
      </c>
      <c r="C1745" s="9">
        <v>1746</v>
      </c>
      <c r="D1745" s="3">
        <v>2200000</v>
      </c>
      <c r="E1745" s="1">
        <f>datos_limpios[[#This Row],[Price INR   ]]*0.011</f>
        <v>24200</v>
      </c>
      <c r="F1745" s="13">
        <v>2021</v>
      </c>
      <c r="G1745" s="2">
        <v>32000</v>
      </c>
      <c r="H1745" s="8" t="s">
        <v>19</v>
      </c>
      <c r="I1745" s="8" t="s">
        <v>13</v>
      </c>
      <c r="J1745" s="8" t="s">
        <v>288</v>
      </c>
      <c r="K1745" t="s">
        <v>158</v>
      </c>
      <c r="L1745" t="s">
        <v>609</v>
      </c>
      <c r="M1745" s="2">
        <f>VALUE(MID(L1745,1,FIND("@",L1745)-6))</f>
        <v>154</v>
      </c>
      <c r="N1745">
        <v>7</v>
      </c>
      <c r="O1745" t="str">
        <f>IF(datos_limpios[[#This Row],[Seating Capacity ]]&gt;4,"SI","NO")</f>
        <v>SI</v>
      </c>
      <c r="P1745">
        <v>63</v>
      </c>
    </row>
    <row r="1746" spans="1:16" x14ac:dyDescent="0.3">
      <c r="A1746" s="8" t="s">
        <v>60</v>
      </c>
      <c r="B1746" s="8" t="s">
        <v>471</v>
      </c>
      <c r="C1746" s="9">
        <v>1747</v>
      </c>
      <c r="D1746" s="3">
        <v>2251000</v>
      </c>
      <c r="E1746" s="1">
        <f>datos_limpios[[#This Row],[Price INR   ]]*0.011</f>
        <v>24761</v>
      </c>
      <c r="F1746" s="13">
        <v>2021</v>
      </c>
      <c r="G1746" s="2">
        <v>30229</v>
      </c>
      <c r="H1746" s="8" t="s">
        <v>19</v>
      </c>
      <c r="I1746" s="8" t="s">
        <v>40</v>
      </c>
      <c r="J1746" s="8" t="s">
        <v>20</v>
      </c>
      <c r="K1746" t="s">
        <v>63</v>
      </c>
      <c r="L1746" t="s">
        <v>257</v>
      </c>
      <c r="M1746" s="2">
        <f>VALUE(MID(L1746,1,FIND("@",L1746)-6))</f>
        <v>168</v>
      </c>
      <c r="N1746">
        <v>5</v>
      </c>
      <c r="O1746" t="str">
        <f>IF(datos_limpios[[#This Row],[Seating Capacity ]]&gt;4,"SI","NO")</f>
        <v>SI</v>
      </c>
      <c r="P1746">
        <v>50</v>
      </c>
    </row>
    <row r="1747" spans="1:16" x14ac:dyDescent="0.3">
      <c r="A1747" s="8" t="s">
        <v>60</v>
      </c>
      <c r="B1747" s="8" t="s">
        <v>1099</v>
      </c>
      <c r="C1747" s="9">
        <v>1748</v>
      </c>
      <c r="D1747" s="3">
        <v>2275000</v>
      </c>
      <c r="E1747" s="1">
        <f>datos_limpios[[#This Row],[Price INR   ]]*0.011</f>
        <v>25025</v>
      </c>
      <c r="F1747" s="13">
        <v>2022</v>
      </c>
      <c r="G1747" s="2">
        <v>38000</v>
      </c>
      <c r="H1747" s="8" t="s">
        <v>19</v>
      </c>
      <c r="I1747" s="8" t="s">
        <v>40</v>
      </c>
      <c r="J1747" s="8" t="s">
        <v>101</v>
      </c>
      <c r="K1747" t="s">
        <v>63</v>
      </c>
      <c r="L1747" t="s">
        <v>257</v>
      </c>
      <c r="M1747" s="2">
        <f>VALUE(MID(L1747,1,FIND("@",L1747)-6))</f>
        <v>168</v>
      </c>
      <c r="N1747">
        <v>5</v>
      </c>
      <c r="O1747" t="str">
        <f>IF(datos_limpios[[#This Row],[Seating Capacity ]]&gt;4,"SI","NO")</f>
        <v>SI</v>
      </c>
      <c r="P1747">
        <v>50</v>
      </c>
    </row>
    <row r="1748" spans="1:16" x14ac:dyDescent="0.3">
      <c r="A1748" s="8" t="s">
        <v>60</v>
      </c>
      <c r="B1748" s="8" t="s">
        <v>391</v>
      </c>
      <c r="C1748" s="9">
        <v>1749</v>
      </c>
      <c r="D1748" s="3">
        <v>2395000</v>
      </c>
      <c r="E1748" s="1">
        <f>datos_limpios[[#This Row],[Price INR   ]]*0.011</f>
        <v>26345</v>
      </c>
      <c r="F1748" s="13">
        <v>2021</v>
      </c>
      <c r="G1748" s="2">
        <v>13594</v>
      </c>
      <c r="H1748" s="8" t="s">
        <v>19</v>
      </c>
      <c r="I1748" s="8" t="s">
        <v>40</v>
      </c>
      <c r="J1748" s="8" t="s">
        <v>57</v>
      </c>
      <c r="K1748" t="s">
        <v>63</v>
      </c>
      <c r="L1748" t="s">
        <v>257</v>
      </c>
      <c r="M1748" s="2">
        <f>VALUE(MID(L1748,1,FIND("@",L1748)-6))</f>
        <v>168</v>
      </c>
      <c r="N1748">
        <v>6</v>
      </c>
      <c r="O1748" t="str">
        <f>IF(datos_limpios[[#This Row],[Seating Capacity ]]&gt;4,"SI","NO")</f>
        <v>SI</v>
      </c>
      <c r="P1748">
        <v>50</v>
      </c>
    </row>
    <row r="1749" spans="1:16" x14ac:dyDescent="0.3">
      <c r="A1749" s="8" t="s">
        <v>28</v>
      </c>
      <c r="B1749" s="8" t="s">
        <v>1354</v>
      </c>
      <c r="C1749" s="9">
        <v>1750</v>
      </c>
      <c r="D1749" s="3">
        <v>160000</v>
      </c>
      <c r="E1749" s="1">
        <f>datos_limpios[[#This Row],[Price INR   ]]*0.011</f>
        <v>1760</v>
      </c>
      <c r="F1749" s="13">
        <v>2008</v>
      </c>
      <c r="G1749" s="2">
        <v>90000</v>
      </c>
      <c r="H1749" s="8" t="s">
        <v>19</v>
      </c>
      <c r="I1749" s="8" t="s">
        <v>13</v>
      </c>
      <c r="J1749" s="8" t="s">
        <v>20</v>
      </c>
      <c r="K1749" t="s">
        <v>150</v>
      </c>
      <c r="L1749" t="s">
        <v>1506</v>
      </c>
      <c r="M1749" s="2">
        <f>VALUE(MID(L1749,1,FIND("@",L1749)-6))</f>
        <v>102</v>
      </c>
      <c r="N1749">
        <v>8</v>
      </c>
      <c r="O1749" t="str">
        <f>IF(datos_limpios[[#This Row],[Seating Capacity ]]&gt;4,"SI","NO")</f>
        <v>SI</v>
      </c>
      <c r="P1749">
        <v>55</v>
      </c>
    </row>
    <row r="1750" spans="1:16" x14ac:dyDescent="0.3">
      <c r="A1750" s="8" t="s">
        <v>28</v>
      </c>
      <c r="B1750" s="8" t="s">
        <v>682</v>
      </c>
      <c r="C1750" s="9">
        <v>1751</v>
      </c>
      <c r="D1750" s="3">
        <v>265000</v>
      </c>
      <c r="E1750" s="1">
        <f>datos_limpios[[#This Row],[Price INR   ]]*0.011</f>
        <v>2915</v>
      </c>
      <c r="F1750" s="13">
        <v>2011</v>
      </c>
      <c r="G1750" s="2">
        <v>66000</v>
      </c>
      <c r="H1750" s="8" t="s">
        <v>12</v>
      </c>
      <c r="I1750" s="8" t="s">
        <v>13</v>
      </c>
      <c r="J1750" s="8" t="s">
        <v>101</v>
      </c>
      <c r="K1750" t="s">
        <v>683</v>
      </c>
      <c r="L1750" t="s">
        <v>684</v>
      </c>
      <c r="M1750" s="2">
        <f>VALUE(MID(L1750,1,FIND("@",L1750)-6))</f>
        <v>80</v>
      </c>
      <c r="N1750">
        <v>5</v>
      </c>
      <c r="O1750" t="str">
        <f>IF(datos_limpios[[#This Row],[Seating Capacity ]]&gt;4,"SI","NO")</f>
        <v>SI</v>
      </c>
      <c r="P1750">
        <v>45</v>
      </c>
    </row>
    <row r="1751" spans="1:16" x14ac:dyDescent="0.3">
      <c r="A1751" s="8" t="s">
        <v>28</v>
      </c>
      <c r="B1751" s="8" t="s">
        <v>904</v>
      </c>
      <c r="C1751" s="9">
        <v>1752</v>
      </c>
      <c r="D1751" s="3">
        <v>299000</v>
      </c>
      <c r="E1751" s="1">
        <f>datos_limpios[[#This Row],[Price INR   ]]*0.011</f>
        <v>3289</v>
      </c>
      <c r="F1751" s="13">
        <v>2013</v>
      </c>
      <c r="G1751" s="2">
        <v>90000</v>
      </c>
      <c r="H1751" s="8" t="s">
        <v>19</v>
      </c>
      <c r="I1751" s="8" t="s">
        <v>13</v>
      </c>
      <c r="J1751" s="8" t="s">
        <v>57</v>
      </c>
      <c r="K1751" t="s">
        <v>557</v>
      </c>
      <c r="L1751" t="s">
        <v>905</v>
      </c>
      <c r="M1751" s="2">
        <f>VALUE(MID(L1751,1,FIND("@",L1751)-6))</f>
        <v>68</v>
      </c>
      <c r="N1751">
        <v>5</v>
      </c>
      <c r="O1751" t="str">
        <f>IF(datos_limpios[[#This Row],[Seating Capacity ]]&gt;4,"SI","NO")</f>
        <v>SI</v>
      </c>
      <c r="P1751">
        <v>45</v>
      </c>
    </row>
    <row r="1752" spans="1:16" x14ac:dyDescent="0.3">
      <c r="A1752" s="8" t="s">
        <v>28</v>
      </c>
      <c r="B1752" s="8" t="s">
        <v>904</v>
      </c>
      <c r="C1752" s="9">
        <v>1753</v>
      </c>
      <c r="D1752" s="3">
        <v>300000</v>
      </c>
      <c r="E1752" s="1">
        <f>datos_limpios[[#This Row],[Price INR   ]]*0.011</f>
        <v>3300</v>
      </c>
      <c r="F1752" s="13">
        <v>2013</v>
      </c>
      <c r="G1752" s="2">
        <v>75000</v>
      </c>
      <c r="H1752" s="8" t="s">
        <v>19</v>
      </c>
      <c r="I1752" s="8" t="s">
        <v>13</v>
      </c>
      <c r="J1752" s="8" t="s">
        <v>77</v>
      </c>
      <c r="K1752" t="s">
        <v>557</v>
      </c>
      <c r="L1752" t="s">
        <v>905</v>
      </c>
      <c r="M1752" s="2">
        <f>VALUE(MID(L1752,1,FIND("@",L1752)-6))</f>
        <v>68</v>
      </c>
      <c r="N1752">
        <v>5</v>
      </c>
      <c r="O1752" t="str">
        <f>IF(datos_limpios[[#This Row],[Seating Capacity ]]&gt;4,"SI","NO")</f>
        <v>SI</v>
      </c>
      <c r="P1752">
        <v>45</v>
      </c>
    </row>
    <row r="1753" spans="1:16" x14ac:dyDescent="0.3">
      <c r="A1753" s="8" t="s">
        <v>28</v>
      </c>
      <c r="B1753" s="8" t="s">
        <v>682</v>
      </c>
      <c r="C1753" s="9">
        <v>1754</v>
      </c>
      <c r="D1753" s="3">
        <v>300000</v>
      </c>
      <c r="E1753" s="1">
        <f>datos_limpios[[#This Row],[Price INR   ]]*0.011</f>
        <v>3300</v>
      </c>
      <c r="F1753" s="13">
        <v>2011</v>
      </c>
      <c r="G1753" s="2">
        <v>49200</v>
      </c>
      <c r="H1753" s="8" t="s">
        <v>12</v>
      </c>
      <c r="I1753" s="8" t="s">
        <v>13</v>
      </c>
      <c r="J1753" s="8" t="s">
        <v>77</v>
      </c>
      <c r="K1753" t="s">
        <v>683</v>
      </c>
      <c r="L1753" t="s">
        <v>684</v>
      </c>
      <c r="M1753" s="2">
        <f>VALUE(MID(L1753,1,FIND("@",L1753)-6))</f>
        <v>80</v>
      </c>
      <c r="N1753">
        <v>5</v>
      </c>
      <c r="O1753" t="str">
        <f>IF(datos_limpios[[#This Row],[Seating Capacity ]]&gt;4,"SI","NO")</f>
        <v>SI</v>
      </c>
      <c r="P1753">
        <v>45</v>
      </c>
    </row>
    <row r="1754" spans="1:16" x14ac:dyDescent="0.3">
      <c r="A1754" s="8" t="s">
        <v>28</v>
      </c>
      <c r="B1754" s="8" t="s">
        <v>1350</v>
      </c>
      <c r="C1754" s="9">
        <v>1755</v>
      </c>
      <c r="D1754" s="3">
        <v>315000</v>
      </c>
      <c r="E1754" s="1">
        <f>datos_limpios[[#This Row],[Price INR   ]]*0.011</f>
        <v>3465</v>
      </c>
      <c r="F1754" s="13">
        <v>2011</v>
      </c>
      <c r="G1754" s="2">
        <v>38091</v>
      </c>
      <c r="H1754" s="8" t="s">
        <v>12</v>
      </c>
      <c r="I1754" s="8" t="s">
        <v>13</v>
      </c>
      <c r="J1754" s="8" t="s">
        <v>30</v>
      </c>
      <c r="K1754" t="s">
        <v>26</v>
      </c>
      <c r="L1754" t="s">
        <v>684</v>
      </c>
      <c r="M1754" s="2">
        <f>VALUE(MID(L1754,1,FIND("@",L1754)-6))</f>
        <v>80</v>
      </c>
      <c r="N1754">
        <v>5</v>
      </c>
      <c r="O1754" t="str">
        <f>IF(datos_limpios[[#This Row],[Seating Capacity ]]&gt;4,"SI","NO")</f>
        <v>SI</v>
      </c>
      <c r="P1754">
        <v>45</v>
      </c>
    </row>
    <row r="1755" spans="1:16" x14ac:dyDescent="0.3">
      <c r="A1755" s="8" t="s">
        <v>28</v>
      </c>
      <c r="B1755" s="8" t="s">
        <v>835</v>
      </c>
      <c r="C1755" s="9">
        <v>1756</v>
      </c>
      <c r="D1755" s="3">
        <v>325000</v>
      </c>
      <c r="E1755" s="1">
        <f>datos_limpios[[#This Row],[Price INR   ]]*0.011</f>
        <v>3575</v>
      </c>
      <c r="F1755" s="13">
        <v>2011</v>
      </c>
      <c r="G1755" s="2">
        <v>101347</v>
      </c>
      <c r="H1755" s="8" t="s">
        <v>12</v>
      </c>
      <c r="I1755" s="8" t="s">
        <v>13</v>
      </c>
      <c r="J1755" s="8" t="s">
        <v>30</v>
      </c>
      <c r="K1755" t="s">
        <v>683</v>
      </c>
      <c r="L1755" t="s">
        <v>836</v>
      </c>
      <c r="M1755" s="2">
        <f>VALUE(MID(L1755,1,FIND("@",L1755)-6))</f>
        <v>90</v>
      </c>
      <c r="N1755">
        <v>5</v>
      </c>
      <c r="O1755" t="str">
        <f>IF(datos_limpios[[#This Row],[Seating Capacity ]]&gt;4,"SI","NO")</f>
        <v>SI</v>
      </c>
      <c r="P1755">
        <v>45</v>
      </c>
    </row>
    <row r="1756" spans="1:16" x14ac:dyDescent="0.3">
      <c r="A1756" s="8" t="s">
        <v>28</v>
      </c>
      <c r="B1756" s="8" t="s">
        <v>233</v>
      </c>
      <c r="C1756" s="9">
        <v>1757</v>
      </c>
      <c r="D1756" s="3">
        <v>340000</v>
      </c>
      <c r="E1756" s="1">
        <f>datos_limpios[[#This Row],[Price INR   ]]*0.011</f>
        <v>3740</v>
      </c>
      <c r="F1756" s="13">
        <v>2011</v>
      </c>
      <c r="G1756" s="2">
        <v>109000</v>
      </c>
      <c r="H1756" s="8" t="s">
        <v>12</v>
      </c>
      <c r="I1756" s="8" t="s">
        <v>13</v>
      </c>
      <c r="J1756" s="8" t="s">
        <v>20</v>
      </c>
      <c r="K1756" t="s">
        <v>943</v>
      </c>
      <c r="L1756" t="s">
        <v>1495</v>
      </c>
      <c r="M1756" s="2">
        <f>VALUE(MID(L1756,1,FIND("@",L1756)-6))</f>
        <v>132</v>
      </c>
      <c r="N1756">
        <v>5</v>
      </c>
      <c r="O1756" t="str">
        <f>IF(datos_limpios[[#This Row],[Seating Capacity ]]&gt;4,"SI","NO")</f>
        <v>SI</v>
      </c>
      <c r="P1756">
        <v>55</v>
      </c>
    </row>
    <row r="1757" spans="1:16" x14ac:dyDescent="0.3">
      <c r="A1757" s="8" t="s">
        <v>28</v>
      </c>
      <c r="B1757" s="8" t="s">
        <v>1350</v>
      </c>
      <c r="C1757" s="9">
        <v>1758</v>
      </c>
      <c r="D1757" s="3">
        <v>350000</v>
      </c>
      <c r="E1757" s="1">
        <f>datos_limpios[[#This Row],[Price INR   ]]*0.011</f>
        <v>3850</v>
      </c>
      <c r="F1757" s="13">
        <v>2013</v>
      </c>
      <c r="G1757" s="2">
        <v>34000</v>
      </c>
      <c r="H1757" s="8" t="s">
        <v>12</v>
      </c>
      <c r="I1757" s="8" t="s">
        <v>13</v>
      </c>
      <c r="J1757" s="8" t="s">
        <v>101</v>
      </c>
      <c r="K1757" t="s">
        <v>26</v>
      </c>
      <c r="L1757" t="s">
        <v>684</v>
      </c>
      <c r="M1757" s="2">
        <f>VALUE(MID(L1757,1,FIND("@",L1757)-6))</f>
        <v>80</v>
      </c>
      <c r="N1757">
        <v>5</v>
      </c>
      <c r="O1757" t="str">
        <f>IF(datos_limpios[[#This Row],[Seating Capacity ]]&gt;4,"SI","NO")</f>
        <v>SI</v>
      </c>
      <c r="P1757">
        <v>45</v>
      </c>
    </row>
    <row r="1758" spans="1:16" x14ac:dyDescent="0.3">
      <c r="A1758" s="8" t="s">
        <v>28</v>
      </c>
      <c r="B1758" s="8" t="s">
        <v>233</v>
      </c>
      <c r="C1758" s="9">
        <v>1759</v>
      </c>
      <c r="D1758" s="3">
        <v>375000</v>
      </c>
      <c r="E1758" s="1">
        <f>datos_limpios[[#This Row],[Price INR   ]]*0.011</f>
        <v>4125</v>
      </c>
      <c r="F1758" s="13">
        <v>2011</v>
      </c>
      <c r="G1758" s="2">
        <v>77000</v>
      </c>
      <c r="H1758" s="8" t="s">
        <v>12</v>
      </c>
      <c r="I1758" s="8" t="s">
        <v>13</v>
      </c>
      <c r="J1758" s="8" t="s">
        <v>77</v>
      </c>
      <c r="K1758" t="s">
        <v>943</v>
      </c>
      <c r="L1758" t="s">
        <v>1536</v>
      </c>
      <c r="M1758" s="2">
        <f>VALUE(MID(L1758,1,FIND("@",L1758)-6))</f>
        <v>132</v>
      </c>
      <c r="N1758">
        <v>5</v>
      </c>
      <c r="O1758" t="str">
        <f>IF(datos_limpios[[#This Row],[Seating Capacity ]]&gt;4,"SI","NO")</f>
        <v>SI</v>
      </c>
      <c r="P1758">
        <v>55</v>
      </c>
    </row>
    <row r="1759" spans="1:16" x14ac:dyDescent="0.3">
      <c r="A1759" s="8" t="s">
        <v>28</v>
      </c>
      <c r="B1759" s="8" t="s">
        <v>233</v>
      </c>
      <c r="C1759" s="9">
        <v>1760</v>
      </c>
      <c r="D1759" s="3">
        <v>390000</v>
      </c>
      <c r="E1759" s="1">
        <f>datos_limpios[[#This Row],[Price INR   ]]*0.011</f>
        <v>4290</v>
      </c>
      <c r="F1759" s="13">
        <v>2009</v>
      </c>
      <c r="G1759" s="2">
        <v>68195</v>
      </c>
      <c r="H1759" s="8" t="s">
        <v>12</v>
      </c>
      <c r="I1759" s="8" t="s">
        <v>13</v>
      </c>
      <c r="J1759" s="8" t="s">
        <v>20</v>
      </c>
      <c r="K1759" t="s">
        <v>943</v>
      </c>
      <c r="L1759" t="s">
        <v>1495</v>
      </c>
      <c r="M1759" s="2">
        <f>VALUE(MID(L1759,1,FIND("@",L1759)-6))</f>
        <v>132</v>
      </c>
      <c r="N1759">
        <v>5</v>
      </c>
      <c r="O1759" t="str">
        <f>IF(datos_limpios[[#This Row],[Seating Capacity ]]&gt;4,"SI","NO")</f>
        <v>SI</v>
      </c>
      <c r="P1759">
        <v>55</v>
      </c>
    </row>
    <row r="1760" spans="1:16" x14ac:dyDescent="0.3">
      <c r="A1760" s="8" t="s">
        <v>28</v>
      </c>
      <c r="B1760" s="8" t="s">
        <v>1256</v>
      </c>
      <c r="C1760" s="9">
        <v>1761</v>
      </c>
      <c r="D1760" s="3">
        <v>434999</v>
      </c>
      <c r="E1760" s="1">
        <f>datos_limpios[[#This Row],[Price INR   ]]*0.011</f>
        <v>4784.9889999999996</v>
      </c>
      <c r="F1760" s="13">
        <v>2015</v>
      </c>
      <c r="G1760" s="2">
        <v>32545</v>
      </c>
      <c r="H1760" s="8" t="s">
        <v>12</v>
      </c>
      <c r="I1760" s="8" t="s">
        <v>13</v>
      </c>
      <c r="J1760" s="8" t="s">
        <v>77</v>
      </c>
      <c r="K1760" t="s">
        <v>26</v>
      </c>
      <c r="L1760" t="s">
        <v>1257</v>
      </c>
      <c r="M1760" s="2">
        <f>VALUE(MID(L1760,1,FIND("@",L1760)-6))</f>
        <v>79</v>
      </c>
      <c r="N1760">
        <v>5</v>
      </c>
      <c r="O1760" t="str">
        <f>IF(datos_limpios[[#This Row],[Seating Capacity ]]&gt;4,"SI","NO")</f>
        <v>SI</v>
      </c>
      <c r="P1760">
        <v>45</v>
      </c>
    </row>
    <row r="1761" spans="1:16" x14ac:dyDescent="0.3">
      <c r="A1761" s="8" t="s">
        <v>28</v>
      </c>
      <c r="B1761" s="8" t="s">
        <v>942</v>
      </c>
      <c r="C1761" s="9">
        <v>1762</v>
      </c>
      <c r="D1761" s="3">
        <v>450000</v>
      </c>
      <c r="E1761" s="1">
        <f>datos_limpios[[#This Row],[Price INR   ]]*0.011</f>
        <v>4950</v>
      </c>
      <c r="F1761" s="13">
        <v>2011</v>
      </c>
      <c r="G1761" s="2">
        <v>95000</v>
      </c>
      <c r="H1761" s="8" t="s">
        <v>12</v>
      </c>
      <c r="I1761" s="8" t="s">
        <v>40</v>
      </c>
      <c r="J1761" s="8" t="s">
        <v>20</v>
      </c>
      <c r="K1761" t="s">
        <v>943</v>
      </c>
      <c r="L1761" t="s">
        <v>1495</v>
      </c>
      <c r="M1761" s="2">
        <f>VALUE(MID(L1761,1,FIND("@",L1761)-6))</f>
        <v>132</v>
      </c>
      <c r="N1761">
        <v>5</v>
      </c>
      <c r="O1761" t="str">
        <f>IF(datos_limpios[[#This Row],[Seating Capacity ]]&gt;4,"SI","NO")</f>
        <v>SI</v>
      </c>
      <c r="P1761">
        <v>55</v>
      </c>
    </row>
    <row r="1762" spans="1:16" x14ac:dyDescent="0.3">
      <c r="A1762" s="8" t="s">
        <v>28</v>
      </c>
      <c r="B1762" s="8" t="s">
        <v>1430</v>
      </c>
      <c r="C1762" s="9">
        <v>1763</v>
      </c>
      <c r="D1762" s="3">
        <v>465000</v>
      </c>
      <c r="E1762" s="1">
        <f>datos_limpios[[#This Row],[Price INR   ]]*0.011</f>
        <v>5115</v>
      </c>
      <c r="F1762" s="13">
        <v>2014</v>
      </c>
      <c r="G1762" s="2">
        <v>82000</v>
      </c>
      <c r="H1762" s="8" t="s">
        <v>19</v>
      </c>
      <c r="I1762" s="8" t="s">
        <v>13</v>
      </c>
      <c r="J1762" s="8" t="s">
        <v>77</v>
      </c>
      <c r="K1762" t="s">
        <v>557</v>
      </c>
      <c r="L1762" t="s">
        <v>558</v>
      </c>
      <c r="M1762" s="2">
        <f>VALUE(MID(L1762,1,FIND("@",L1762)-6))</f>
        <v>67</v>
      </c>
      <c r="N1762">
        <v>5</v>
      </c>
      <c r="O1762" t="str">
        <f>IF(datos_limpios[[#This Row],[Seating Capacity ]]&gt;4,"SI","NO")</f>
        <v>SI</v>
      </c>
      <c r="P1762">
        <v>45</v>
      </c>
    </row>
    <row r="1763" spans="1:16" x14ac:dyDescent="0.3">
      <c r="A1763" s="8" t="s">
        <v>28</v>
      </c>
      <c r="B1763" s="8" t="s">
        <v>556</v>
      </c>
      <c r="C1763" s="9">
        <v>1764</v>
      </c>
      <c r="D1763" s="3">
        <v>484999</v>
      </c>
      <c r="E1763" s="1">
        <f>datos_limpios[[#This Row],[Price INR   ]]*0.011</f>
        <v>5334.9889999999996</v>
      </c>
      <c r="F1763" s="13">
        <v>2017</v>
      </c>
      <c r="G1763" s="2">
        <v>86006</v>
      </c>
      <c r="H1763" s="8" t="s">
        <v>19</v>
      </c>
      <c r="I1763" s="8" t="s">
        <v>13</v>
      </c>
      <c r="J1763" s="8" t="s">
        <v>20</v>
      </c>
      <c r="K1763" t="s">
        <v>557</v>
      </c>
      <c r="L1763" t="s">
        <v>558</v>
      </c>
      <c r="M1763" s="2">
        <f>VALUE(MID(L1763,1,FIND("@",L1763)-6))</f>
        <v>67</v>
      </c>
      <c r="N1763">
        <v>5</v>
      </c>
      <c r="O1763" t="str">
        <f>IF(datos_limpios[[#This Row],[Seating Capacity ]]&gt;4,"SI","NO")</f>
        <v>SI</v>
      </c>
      <c r="P1763">
        <v>45</v>
      </c>
    </row>
    <row r="1764" spans="1:16" x14ac:dyDescent="0.3">
      <c r="A1764" s="8" t="s">
        <v>28</v>
      </c>
      <c r="B1764" s="8" t="s">
        <v>233</v>
      </c>
      <c r="C1764" s="9">
        <v>1765</v>
      </c>
      <c r="D1764" s="3">
        <v>493000</v>
      </c>
      <c r="E1764" s="1">
        <f>datos_limpios[[#This Row],[Price INR   ]]*0.011</f>
        <v>5423</v>
      </c>
      <c r="F1764" s="13">
        <v>2012</v>
      </c>
      <c r="G1764" s="2">
        <v>28732</v>
      </c>
      <c r="H1764" s="8" t="s">
        <v>12</v>
      </c>
      <c r="I1764" s="8" t="s">
        <v>13</v>
      </c>
      <c r="J1764" s="8" t="s">
        <v>77</v>
      </c>
      <c r="K1764" t="s">
        <v>45</v>
      </c>
      <c r="L1764" t="s">
        <v>124</v>
      </c>
      <c r="M1764" s="2">
        <f>VALUE(MID(L1764,1,FIND("@",L1764)-6))</f>
        <v>138</v>
      </c>
      <c r="N1764">
        <v>5</v>
      </c>
      <c r="O1764" t="str">
        <f>IF(datos_limpios[[#This Row],[Seating Capacity ]]&gt;4,"SI","NO")</f>
        <v>SI</v>
      </c>
      <c r="P1764">
        <v>55</v>
      </c>
    </row>
    <row r="1765" spans="1:16" x14ac:dyDescent="0.3">
      <c r="A1765" s="8" t="s">
        <v>28</v>
      </c>
      <c r="B1765" s="8" t="s">
        <v>796</v>
      </c>
      <c r="C1765" s="9">
        <v>1766</v>
      </c>
      <c r="D1765" s="3">
        <v>500000</v>
      </c>
      <c r="E1765" s="1">
        <f>datos_limpios[[#This Row],[Price INR   ]]*0.011</f>
        <v>5500</v>
      </c>
      <c r="F1765" s="13">
        <v>2016</v>
      </c>
      <c r="G1765" s="2">
        <v>114000</v>
      </c>
      <c r="H1765" s="8" t="s">
        <v>19</v>
      </c>
      <c r="I1765" s="8" t="s">
        <v>13</v>
      </c>
      <c r="J1765" s="8" t="s">
        <v>14</v>
      </c>
      <c r="K1765" t="s">
        <v>557</v>
      </c>
      <c r="L1765" t="s">
        <v>558</v>
      </c>
      <c r="M1765" s="2">
        <f>VALUE(MID(L1765,1,FIND("@",L1765)-6))</f>
        <v>67</v>
      </c>
      <c r="N1765">
        <v>5</v>
      </c>
      <c r="O1765" t="str">
        <f>IF(datos_limpios[[#This Row],[Seating Capacity ]]&gt;4,"SI","NO")</f>
        <v>SI</v>
      </c>
      <c r="P1765">
        <v>45</v>
      </c>
    </row>
    <row r="1766" spans="1:16" x14ac:dyDescent="0.3">
      <c r="A1766" s="8" t="s">
        <v>28</v>
      </c>
      <c r="B1766" s="8" t="s">
        <v>1420</v>
      </c>
      <c r="C1766" s="9">
        <v>1767</v>
      </c>
      <c r="D1766" s="3">
        <v>555000</v>
      </c>
      <c r="E1766" s="1">
        <f>datos_limpios[[#This Row],[Price INR   ]]*0.011</f>
        <v>6105</v>
      </c>
      <c r="F1766" s="13">
        <v>2010</v>
      </c>
      <c r="G1766" s="2">
        <v>261236</v>
      </c>
      <c r="H1766" s="8" t="s">
        <v>12</v>
      </c>
      <c r="I1766" s="8" t="s">
        <v>13</v>
      </c>
      <c r="J1766" s="8" t="s">
        <v>77</v>
      </c>
      <c r="K1766" t="s">
        <v>162</v>
      </c>
      <c r="L1766" t="s">
        <v>1518</v>
      </c>
      <c r="M1766" s="2">
        <f>VALUE(MID(L1766,1,FIND("@",L1766)-6))</f>
        <v>136</v>
      </c>
      <c r="N1766">
        <v>8</v>
      </c>
      <c r="O1766" t="str">
        <f>IF(datos_limpios[[#This Row],[Seating Capacity ]]&gt;4,"SI","NO")</f>
        <v>SI</v>
      </c>
      <c r="P1766">
        <v>55</v>
      </c>
    </row>
    <row r="1767" spans="1:16" x14ac:dyDescent="0.3">
      <c r="A1767" s="8" t="s">
        <v>28</v>
      </c>
      <c r="B1767" s="8" t="s">
        <v>555</v>
      </c>
      <c r="C1767" s="9">
        <v>1768</v>
      </c>
      <c r="D1767" s="3">
        <v>575000</v>
      </c>
      <c r="E1767" s="1">
        <f>datos_limpios[[#This Row],[Price INR   ]]*0.011</f>
        <v>6325</v>
      </c>
      <c r="F1767" s="13">
        <v>2013</v>
      </c>
      <c r="G1767" s="2">
        <v>82000</v>
      </c>
      <c r="H1767" s="8" t="s">
        <v>12</v>
      </c>
      <c r="I1767" s="8" t="s">
        <v>13</v>
      </c>
      <c r="J1767" s="8" t="s">
        <v>131</v>
      </c>
      <c r="K1767" t="s">
        <v>162</v>
      </c>
      <c r="L1767" t="s">
        <v>1518</v>
      </c>
      <c r="M1767" s="2">
        <f>VALUE(MID(L1767,1,FIND("@",L1767)-6))</f>
        <v>136</v>
      </c>
      <c r="N1767">
        <v>8</v>
      </c>
      <c r="O1767" t="str">
        <f>IF(datos_limpios[[#This Row],[Seating Capacity ]]&gt;4,"SI","NO")</f>
        <v>SI</v>
      </c>
      <c r="P1767">
        <v>55</v>
      </c>
    </row>
    <row r="1768" spans="1:16" x14ac:dyDescent="0.3">
      <c r="A1768" s="8" t="s">
        <v>28</v>
      </c>
      <c r="B1768" s="8" t="s">
        <v>796</v>
      </c>
      <c r="C1768" s="9">
        <v>1769</v>
      </c>
      <c r="D1768" s="3">
        <v>625000</v>
      </c>
      <c r="E1768" s="1">
        <f>datos_limpios[[#This Row],[Price INR   ]]*0.011</f>
        <v>6875</v>
      </c>
      <c r="F1768" s="13">
        <v>2015</v>
      </c>
      <c r="G1768" s="2">
        <v>76000</v>
      </c>
      <c r="H1768" s="8" t="s">
        <v>19</v>
      </c>
      <c r="I1768" s="8" t="s">
        <v>13</v>
      </c>
      <c r="J1768" s="8" t="s">
        <v>20</v>
      </c>
      <c r="K1768" t="s">
        <v>557</v>
      </c>
      <c r="L1768" t="s">
        <v>558</v>
      </c>
      <c r="M1768" s="2">
        <f>VALUE(MID(L1768,1,FIND("@",L1768)-6))</f>
        <v>67</v>
      </c>
      <c r="N1768">
        <v>5</v>
      </c>
      <c r="O1768" t="str">
        <f>IF(datos_limpios[[#This Row],[Seating Capacity ]]&gt;4,"SI","NO")</f>
        <v>SI</v>
      </c>
      <c r="P1768">
        <v>45</v>
      </c>
    </row>
    <row r="1769" spans="1:16" x14ac:dyDescent="0.3">
      <c r="A1769" s="8" t="s">
        <v>28</v>
      </c>
      <c r="B1769" s="8" t="s">
        <v>349</v>
      </c>
      <c r="C1769" s="9">
        <v>1770</v>
      </c>
      <c r="D1769" s="3">
        <v>645000</v>
      </c>
      <c r="E1769" s="1">
        <f>datos_limpios[[#This Row],[Price INR   ]]*0.011</f>
        <v>7095</v>
      </c>
      <c r="F1769" s="13">
        <v>2013</v>
      </c>
      <c r="G1769" s="2">
        <v>76000</v>
      </c>
      <c r="H1769" s="8" t="s">
        <v>19</v>
      </c>
      <c r="I1769" s="8" t="s">
        <v>13</v>
      </c>
      <c r="J1769" s="8" t="s">
        <v>14</v>
      </c>
      <c r="K1769" t="s">
        <v>150</v>
      </c>
      <c r="L1769" t="s">
        <v>1506</v>
      </c>
      <c r="M1769" s="2">
        <f>VALUE(MID(L1769,1,FIND("@",L1769)-6))</f>
        <v>102</v>
      </c>
      <c r="N1769">
        <v>7</v>
      </c>
      <c r="O1769" t="str">
        <f>IF(datos_limpios[[#This Row],[Seating Capacity ]]&gt;4,"SI","NO")</f>
        <v>SI</v>
      </c>
      <c r="P1769">
        <v>55</v>
      </c>
    </row>
    <row r="1770" spans="1:16" x14ac:dyDescent="0.3">
      <c r="A1770" s="8" t="s">
        <v>28</v>
      </c>
      <c r="B1770" s="8" t="s">
        <v>1236</v>
      </c>
      <c r="C1770" s="9">
        <v>1771</v>
      </c>
      <c r="D1770" s="3">
        <v>650000</v>
      </c>
      <c r="E1770" s="1">
        <f>datos_limpios[[#This Row],[Price INR   ]]*0.011</f>
        <v>7150</v>
      </c>
      <c r="F1770" s="13">
        <v>2012</v>
      </c>
      <c r="G1770" s="2">
        <v>143477</v>
      </c>
      <c r="H1770" s="8" t="s">
        <v>19</v>
      </c>
      <c r="I1770" s="8" t="s">
        <v>13</v>
      </c>
      <c r="J1770" s="8" t="s">
        <v>131</v>
      </c>
      <c r="K1770" t="s">
        <v>150</v>
      </c>
      <c r="L1770" t="s">
        <v>1506</v>
      </c>
      <c r="M1770" s="2">
        <f>VALUE(MID(L1770,1,FIND("@",L1770)-6))</f>
        <v>102</v>
      </c>
      <c r="N1770">
        <v>7</v>
      </c>
      <c r="O1770" t="str">
        <f>IF(datos_limpios[[#This Row],[Seating Capacity ]]&gt;4,"SI","NO")</f>
        <v>SI</v>
      </c>
      <c r="P1770">
        <v>55</v>
      </c>
    </row>
    <row r="1771" spans="1:16" x14ac:dyDescent="0.3">
      <c r="A1771" s="8" t="s">
        <v>28</v>
      </c>
      <c r="B1771" s="8" t="s">
        <v>933</v>
      </c>
      <c r="C1771" s="9">
        <v>1772</v>
      </c>
      <c r="D1771" s="3">
        <v>680000</v>
      </c>
      <c r="E1771" s="1">
        <f>datos_limpios[[#This Row],[Price INR   ]]*0.011</f>
        <v>7480</v>
      </c>
      <c r="F1771" s="13">
        <v>2014</v>
      </c>
      <c r="G1771" s="2">
        <v>85000</v>
      </c>
      <c r="H1771" s="8" t="s">
        <v>19</v>
      </c>
      <c r="I1771" s="8" t="s">
        <v>13</v>
      </c>
      <c r="J1771" s="8" t="s">
        <v>20</v>
      </c>
      <c r="K1771" t="s">
        <v>557</v>
      </c>
      <c r="L1771" t="s">
        <v>934</v>
      </c>
      <c r="M1771" s="2">
        <f>VALUE(MID(L1771,1,FIND("@",L1771)-6))</f>
        <v>87</v>
      </c>
      <c r="N1771">
        <v>5</v>
      </c>
      <c r="O1771" t="str">
        <f>IF(datos_limpios[[#This Row],[Seating Capacity ]]&gt;4,"SI","NO")</f>
        <v>SI</v>
      </c>
      <c r="P1771">
        <v>50</v>
      </c>
    </row>
    <row r="1772" spans="1:16" x14ac:dyDescent="0.3">
      <c r="A1772" s="8" t="s">
        <v>28</v>
      </c>
      <c r="B1772" s="8" t="s">
        <v>29</v>
      </c>
      <c r="C1772" s="9">
        <v>1773</v>
      </c>
      <c r="D1772" s="3">
        <v>690000</v>
      </c>
      <c r="E1772" s="1">
        <f>datos_limpios[[#This Row],[Price INR   ]]*0.011</f>
        <v>7590</v>
      </c>
      <c r="F1772" s="13">
        <v>2020</v>
      </c>
      <c r="G1772" s="2">
        <v>55000</v>
      </c>
      <c r="H1772" s="8" t="s">
        <v>12</v>
      </c>
      <c r="I1772" s="8" t="s">
        <v>13</v>
      </c>
      <c r="J1772" s="8" t="s">
        <v>57</v>
      </c>
      <c r="K1772" t="s">
        <v>26</v>
      </c>
      <c r="L1772" t="s">
        <v>31</v>
      </c>
      <c r="M1772" s="2">
        <f>VALUE(MID(L1772,1,FIND("@",L1772)-6))</f>
        <v>82</v>
      </c>
      <c r="N1772">
        <v>5</v>
      </c>
      <c r="O1772" t="str">
        <f>IF(datos_limpios[[#This Row],[Seating Capacity ]]&gt;4,"SI","NO")</f>
        <v>SI</v>
      </c>
      <c r="P1772">
        <v>37</v>
      </c>
    </row>
    <row r="1773" spans="1:16" x14ac:dyDescent="0.3">
      <c r="A1773" s="8" t="s">
        <v>28</v>
      </c>
      <c r="B1773" s="8" t="s">
        <v>29</v>
      </c>
      <c r="C1773" s="9">
        <v>1774</v>
      </c>
      <c r="D1773" s="3">
        <v>700000</v>
      </c>
      <c r="E1773" s="1">
        <f>datos_limpios[[#This Row],[Price INR   ]]*0.011</f>
        <v>7700</v>
      </c>
      <c r="F1773" s="13">
        <v>2019</v>
      </c>
      <c r="G1773" s="2">
        <v>19244</v>
      </c>
      <c r="H1773" s="8" t="s">
        <v>12</v>
      </c>
      <c r="I1773" s="8" t="s">
        <v>13</v>
      </c>
      <c r="J1773" s="8" t="s">
        <v>30</v>
      </c>
      <c r="K1773" t="s">
        <v>26</v>
      </c>
      <c r="L1773" t="s">
        <v>31</v>
      </c>
      <c r="M1773" s="2">
        <f>VALUE(MID(L1773,1,FIND("@",L1773)-6))</f>
        <v>82</v>
      </c>
      <c r="N1773">
        <v>5</v>
      </c>
      <c r="O1773" t="str">
        <f>IF(datos_limpios[[#This Row],[Seating Capacity ]]&gt;4,"SI","NO")</f>
        <v>SI</v>
      </c>
      <c r="P1773">
        <v>37</v>
      </c>
    </row>
    <row r="1774" spans="1:16" x14ac:dyDescent="0.3">
      <c r="A1774" s="8" t="s">
        <v>28</v>
      </c>
      <c r="B1774" s="8" t="s">
        <v>233</v>
      </c>
      <c r="C1774" s="9">
        <v>1775</v>
      </c>
      <c r="D1774" s="3">
        <v>725000</v>
      </c>
      <c r="E1774" s="1">
        <f>datos_limpios[[#This Row],[Price INR   ]]*0.011</f>
        <v>7974.9999999999991</v>
      </c>
      <c r="F1774" s="13">
        <v>2014</v>
      </c>
      <c r="G1774" s="2">
        <v>104814</v>
      </c>
      <c r="H1774" s="8" t="s">
        <v>12</v>
      </c>
      <c r="I1774" s="8" t="s">
        <v>13</v>
      </c>
      <c r="J1774" s="8" t="s">
        <v>14</v>
      </c>
      <c r="K1774" t="s">
        <v>45</v>
      </c>
      <c r="L1774" t="s">
        <v>124</v>
      </c>
      <c r="M1774" s="2">
        <f>VALUE(MID(L1774,1,FIND("@",L1774)-6))</f>
        <v>138</v>
      </c>
      <c r="N1774">
        <v>5</v>
      </c>
      <c r="O1774" t="str">
        <f>IF(datos_limpios[[#This Row],[Seating Capacity ]]&gt;4,"SI","NO")</f>
        <v>SI</v>
      </c>
      <c r="P1774">
        <v>55</v>
      </c>
    </row>
    <row r="1775" spans="1:16" x14ac:dyDescent="0.3">
      <c r="A1775" s="8" t="s">
        <v>28</v>
      </c>
      <c r="B1775" s="8" t="s">
        <v>998</v>
      </c>
      <c r="C1775" s="9">
        <v>1776</v>
      </c>
      <c r="D1775" s="3">
        <v>735000</v>
      </c>
      <c r="E1775" s="1">
        <f>datos_limpios[[#This Row],[Price INR   ]]*0.011</f>
        <v>8084.9999999999991</v>
      </c>
      <c r="F1775" s="13">
        <v>2019</v>
      </c>
      <c r="G1775" s="2">
        <v>55000</v>
      </c>
      <c r="H1775" s="8" t="s">
        <v>12</v>
      </c>
      <c r="I1775" s="8" t="s">
        <v>13</v>
      </c>
      <c r="J1775" s="8" t="s">
        <v>77</v>
      </c>
      <c r="K1775" t="s">
        <v>26</v>
      </c>
      <c r="L1775" t="s">
        <v>31</v>
      </c>
      <c r="M1775" s="2">
        <f>VALUE(MID(L1775,1,FIND("@",L1775)-6))</f>
        <v>82</v>
      </c>
      <c r="N1775">
        <v>5</v>
      </c>
      <c r="O1775" t="str">
        <f>IF(datos_limpios[[#This Row],[Seating Capacity ]]&gt;4,"SI","NO")</f>
        <v>SI</v>
      </c>
      <c r="P1775">
        <v>37</v>
      </c>
    </row>
    <row r="1776" spans="1:16" x14ac:dyDescent="0.3">
      <c r="A1776" s="8" t="s">
        <v>28</v>
      </c>
      <c r="B1776" s="8" t="s">
        <v>408</v>
      </c>
      <c r="C1776" s="9">
        <v>1777</v>
      </c>
      <c r="D1776" s="3">
        <v>750000</v>
      </c>
      <c r="E1776" s="1">
        <f>datos_limpios[[#This Row],[Price INR   ]]*0.011</f>
        <v>8250</v>
      </c>
      <c r="F1776" s="13">
        <v>2011</v>
      </c>
      <c r="G1776" s="2">
        <v>117000</v>
      </c>
      <c r="H1776" s="8" t="s">
        <v>19</v>
      </c>
      <c r="I1776" s="8" t="s">
        <v>13</v>
      </c>
      <c r="J1776" s="8" t="s">
        <v>20</v>
      </c>
      <c r="K1776" t="s">
        <v>245</v>
      </c>
      <c r="L1776" t="s">
        <v>1505</v>
      </c>
      <c r="M1776" s="2">
        <f>VALUE(MID(L1776,1,FIND("@",L1776)-6))</f>
        <v>17</v>
      </c>
      <c r="N1776">
        <v>7</v>
      </c>
      <c r="O1776" t="str">
        <f>IF(datos_limpios[[#This Row],[Seating Capacity ]]&gt;4,"SI","NO")</f>
        <v>SI</v>
      </c>
      <c r="P1776">
        <v>80</v>
      </c>
    </row>
    <row r="1777" spans="1:16" x14ac:dyDescent="0.3">
      <c r="A1777" s="8" t="s">
        <v>28</v>
      </c>
      <c r="B1777" s="8" t="s">
        <v>715</v>
      </c>
      <c r="C1777" s="9">
        <v>1778</v>
      </c>
      <c r="D1777" s="3">
        <v>750000</v>
      </c>
      <c r="E1777" s="1">
        <f>datos_limpios[[#This Row],[Price INR   ]]*0.011</f>
        <v>8250</v>
      </c>
      <c r="F1777" s="13">
        <v>2014</v>
      </c>
      <c r="G1777" s="2">
        <v>126000</v>
      </c>
      <c r="H1777" s="8" t="s">
        <v>19</v>
      </c>
      <c r="I1777" s="8" t="s">
        <v>13</v>
      </c>
      <c r="J1777" s="8" t="s">
        <v>77</v>
      </c>
      <c r="K1777" t="s">
        <v>150</v>
      </c>
      <c r="L1777" t="s">
        <v>716</v>
      </c>
      <c r="M1777" s="2">
        <f>VALUE(MID(L1777,1,FIND("@",L1777)-6))</f>
        <v>100</v>
      </c>
      <c r="N1777">
        <v>7</v>
      </c>
      <c r="O1777" t="str">
        <f>IF(datos_limpios[[#This Row],[Seating Capacity ]]&gt;4,"SI","NO")</f>
        <v>SI</v>
      </c>
      <c r="P1777">
        <v>55</v>
      </c>
    </row>
    <row r="1778" spans="1:16" x14ac:dyDescent="0.3">
      <c r="A1778" s="8" t="s">
        <v>28</v>
      </c>
      <c r="B1778" s="8" t="s">
        <v>447</v>
      </c>
      <c r="C1778" s="9">
        <v>1779</v>
      </c>
      <c r="D1778" s="3">
        <v>790000</v>
      </c>
      <c r="E1778" s="1">
        <f>datos_limpios[[#This Row],[Price INR   ]]*0.011</f>
        <v>8690</v>
      </c>
      <c r="F1778" s="13">
        <v>2019</v>
      </c>
      <c r="G1778" s="2">
        <v>25000</v>
      </c>
      <c r="H1778" s="8" t="s">
        <v>12</v>
      </c>
      <c r="I1778" s="8" t="s">
        <v>40</v>
      </c>
      <c r="J1778" s="8" t="s">
        <v>30</v>
      </c>
      <c r="K1778" t="s">
        <v>26</v>
      </c>
      <c r="L1778" t="s">
        <v>31</v>
      </c>
      <c r="M1778" s="2">
        <f>VALUE(MID(L1778,1,FIND("@",L1778)-6))</f>
        <v>82</v>
      </c>
      <c r="N1778">
        <v>5</v>
      </c>
      <c r="O1778" t="str">
        <f>IF(datos_limpios[[#This Row],[Seating Capacity ]]&gt;4,"SI","NO")</f>
        <v>SI</v>
      </c>
      <c r="P1778">
        <v>37</v>
      </c>
    </row>
    <row r="1779" spans="1:16" x14ac:dyDescent="0.3">
      <c r="A1779" s="8" t="s">
        <v>28</v>
      </c>
      <c r="B1779" s="8" t="s">
        <v>29</v>
      </c>
      <c r="C1779" s="9">
        <v>1780</v>
      </c>
      <c r="D1779" s="3">
        <v>799000</v>
      </c>
      <c r="E1779" s="1">
        <f>datos_limpios[[#This Row],[Price INR   ]]*0.011</f>
        <v>8789</v>
      </c>
      <c r="F1779" s="13">
        <v>2019</v>
      </c>
      <c r="G1779" s="2">
        <v>37500</v>
      </c>
      <c r="H1779" s="8" t="s">
        <v>12</v>
      </c>
      <c r="I1779" s="8" t="s">
        <v>13</v>
      </c>
      <c r="J1779" s="8" t="s">
        <v>30</v>
      </c>
      <c r="K1779" t="s">
        <v>26</v>
      </c>
      <c r="L1779" t="s">
        <v>31</v>
      </c>
      <c r="M1779" s="2">
        <f>VALUE(MID(L1779,1,FIND("@",L1779)-6))</f>
        <v>82</v>
      </c>
      <c r="N1779">
        <v>5</v>
      </c>
      <c r="O1779" t="str">
        <f>IF(datos_limpios[[#This Row],[Seating Capacity ]]&gt;4,"SI","NO")</f>
        <v>SI</v>
      </c>
      <c r="P1779">
        <v>37</v>
      </c>
    </row>
    <row r="1780" spans="1:16" x14ac:dyDescent="0.3">
      <c r="A1780" s="8" t="s">
        <v>28</v>
      </c>
      <c r="B1780" s="8" t="s">
        <v>408</v>
      </c>
      <c r="C1780" s="9">
        <v>1781</v>
      </c>
      <c r="D1780" s="3">
        <v>825000</v>
      </c>
      <c r="E1780" s="1">
        <f>datos_limpios[[#This Row],[Price INR   ]]*0.011</f>
        <v>9075</v>
      </c>
      <c r="F1780" s="13">
        <v>2010</v>
      </c>
      <c r="G1780" s="2">
        <v>114000</v>
      </c>
      <c r="H1780" s="8" t="s">
        <v>19</v>
      </c>
      <c r="I1780" s="8" t="s">
        <v>13</v>
      </c>
      <c r="J1780" s="8" t="s">
        <v>101</v>
      </c>
      <c r="K1780" t="s">
        <v>245</v>
      </c>
      <c r="L1780" t="s">
        <v>1491</v>
      </c>
      <c r="M1780" s="2">
        <f>VALUE(MID(L1780,1,FIND("@",L1780)-6))</f>
        <v>171</v>
      </c>
      <c r="N1780">
        <v>7</v>
      </c>
      <c r="O1780" t="str">
        <f>IF(datos_limpios[[#This Row],[Seating Capacity ]]&gt;4,"SI","NO")</f>
        <v>SI</v>
      </c>
      <c r="P1780">
        <v>80</v>
      </c>
    </row>
    <row r="1781" spans="1:16" x14ac:dyDescent="0.3">
      <c r="A1781" s="8" t="s">
        <v>28</v>
      </c>
      <c r="B1781" s="8" t="s">
        <v>29</v>
      </c>
      <c r="C1781" s="9">
        <v>1782</v>
      </c>
      <c r="D1781" s="3">
        <v>860000</v>
      </c>
      <c r="E1781" s="1">
        <f>datos_limpios[[#This Row],[Price INR   ]]*0.011</f>
        <v>9460</v>
      </c>
      <c r="F1781" s="13">
        <v>2021</v>
      </c>
      <c r="G1781" s="2">
        <v>11030</v>
      </c>
      <c r="H1781" s="8" t="s">
        <v>12</v>
      </c>
      <c r="I1781" s="8" t="s">
        <v>13</v>
      </c>
      <c r="J1781" s="8" t="s">
        <v>57</v>
      </c>
      <c r="K1781" t="s">
        <v>26</v>
      </c>
      <c r="L1781" t="s">
        <v>31</v>
      </c>
      <c r="M1781" s="2">
        <f>VALUE(MID(L1781,1,FIND("@",L1781)-6))</f>
        <v>82</v>
      </c>
      <c r="N1781">
        <v>5</v>
      </c>
      <c r="O1781" t="str">
        <f>IF(datos_limpios[[#This Row],[Seating Capacity ]]&gt;4,"SI","NO")</f>
        <v>SI</v>
      </c>
      <c r="P1781">
        <v>37</v>
      </c>
    </row>
    <row r="1782" spans="1:16" x14ac:dyDescent="0.3">
      <c r="A1782" s="8" t="s">
        <v>28</v>
      </c>
      <c r="B1782" s="8" t="s">
        <v>149</v>
      </c>
      <c r="C1782" s="9">
        <v>1783</v>
      </c>
      <c r="D1782" s="3">
        <v>865000</v>
      </c>
      <c r="E1782" s="1">
        <f>datos_limpios[[#This Row],[Price INR   ]]*0.011</f>
        <v>9515</v>
      </c>
      <c r="F1782" s="13">
        <v>2015</v>
      </c>
      <c r="G1782" s="2">
        <v>43634</v>
      </c>
      <c r="H1782" s="8" t="s">
        <v>19</v>
      </c>
      <c r="I1782" s="8" t="s">
        <v>13</v>
      </c>
      <c r="J1782" s="8" t="s">
        <v>77</v>
      </c>
      <c r="K1782" t="s">
        <v>150</v>
      </c>
      <c r="L1782" t="s">
        <v>151</v>
      </c>
      <c r="M1782" s="2">
        <f>VALUE(MID(L1782,1,FIND("@",L1782)-6))</f>
        <v>101</v>
      </c>
      <c r="N1782">
        <v>7</v>
      </c>
      <c r="O1782" t="str">
        <f>IF(datos_limpios[[#This Row],[Seating Capacity ]]&gt;4,"SI","NO")</f>
        <v>SI</v>
      </c>
      <c r="P1782">
        <v>55</v>
      </c>
    </row>
    <row r="1783" spans="1:16" x14ac:dyDescent="0.3">
      <c r="A1783" s="8" t="s">
        <v>28</v>
      </c>
      <c r="B1783" s="8" t="s">
        <v>1124</v>
      </c>
      <c r="C1783" s="9">
        <v>1784</v>
      </c>
      <c r="D1783" s="3">
        <v>875000</v>
      </c>
      <c r="E1783" s="1">
        <f>datos_limpios[[#This Row],[Price INR   ]]*0.011</f>
        <v>9625</v>
      </c>
      <c r="F1783" s="13">
        <v>2018</v>
      </c>
      <c r="G1783" s="2">
        <v>23148</v>
      </c>
      <c r="H1783" s="8" t="s">
        <v>12</v>
      </c>
      <c r="I1783" s="8" t="s">
        <v>40</v>
      </c>
      <c r="J1783" s="8" t="s">
        <v>30</v>
      </c>
      <c r="K1783" t="s">
        <v>683</v>
      </c>
      <c r="L1783" t="s">
        <v>1076</v>
      </c>
      <c r="M1783" s="2">
        <f>VALUE(MID(L1783,1,FIND("@",L1783)-6))</f>
        <v>106</v>
      </c>
      <c r="N1783">
        <v>5</v>
      </c>
      <c r="O1783" t="str">
        <f>IF(datos_limpios[[#This Row],[Seating Capacity ]]&gt;4,"SI","NO")</f>
        <v>SI</v>
      </c>
      <c r="P1783">
        <v>42</v>
      </c>
    </row>
    <row r="1784" spans="1:16" x14ac:dyDescent="0.3">
      <c r="A1784" s="8" t="s">
        <v>28</v>
      </c>
      <c r="B1784" s="8" t="s">
        <v>897</v>
      </c>
      <c r="C1784" s="9">
        <v>1785</v>
      </c>
      <c r="D1784" s="3">
        <v>890000</v>
      </c>
      <c r="E1784" s="1">
        <f>datos_limpios[[#This Row],[Price INR   ]]*0.011</f>
        <v>9790</v>
      </c>
      <c r="F1784" s="13">
        <v>2014</v>
      </c>
      <c r="G1784" s="2">
        <v>63000</v>
      </c>
      <c r="H1784" s="8" t="s">
        <v>12</v>
      </c>
      <c r="I1784" s="8" t="s">
        <v>40</v>
      </c>
      <c r="J1784" s="8" t="s">
        <v>14</v>
      </c>
      <c r="K1784" t="s">
        <v>45</v>
      </c>
      <c r="L1784" t="s">
        <v>124</v>
      </c>
      <c r="M1784" s="2">
        <f>VALUE(MID(L1784,1,FIND("@",L1784)-6))</f>
        <v>138</v>
      </c>
      <c r="N1784">
        <v>5</v>
      </c>
      <c r="O1784" t="str">
        <f>IF(datos_limpios[[#This Row],[Seating Capacity ]]&gt;4,"SI","NO")</f>
        <v>SI</v>
      </c>
      <c r="P1784">
        <v>55</v>
      </c>
    </row>
    <row r="1785" spans="1:16" x14ac:dyDescent="0.3">
      <c r="A1785" s="8" t="s">
        <v>28</v>
      </c>
      <c r="B1785" s="8" t="s">
        <v>454</v>
      </c>
      <c r="C1785" s="9">
        <v>1786</v>
      </c>
      <c r="D1785" s="3">
        <v>894999</v>
      </c>
      <c r="E1785" s="1">
        <f>datos_limpios[[#This Row],[Price INR   ]]*0.011</f>
        <v>9844.9889999999996</v>
      </c>
      <c r="F1785" s="13">
        <v>2015</v>
      </c>
      <c r="G1785" s="2">
        <v>39780</v>
      </c>
      <c r="H1785" s="8" t="s">
        <v>12</v>
      </c>
      <c r="I1785" s="8" t="s">
        <v>40</v>
      </c>
      <c r="J1785" s="8" t="s">
        <v>20</v>
      </c>
      <c r="K1785" t="s">
        <v>45</v>
      </c>
      <c r="L1785" t="s">
        <v>124</v>
      </c>
      <c r="M1785" s="2">
        <f>VALUE(MID(L1785,1,FIND("@",L1785)-6))</f>
        <v>138</v>
      </c>
      <c r="N1785">
        <v>5</v>
      </c>
      <c r="O1785" t="str">
        <f>IF(datos_limpios[[#This Row],[Seating Capacity ]]&gt;4,"SI","NO")</f>
        <v>SI</v>
      </c>
      <c r="P1785">
        <v>55</v>
      </c>
    </row>
    <row r="1786" spans="1:16" x14ac:dyDescent="0.3">
      <c r="A1786" s="8" t="s">
        <v>28</v>
      </c>
      <c r="B1786" s="8" t="s">
        <v>1377</v>
      </c>
      <c r="C1786" s="9">
        <v>1787</v>
      </c>
      <c r="D1786" s="3">
        <v>899000</v>
      </c>
      <c r="E1786" s="1">
        <f>datos_limpios[[#This Row],[Price INR   ]]*0.011</f>
        <v>9889</v>
      </c>
      <c r="F1786" s="13">
        <v>2015</v>
      </c>
      <c r="G1786" s="2">
        <v>125000</v>
      </c>
      <c r="H1786" s="8" t="s">
        <v>19</v>
      </c>
      <c r="I1786" s="8" t="s">
        <v>13</v>
      </c>
      <c r="J1786" s="8" t="s">
        <v>77</v>
      </c>
      <c r="K1786" t="s">
        <v>150</v>
      </c>
      <c r="L1786" t="s">
        <v>151</v>
      </c>
      <c r="M1786" s="2">
        <f>VALUE(MID(L1786,1,FIND("@",L1786)-6))</f>
        <v>101</v>
      </c>
      <c r="N1786">
        <v>8</v>
      </c>
      <c r="O1786" t="str">
        <f>IF(datos_limpios[[#This Row],[Seating Capacity ]]&gt;4,"SI","NO")</f>
        <v>SI</v>
      </c>
      <c r="P1786">
        <v>55</v>
      </c>
    </row>
    <row r="1787" spans="1:16" x14ac:dyDescent="0.3">
      <c r="A1787" s="8" t="s">
        <v>28</v>
      </c>
      <c r="B1787" s="8" t="s">
        <v>1190</v>
      </c>
      <c r="C1787" s="9">
        <v>1788</v>
      </c>
      <c r="D1787" s="3">
        <v>944999</v>
      </c>
      <c r="E1787" s="1">
        <f>datos_limpios[[#This Row],[Price INR   ]]*0.011</f>
        <v>10394.989</v>
      </c>
      <c r="F1787" s="13">
        <v>2016</v>
      </c>
      <c r="G1787" s="2">
        <v>65321</v>
      </c>
      <c r="H1787" s="8" t="s">
        <v>19</v>
      </c>
      <c r="I1787" s="8" t="s">
        <v>13</v>
      </c>
      <c r="J1787" s="8" t="s">
        <v>20</v>
      </c>
      <c r="K1787" t="s">
        <v>150</v>
      </c>
      <c r="L1787" t="s">
        <v>151</v>
      </c>
      <c r="M1787" s="2">
        <f>VALUE(MID(L1787,1,FIND("@",L1787)-6))</f>
        <v>101</v>
      </c>
      <c r="N1787">
        <v>8</v>
      </c>
      <c r="O1787" t="str">
        <f>IF(datos_limpios[[#This Row],[Seating Capacity ]]&gt;4,"SI","NO")</f>
        <v>SI</v>
      </c>
      <c r="P1787">
        <v>55</v>
      </c>
    </row>
    <row r="1788" spans="1:16" x14ac:dyDescent="0.3">
      <c r="A1788" s="8" t="s">
        <v>28</v>
      </c>
      <c r="B1788" s="8" t="s">
        <v>1236</v>
      </c>
      <c r="C1788" s="9">
        <v>1789</v>
      </c>
      <c r="D1788" s="3">
        <v>960000</v>
      </c>
      <c r="E1788" s="1">
        <f>datos_limpios[[#This Row],[Price INR   ]]*0.011</f>
        <v>10560</v>
      </c>
      <c r="F1788" s="13">
        <v>2012</v>
      </c>
      <c r="G1788" s="2">
        <v>222000</v>
      </c>
      <c r="H1788" s="8" t="s">
        <v>19</v>
      </c>
      <c r="I1788" s="8" t="s">
        <v>13</v>
      </c>
      <c r="J1788" s="8" t="s">
        <v>77</v>
      </c>
      <c r="K1788" t="s">
        <v>150</v>
      </c>
      <c r="L1788" t="s">
        <v>1506</v>
      </c>
      <c r="M1788" s="2">
        <f>VALUE(MID(L1788,1,FIND("@",L1788)-6))</f>
        <v>102</v>
      </c>
      <c r="N1788">
        <v>7</v>
      </c>
      <c r="O1788" t="str">
        <f>IF(datos_limpios[[#This Row],[Seating Capacity ]]&gt;4,"SI","NO")</f>
        <v>SI</v>
      </c>
      <c r="P1788">
        <v>55</v>
      </c>
    </row>
    <row r="1789" spans="1:16" x14ac:dyDescent="0.3">
      <c r="A1789" s="8" t="s">
        <v>28</v>
      </c>
      <c r="B1789" s="8" t="s">
        <v>149</v>
      </c>
      <c r="C1789" s="9">
        <v>1790</v>
      </c>
      <c r="D1789" s="3">
        <v>990000</v>
      </c>
      <c r="E1789" s="1">
        <f>datos_limpios[[#This Row],[Price INR   ]]*0.011</f>
        <v>10890</v>
      </c>
      <c r="F1789" s="13">
        <v>2015</v>
      </c>
      <c r="G1789" s="2">
        <v>98000</v>
      </c>
      <c r="H1789" s="8" t="s">
        <v>19</v>
      </c>
      <c r="I1789" s="8" t="s">
        <v>13</v>
      </c>
      <c r="J1789" s="8" t="s">
        <v>131</v>
      </c>
      <c r="K1789" t="s">
        <v>150</v>
      </c>
      <c r="L1789" t="s">
        <v>151</v>
      </c>
      <c r="M1789" s="2">
        <f>VALUE(MID(L1789,1,FIND("@",L1789)-6))</f>
        <v>101</v>
      </c>
      <c r="N1789">
        <v>7</v>
      </c>
      <c r="O1789" t="str">
        <f>IF(datos_limpios[[#This Row],[Seating Capacity ]]&gt;4,"SI","NO")</f>
        <v>SI</v>
      </c>
      <c r="P1789">
        <v>55</v>
      </c>
    </row>
    <row r="1790" spans="1:16" x14ac:dyDescent="0.3">
      <c r="A1790" s="8" t="s">
        <v>28</v>
      </c>
      <c r="B1790" s="8" t="s">
        <v>1278</v>
      </c>
      <c r="C1790" s="9">
        <v>1791</v>
      </c>
      <c r="D1790" s="3">
        <v>1000000</v>
      </c>
      <c r="E1790" s="1">
        <f>datos_limpios[[#This Row],[Price INR   ]]*0.011</f>
        <v>11000</v>
      </c>
      <c r="F1790" s="13">
        <v>2014</v>
      </c>
      <c r="G1790" s="2">
        <v>158690</v>
      </c>
      <c r="H1790" s="8" t="s">
        <v>19</v>
      </c>
      <c r="I1790" s="8" t="s">
        <v>13</v>
      </c>
      <c r="J1790" s="8" t="s">
        <v>77</v>
      </c>
      <c r="K1790" t="s">
        <v>150</v>
      </c>
      <c r="L1790" t="s">
        <v>716</v>
      </c>
      <c r="M1790" s="2">
        <f>VALUE(MID(L1790,1,FIND("@",L1790)-6))</f>
        <v>100</v>
      </c>
      <c r="N1790">
        <v>7</v>
      </c>
      <c r="O1790" t="str">
        <f>IF(datos_limpios[[#This Row],[Seating Capacity ]]&gt;4,"SI","NO")</f>
        <v>SI</v>
      </c>
      <c r="P1790">
        <v>55</v>
      </c>
    </row>
    <row r="1791" spans="1:16" x14ac:dyDescent="0.3">
      <c r="A1791" s="8" t="s">
        <v>28</v>
      </c>
      <c r="B1791" s="8" t="s">
        <v>408</v>
      </c>
      <c r="C1791" s="9">
        <v>1792</v>
      </c>
      <c r="D1791" s="3">
        <v>1000000</v>
      </c>
      <c r="E1791" s="1">
        <f>datos_limpios[[#This Row],[Price INR   ]]*0.011</f>
        <v>11000</v>
      </c>
      <c r="F1791" s="13">
        <v>2010</v>
      </c>
      <c r="G1791" s="2">
        <v>127000</v>
      </c>
      <c r="H1791" s="8" t="s">
        <v>19</v>
      </c>
      <c r="I1791" s="8" t="s">
        <v>13</v>
      </c>
      <c r="J1791" s="8" t="s">
        <v>20</v>
      </c>
      <c r="K1791" t="s">
        <v>245</v>
      </c>
      <c r="L1791" t="s">
        <v>1491</v>
      </c>
      <c r="M1791" s="2">
        <f>VALUE(MID(L1791,1,FIND("@",L1791)-6))</f>
        <v>171</v>
      </c>
      <c r="N1791">
        <v>7</v>
      </c>
      <c r="O1791" t="str">
        <f>IF(datos_limpios[[#This Row],[Seating Capacity ]]&gt;4,"SI","NO")</f>
        <v>SI</v>
      </c>
      <c r="P1791">
        <v>80</v>
      </c>
    </row>
    <row r="1792" spans="1:16" x14ac:dyDescent="0.3">
      <c r="A1792" s="8" t="s">
        <v>28</v>
      </c>
      <c r="B1792" s="8" t="s">
        <v>819</v>
      </c>
      <c r="C1792" s="9">
        <v>1793</v>
      </c>
      <c r="D1792" s="3">
        <v>1050000</v>
      </c>
      <c r="E1792" s="1">
        <f>datos_limpios[[#This Row],[Price INR   ]]*0.011</f>
        <v>11550</v>
      </c>
      <c r="F1792" s="13">
        <v>2021</v>
      </c>
      <c r="G1792" s="2">
        <v>1910</v>
      </c>
      <c r="H1792" s="8" t="s">
        <v>12</v>
      </c>
      <c r="I1792" s="8" t="s">
        <v>40</v>
      </c>
      <c r="J1792" s="8" t="s">
        <v>20</v>
      </c>
      <c r="K1792" t="s">
        <v>58</v>
      </c>
      <c r="L1792" t="s">
        <v>59</v>
      </c>
      <c r="M1792" s="2">
        <f>VALUE(MID(L1792,1,FIND("@",L1792)-6))</f>
        <v>103</v>
      </c>
      <c r="N1792">
        <v>5</v>
      </c>
      <c r="O1792" t="str">
        <f>IF(datos_limpios[[#This Row],[Seating Capacity ]]&gt;4,"SI","NO")</f>
        <v>SI</v>
      </c>
      <c r="P1792">
        <v>48</v>
      </c>
    </row>
    <row r="1793" spans="1:16" x14ac:dyDescent="0.3">
      <c r="A1793" s="8" t="s">
        <v>28</v>
      </c>
      <c r="B1793" s="8" t="s">
        <v>244</v>
      </c>
      <c r="C1793" s="9">
        <v>1794</v>
      </c>
      <c r="D1793" s="3">
        <v>1075000</v>
      </c>
      <c r="E1793" s="1">
        <f>datos_limpios[[#This Row],[Price INR   ]]*0.011</f>
        <v>11825</v>
      </c>
      <c r="F1793" s="13">
        <v>2013</v>
      </c>
      <c r="G1793" s="2">
        <v>125000</v>
      </c>
      <c r="H1793" s="8" t="s">
        <v>19</v>
      </c>
      <c r="I1793" s="8" t="s">
        <v>40</v>
      </c>
      <c r="J1793" s="8" t="s">
        <v>20</v>
      </c>
      <c r="K1793" t="s">
        <v>245</v>
      </c>
      <c r="L1793" t="s">
        <v>246</v>
      </c>
      <c r="M1793" s="2">
        <f>VALUE(MID(L1793,1,FIND("@",L1793)-6))</f>
        <v>169</v>
      </c>
      <c r="N1793">
        <v>7</v>
      </c>
      <c r="O1793" t="str">
        <f>IF(datos_limpios[[#This Row],[Seating Capacity ]]&gt;4,"SI","NO")</f>
        <v>SI</v>
      </c>
      <c r="P1793">
        <v>80</v>
      </c>
    </row>
    <row r="1794" spans="1:16" x14ac:dyDescent="0.3">
      <c r="A1794" s="8" t="s">
        <v>28</v>
      </c>
      <c r="B1794" s="8" t="s">
        <v>1402</v>
      </c>
      <c r="C1794" s="9">
        <v>1795</v>
      </c>
      <c r="D1794" s="3">
        <v>1075000</v>
      </c>
      <c r="E1794" s="1">
        <f>datos_limpios[[#This Row],[Price INR   ]]*0.011</f>
        <v>11825</v>
      </c>
      <c r="F1794" s="13">
        <v>2016</v>
      </c>
      <c r="G1794" s="2">
        <v>70000</v>
      </c>
      <c r="H1794" s="8" t="s">
        <v>12</v>
      </c>
      <c r="I1794" s="8" t="s">
        <v>13</v>
      </c>
      <c r="J1794" s="8" t="s">
        <v>20</v>
      </c>
      <c r="K1794" t="s">
        <v>45</v>
      </c>
      <c r="L1794" t="s">
        <v>124</v>
      </c>
      <c r="M1794" s="2">
        <f>VALUE(MID(L1794,1,FIND("@",L1794)-6))</f>
        <v>138</v>
      </c>
      <c r="N1794">
        <v>5</v>
      </c>
      <c r="O1794" t="str">
        <f>IF(datos_limpios[[#This Row],[Seating Capacity ]]&gt;4,"SI","NO")</f>
        <v>SI</v>
      </c>
      <c r="P1794">
        <v>55</v>
      </c>
    </row>
    <row r="1795" spans="1:16" x14ac:dyDescent="0.3">
      <c r="A1795" s="8" t="s">
        <v>28</v>
      </c>
      <c r="B1795" s="8" t="s">
        <v>1075</v>
      </c>
      <c r="C1795" s="9">
        <v>1796</v>
      </c>
      <c r="D1795" s="3">
        <v>1090000</v>
      </c>
      <c r="E1795" s="1">
        <f>datos_limpios[[#This Row],[Price INR   ]]*0.011</f>
        <v>11990</v>
      </c>
      <c r="F1795" s="13">
        <v>2019</v>
      </c>
      <c r="G1795" s="2">
        <v>40900</v>
      </c>
      <c r="H1795" s="8" t="s">
        <v>12</v>
      </c>
      <c r="I1795" s="8" t="s">
        <v>40</v>
      </c>
      <c r="J1795" s="8" t="s">
        <v>30</v>
      </c>
      <c r="K1795" t="s">
        <v>683</v>
      </c>
      <c r="L1795" t="s">
        <v>1076</v>
      </c>
      <c r="M1795" s="2">
        <f>VALUE(MID(L1795,1,FIND("@",L1795)-6))</f>
        <v>106</v>
      </c>
      <c r="N1795">
        <v>5</v>
      </c>
      <c r="O1795" t="str">
        <f>IF(datos_limpios[[#This Row],[Seating Capacity ]]&gt;4,"SI","NO")</f>
        <v>SI</v>
      </c>
      <c r="P1795">
        <v>42</v>
      </c>
    </row>
    <row r="1796" spans="1:16" x14ac:dyDescent="0.3">
      <c r="A1796" s="8" t="s">
        <v>28</v>
      </c>
      <c r="B1796" s="8" t="s">
        <v>123</v>
      </c>
      <c r="C1796" s="9">
        <v>1797</v>
      </c>
      <c r="D1796" s="3">
        <v>1095000</v>
      </c>
      <c r="E1796" s="1">
        <f>datos_limpios[[#This Row],[Price INR   ]]*0.011</f>
        <v>12045</v>
      </c>
      <c r="F1796" s="13">
        <v>2016</v>
      </c>
      <c r="G1796" s="2">
        <v>45000</v>
      </c>
      <c r="H1796" s="8" t="s">
        <v>12</v>
      </c>
      <c r="I1796" s="8" t="s">
        <v>40</v>
      </c>
      <c r="J1796" s="8" t="s">
        <v>101</v>
      </c>
      <c r="K1796" t="s">
        <v>45</v>
      </c>
      <c r="L1796" t="s">
        <v>124</v>
      </c>
      <c r="M1796" s="2">
        <f>VALUE(MID(L1796,1,FIND("@",L1796)-6))</f>
        <v>138</v>
      </c>
      <c r="N1796">
        <v>5</v>
      </c>
      <c r="O1796" t="str">
        <f>IF(datos_limpios[[#This Row],[Seating Capacity ]]&gt;4,"SI","NO")</f>
        <v>SI</v>
      </c>
      <c r="P1796">
        <v>55</v>
      </c>
    </row>
    <row r="1797" spans="1:16" x14ac:dyDescent="0.3">
      <c r="A1797" s="8" t="s">
        <v>28</v>
      </c>
      <c r="B1797" s="8" t="s">
        <v>336</v>
      </c>
      <c r="C1797" s="9">
        <v>1798</v>
      </c>
      <c r="D1797" s="3">
        <v>1199000</v>
      </c>
      <c r="E1797" s="1">
        <f>datos_limpios[[#This Row],[Price INR   ]]*0.011</f>
        <v>13189</v>
      </c>
      <c r="F1797" s="13">
        <v>2012</v>
      </c>
      <c r="G1797" s="2">
        <v>12749</v>
      </c>
      <c r="H1797" s="8" t="s">
        <v>19</v>
      </c>
      <c r="I1797" s="8" t="s">
        <v>13</v>
      </c>
      <c r="J1797" s="8" t="s">
        <v>14</v>
      </c>
      <c r="K1797" t="s">
        <v>245</v>
      </c>
      <c r="L1797" t="s">
        <v>246</v>
      </c>
      <c r="M1797" s="2">
        <f>VALUE(MID(L1797,1,FIND("@",L1797)-6))</f>
        <v>169</v>
      </c>
      <c r="N1797">
        <v>7</v>
      </c>
      <c r="O1797" t="str">
        <f>IF(datos_limpios[[#This Row],[Seating Capacity ]]&gt;4,"SI","NO")</f>
        <v>SI</v>
      </c>
      <c r="P1797">
        <v>80</v>
      </c>
    </row>
    <row r="1798" spans="1:16" x14ac:dyDescent="0.3">
      <c r="A1798" s="8" t="s">
        <v>28</v>
      </c>
      <c r="B1798" s="8" t="s">
        <v>685</v>
      </c>
      <c r="C1798" s="9">
        <v>1799</v>
      </c>
      <c r="D1798" s="3">
        <v>1225000</v>
      </c>
      <c r="E1798" s="1">
        <f>datos_limpios[[#This Row],[Price INR   ]]*0.011</f>
        <v>13475</v>
      </c>
      <c r="F1798" s="13">
        <v>2012</v>
      </c>
      <c r="G1798" s="2">
        <v>97000</v>
      </c>
      <c r="H1798" s="8" t="s">
        <v>19</v>
      </c>
      <c r="I1798" s="8" t="s">
        <v>13</v>
      </c>
      <c r="J1798" s="8" t="s">
        <v>20</v>
      </c>
      <c r="K1798" t="s">
        <v>245</v>
      </c>
      <c r="L1798" t="s">
        <v>246</v>
      </c>
      <c r="M1798" s="2">
        <f>VALUE(MID(L1798,1,FIND("@",L1798)-6))</f>
        <v>169</v>
      </c>
      <c r="N1798">
        <v>7</v>
      </c>
      <c r="O1798" t="str">
        <f>IF(datos_limpios[[#This Row],[Seating Capacity ]]&gt;4,"SI","NO")</f>
        <v>SI</v>
      </c>
      <c r="P1798">
        <v>80</v>
      </c>
    </row>
    <row r="1799" spans="1:16" x14ac:dyDescent="0.3">
      <c r="A1799" s="8" t="s">
        <v>28</v>
      </c>
      <c r="B1799" s="8" t="s">
        <v>336</v>
      </c>
      <c r="C1799" s="9">
        <v>1800</v>
      </c>
      <c r="D1799" s="3">
        <v>1290000</v>
      </c>
      <c r="E1799" s="1">
        <f>datos_limpios[[#This Row],[Price INR   ]]*0.011</f>
        <v>14190</v>
      </c>
      <c r="F1799" s="13">
        <v>2012</v>
      </c>
      <c r="G1799" s="2">
        <v>121000</v>
      </c>
      <c r="H1799" s="8" t="s">
        <v>19</v>
      </c>
      <c r="I1799" s="8" t="s">
        <v>13</v>
      </c>
      <c r="J1799" s="8" t="s">
        <v>131</v>
      </c>
      <c r="K1799" t="s">
        <v>245</v>
      </c>
      <c r="L1799" t="s">
        <v>246</v>
      </c>
      <c r="M1799" s="2">
        <f>VALUE(MID(L1799,1,FIND("@",L1799)-6))</f>
        <v>169</v>
      </c>
      <c r="N1799">
        <v>7</v>
      </c>
      <c r="O1799" t="str">
        <f>IF(datos_limpios[[#This Row],[Seating Capacity ]]&gt;4,"SI","NO")</f>
        <v>SI</v>
      </c>
      <c r="P1799">
        <v>80</v>
      </c>
    </row>
    <row r="1800" spans="1:16" x14ac:dyDescent="0.3">
      <c r="A1800" s="8" t="s">
        <v>28</v>
      </c>
      <c r="B1800" s="8" t="s">
        <v>840</v>
      </c>
      <c r="C1800" s="9">
        <v>1801</v>
      </c>
      <c r="D1800" s="3">
        <v>1290000</v>
      </c>
      <c r="E1800" s="1">
        <f>datos_limpios[[#This Row],[Price INR   ]]*0.011</f>
        <v>14190</v>
      </c>
      <c r="F1800" s="13">
        <v>2014</v>
      </c>
      <c r="G1800" s="2">
        <v>85000</v>
      </c>
      <c r="H1800" s="8" t="s">
        <v>19</v>
      </c>
      <c r="I1800" s="8" t="s">
        <v>13</v>
      </c>
      <c r="J1800" s="8" t="s">
        <v>77</v>
      </c>
      <c r="K1800" t="s">
        <v>150</v>
      </c>
      <c r="L1800" t="s">
        <v>716</v>
      </c>
      <c r="M1800" s="2">
        <f>VALUE(MID(L1800,1,FIND("@",L1800)-6))</f>
        <v>100</v>
      </c>
      <c r="N1800">
        <v>7</v>
      </c>
      <c r="O1800" t="str">
        <f>IF(datos_limpios[[#This Row],[Seating Capacity ]]&gt;4,"SI","NO")</f>
        <v>SI</v>
      </c>
      <c r="P1800">
        <v>55</v>
      </c>
    </row>
    <row r="1801" spans="1:16" x14ac:dyDescent="0.3">
      <c r="A1801" s="8" t="s">
        <v>28</v>
      </c>
      <c r="B1801" s="8" t="s">
        <v>123</v>
      </c>
      <c r="C1801" s="9">
        <v>1802</v>
      </c>
      <c r="D1801" s="3">
        <v>1295000</v>
      </c>
      <c r="E1801" s="1">
        <f>datos_limpios[[#This Row],[Price INR   ]]*0.011</f>
        <v>14245</v>
      </c>
      <c r="F1801" s="13">
        <v>2018</v>
      </c>
      <c r="G1801" s="2">
        <v>65100</v>
      </c>
      <c r="H1801" s="8" t="s">
        <v>12</v>
      </c>
      <c r="I1801" s="8" t="s">
        <v>40</v>
      </c>
      <c r="J1801" s="8" t="s">
        <v>249</v>
      </c>
      <c r="K1801" t="s">
        <v>45</v>
      </c>
      <c r="L1801" t="s">
        <v>124</v>
      </c>
      <c r="M1801" s="2">
        <f>VALUE(MID(L1801,1,FIND("@",L1801)-6))</f>
        <v>138</v>
      </c>
      <c r="N1801">
        <v>5</v>
      </c>
      <c r="O1801" t="str">
        <f>IF(datos_limpios[[#This Row],[Seating Capacity ]]&gt;4,"SI","NO")</f>
        <v>SI</v>
      </c>
      <c r="P1801">
        <v>55</v>
      </c>
    </row>
    <row r="1802" spans="1:16" x14ac:dyDescent="0.3">
      <c r="A1802" s="8" t="s">
        <v>28</v>
      </c>
      <c r="B1802" s="8" t="s">
        <v>454</v>
      </c>
      <c r="C1802" s="9">
        <v>1803</v>
      </c>
      <c r="D1802" s="3">
        <v>1321000</v>
      </c>
      <c r="E1802" s="1">
        <f>datos_limpios[[#This Row],[Price INR   ]]*0.011</f>
        <v>14531</v>
      </c>
      <c r="F1802" s="13">
        <v>2018</v>
      </c>
      <c r="G1802" s="2">
        <v>38000</v>
      </c>
      <c r="H1802" s="8" t="s">
        <v>12</v>
      </c>
      <c r="I1802" s="8" t="s">
        <v>40</v>
      </c>
      <c r="J1802" s="8" t="s">
        <v>131</v>
      </c>
      <c r="K1802" t="s">
        <v>45</v>
      </c>
      <c r="L1802" t="s">
        <v>124</v>
      </c>
      <c r="M1802" s="2">
        <f>VALUE(MID(L1802,1,FIND("@",L1802)-6))</f>
        <v>138</v>
      </c>
      <c r="N1802">
        <v>5</v>
      </c>
      <c r="O1802" t="str">
        <f>IF(datos_limpios[[#This Row],[Seating Capacity ]]&gt;4,"SI","NO")</f>
        <v>SI</v>
      </c>
      <c r="P1802">
        <v>55</v>
      </c>
    </row>
    <row r="1803" spans="1:16" x14ac:dyDescent="0.3">
      <c r="A1803" s="8" t="s">
        <v>28</v>
      </c>
      <c r="B1803" s="8" t="s">
        <v>685</v>
      </c>
      <c r="C1803" s="9">
        <v>1804</v>
      </c>
      <c r="D1803" s="3">
        <v>1375000</v>
      </c>
      <c r="E1803" s="1">
        <f>datos_limpios[[#This Row],[Price INR   ]]*0.011</f>
        <v>15125</v>
      </c>
      <c r="F1803" s="13">
        <v>2012</v>
      </c>
      <c r="G1803" s="2">
        <v>98352</v>
      </c>
      <c r="H1803" s="8" t="s">
        <v>19</v>
      </c>
      <c r="I1803" s="8" t="s">
        <v>13</v>
      </c>
      <c r="J1803" s="8" t="s">
        <v>20</v>
      </c>
      <c r="K1803" t="s">
        <v>245</v>
      </c>
      <c r="L1803" t="s">
        <v>246</v>
      </c>
      <c r="M1803" s="2">
        <f>VALUE(MID(L1803,1,FIND("@",L1803)-6))</f>
        <v>169</v>
      </c>
      <c r="N1803">
        <v>7</v>
      </c>
      <c r="O1803" t="str">
        <f>IF(datos_limpios[[#This Row],[Seating Capacity ]]&gt;4,"SI","NO")</f>
        <v>SI</v>
      </c>
      <c r="P1803">
        <v>80</v>
      </c>
    </row>
    <row r="1804" spans="1:16" x14ac:dyDescent="0.3">
      <c r="A1804" s="8" t="s">
        <v>28</v>
      </c>
      <c r="B1804" s="8" t="s">
        <v>685</v>
      </c>
      <c r="C1804" s="9">
        <v>1805</v>
      </c>
      <c r="D1804" s="3">
        <v>1375000</v>
      </c>
      <c r="E1804" s="1">
        <f>datos_limpios[[#This Row],[Price INR   ]]*0.011</f>
        <v>15125</v>
      </c>
      <c r="F1804" s="13">
        <v>2013</v>
      </c>
      <c r="G1804" s="2">
        <v>97000</v>
      </c>
      <c r="H1804" s="8" t="s">
        <v>19</v>
      </c>
      <c r="I1804" s="8" t="s">
        <v>13</v>
      </c>
      <c r="J1804" s="8" t="s">
        <v>20</v>
      </c>
      <c r="K1804" t="s">
        <v>245</v>
      </c>
      <c r="L1804" t="s">
        <v>246</v>
      </c>
      <c r="M1804" s="2">
        <f>VALUE(MID(L1804,1,FIND("@",L1804)-6))</f>
        <v>169</v>
      </c>
      <c r="N1804">
        <v>7</v>
      </c>
      <c r="O1804" t="str">
        <f>IF(datos_limpios[[#This Row],[Seating Capacity ]]&gt;4,"SI","NO")</f>
        <v>SI</v>
      </c>
      <c r="P1804">
        <v>80</v>
      </c>
    </row>
    <row r="1805" spans="1:16" x14ac:dyDescent="0.3">
      <c r="A1805" s="8" t="s">
        <v>28</v>
      </c>
      <c r="B1805" s="8" t="s">
        <v>685</v>
      </c>
      <c r="C1805" s="9">
        <v>1806</v>
      </c>
      <c r="D1805" s="3">
        <v>1375000</v>
      </c>
      <c r="E1805" s="1">
        <f>datos_limpios[[#This Row],[Price INR   ]]*0.011</f>
        <v>15125</v>
      </c>
      <c r="F1805" s="13">
        <v>2013</v>
      </c>
      <c r="G1805" s="2">
        <v>83000</v>
      </c>
      <c r="H1805" s="8" t="s">
        <v>19</v>
      </c>
      <c r="I1805" s="8" t="s">
        <v>13</v>
      </c>
      <c r="J1805" s="8" t="s">
        <v>20</v>
      </c>
      <c r="K1805" t="s">
        <v>245</v>
      </c>
      <c r="L1805" t="s">
        <v>246</v>
      </c>
      <c r="M1805" s="2">
        <f>VALUE(MID(L1805,1,FIND("@",L1805)-6))</f>
        <v>169</v>
      </c>
      <c r="N1805">
        <v>7</v>
      </c>
      <c r="O1805" t="str">
        <f>IF(datos_limpios[[#This Row],[Seating Capacity ]]&gt;4,"SI","NO")</f>
        <v>SI</v>
      </c>
      <c r="P1805">
        <v>80</v>
      </c>
    </row>
    <row r="1806" spans="1:16" x14ac:dyDescent="0.3">
      <c r="A1806" s="8" t="s">
        <v>28</v>
      </c>
      <c r="B1806" s="8" t="s">
        <v>244</v>
      </c>
      <c r="C1806" s="9">
        <v>1807</v>
      </c>
      <c r="D1806" s="3">
        <v>1400000</v>
      </c>
      <c r="E1806" s="1">
        <f>datos_limpios[[#This Row],[Price INR   ]]*0.011</f>
        <v>15400</v>
      </c>
      <c r="F1806" s="13">
        <v>2014</v>
      </c>
      <c r="G1806" s="2">
        <v>143000</v>
      </c>
      <c r="H1806" s="8" t="s">
        <v>19</v>
      </c>
      <c r="I1806" s="8" t="s">
        <v>40</v>
      </c>
      <c r="J1806" s="8" t="s">
        <v>20</v>
      </c>
      <c r="K1806" t="s">
        <v>245</v>
      </c>
      <c r="L1806" t="s">
        <v>246</v>
      </c>
      <c r="M1806" s="2">
        <f>VALUE(MID(L1806,1,FIND("@",L1806)-6))</f>
        <v>169</v>
      </c>
      <c r="N1806">
        <v>7</v>
      </c>
      <c r="O1806" t="str">
        <f>IF(datos_limpios[[#This Row],[Seating Capacity ]]&gt;4,"SI","NO")</f>
        <v>SI</v>
      </c>
      <c r="P1806">
        <v>80</v>
      </c>
    </row>
    <row r="1807" spans="1:16" x14ac:dyDescent="0.3">
      <c r="A1807" s="8" t="s">
        <v>28</v>
      </c>
      <c r="B1807" s="8" t="s">
        <v>32</v>
      </c>
      <c r="C1807" s="9">
        <v>1808</v>
      </c>
      <c r="D1807" s="3">
        <v>1421000</v>
      </c>
      <c r="E1807" s="1">
        <f>datos_limpios[[#This Row],[Price INR   ]]*0.011</f>
        <v>15631</v>
      </c>
      <c r="F1807" s="13">
        <v>2017</v>
      </c>
      <c r="G1807" s="2">
        <v>75000</v>
      </c>
      <c r="H1807" s="8" t="s">
        <v>19</v>
      </c>
      <c r="I1807" s="8" t="s">
        <v>13</v>
      </c>
      <c r="J1807" s="8" t="s">
        <v>20</v>
      </c>
      <c r="K1807" t="s">
        <v>33</v>
      </c>
      <c r="L1807" t="s">
        <v>34</v>
      </c>
      <c r="M1807" s="2">
        <f>VALUE(MID(L1807,1,FIND("@",L1807)-6))</f>
        <v>148</v>
      </c>
      <c r="N1807">
        <v>7</v>
      </c>
      <c r="O1807" t="str">
        <f>IF(datos_limpios[[#This Row],[Seating Capacity ]]&gt;4,"SI","NO")</f>
        <v>SI</v>
      </c>
      <c r="P1807">
        <v>55</v>
      </c>
    </row>
    <row r="1808" spans="1:16" x14ac:dyDescent="0.3">
      <c r="A1808" s="8" t="s">
        <v>28</v>
      </c>
      <c r="B1808" s="8" t="s">
        <v>758</v>
      </c>
      <c r="C1808" s="9">
        <v>1809</v>
      </c>
      <c r="D1808" s="3">
        <v>1450000</v>
      </c>
      <c r="E1808" s="1">
        <f>datos_limpios[[#This Row],[Price INR   ]]*0.011</f>
        <v>15949.999999999998</v>
      </c>
      <c r="F1808" s="13">
        <v>2013</v>
      </c>
      <c r="G1808" s="2">
        <v>170669</v>
      </c>
      <c r="H1808" s="8" t="s">
        <v>19</v>
      </c>
      <c r="I1808" s="8" t="s">
        <v>40</v>
      </c>
      <c r="J1808" s="8" t="s">
        <v>20</v>
      </c>
      <c r="K1808" t="s">
        <v>245</v>
      </c>
      <c r="L1808" t="s">
        <v>1504</v>
      </c>
      <c r="M1808" s="2">
        <f>VALUE(MID(L1808,1,FIND("@",L1808)-6))</f>
        <v>171</v>
      </c>
      <c r="N1808">
        <v>7</v>
      </c>
      <c r="O1808" t="str">
        <f>IF(datos_limpios[[#This Row],[Seating Capacity ]]&gt;4,"SI","NO")</f>
        <v>SI</v>
      </c>
      <c r="P1808">
        <v>80</v>
      </c>
    </row>
    <row r="1809" spans="1:16" x14ac:dyDescent="0.3">
      <c r="A1809" s="8" t="s">
        <v>28</v>
      </c>
      <c r="B1809" s="8" t="s">
        <v>685</v>
      </c>
      <c r="C1809" s="9">
        <v>1810</v>
      </c>
      <c r="D1809" s="3">
        <v>1485000</v>
      </c>
      <c r="E1809" s="1">
        <f>datos_limpios[[#This Row],[Price INR   ]]*0.011</f>
        <v>16334.999999999998</v>
      </c>
      <c r="F1809" s="13">
        <v>2015</v>
      </c>
      <c r="G1809" s="2">
        <v>64120</v>
      </c>
      <c r="H1809" s="8" t="s">
        <v>19</v>
      </c>
      <c r="I1809" s="8" t="s">
        <v>13</v>
      </c>
      <c r="J1809" s="8" t="s">
        <v>20</v>
      </c>
      <c r="K1809" t="s">
        <v>245</v>
      </c>
      <c r="L1809" t="s">
        <v>246</v>
      </c>
      <c r="M1809" s="2">
        <f>VALUE(MID(L1809,1,FIND("@",L1809)-6))</f>
        <v>169</v>
      </c>
      <c r="N1809">
        <v>7</v>
      </c>
      <c r="O1809" t="str">
        <f>IF(datos_limpios[[#This Row],[Seating Capacity ]]&gt;4,"SI","NO")</f>
        <v>SI</v>
      </c>
      <c r="P1809">
        <v>80</v>
      </c>
    </row>
    <row r="1810" spans="1:16" x14ac:dyDescent="0.3">
      <c r="A1810" s="8" t="s">
        <v>28</v>
      </c>
      <c r="B1810" s="8" t="s">
        <v>244</v>
      </c>
      <c r="C1810" s="9">
        <v>1811</v>
      </c>
      <c r="D1810" s="3">
        <v>1495000</v>
      </c>
      <c r="E1810" s="1">
        <f>datos_limpios[[#This Row],[Price INR   ]]*0.011</f>
        <v>16445</v>
      </c>
      <c r="F1810" s="13">
        <v>2014</v>
      </c>
      <c r="G1810" s="2">
        <v>85000</v>
      </c>
      <c r="H1810" s="8" t="s">
        <v>19</v>
      </c>
      <c r="I1810" s="8" t="s">
        <v>40</v>
      </c>
      <c r="J1810" s="8" t="s">
        <v>20</v>
      </c>
      <c r="K1810" t="s">
        <v>245</v>
      </c>
      <c r="L1810" t="s">
        <v>246</v>
      </c>
      <c r="M1810" s="2">
        <f>VALUE(MID(L1810,1,FIND("@",L1810)-6))</f>
        <v>169</v>
      </c>
      <c r="N1810">
        <v>7</v>
      </c>
      <c r="O1810" t="str">
        <f>IF(datos_limpios[[#This Row],[Seating Capacity ]]&gt;4,"SI","NO")</f>
        <v>SI</v>
      </c>
      <c r="P1810">
        <v>80</v>
      </c>
    </row>
    <row r="1811" spans="1:16" x14ac:dyDescent="0.3">
      <c r="A1811" s="8" t="s">
        <v>28</v>
      </c>
      <c r="B1811" s="8" t="s">
        <v>244</v>
      </c>
      <c r="C1811" s="9">
        <v>1812</v>
      </c>
      <c r="D1811" s="3">
        <v>1525000</v>
      </c>
      <c r="E1811" s="1">
        <f>datos_limpios[[#This Row],[Price INR   ]]*0.011</f>
        <v>16775</v>
      </c>
      <c r="F1811" s="13">
        <v>2014</v>
      </c>
      <c r="G1811" s="2">
        <v>72000</v>
      </c>
      <c r="H1811" s="8" t="s">
        <v>19</v>
      </c>
      <c r="I1811" s="8" t="s">
        <v>40</v>
      </c>
      <c r="J1811" s="8" t="s">
        <v>20</v>
      </c>
      <c r="K1811" t="s">
        <v>245</v>
      </c>
      <c r="L1811" t="s">
        <v>246</v>
      </c>
      <c r="M1811" s="2">
        <f>VALUE(MID(L1811,1,FIND("@",L1811)-6))</f>
        <v>169</v>
      </c>
      <c r="N1811">
        <v>7</v>
      </c>
      <c r="O1811" t="str">
        <f>IF(datos_limpios[[#This Row],[Seating Capacity ]]&gt;4,"SI","NO")</f>
        <v>SI</v>
      </c>
      <c r="P1811">
        <v>80</v>
      </c>
    </row>
    <row r="1812" spans="1:16" x14ac:dyDescent="0.3">
      <c r="A1812" s="8" t="s">
        <v>28</v>
      </c>
      <c r="B1812" s="8" t="s">
        <v>385</v>
      </c>
      <c r="C1812" s="9">
        <v>1813</v>
      </c>
      <c r="D1812" s="3">
        <v>1549000</v>
      </c>
      <c r="E1812" s="1">
        <f>datos_limpios[[#This Row],[Price INR   ]]*0.011</f>
        <v>17039</v>
      </c>
      <c r="F1812" s="13">
        <v>2018</v>
      </c>
      <c r="G1812" s="2">
        <v>95315</v>
      </c>
      <c r="H1812" s="8" t="s">
        <v>19</v>
      </c>
      <c r="I1812" s="8" t="s">
        <v>13</v>
      </c>
      <c r="J1812" s="8" t="s">
        <v>82</v>
      </c>
      <c r="K1812" t="s">
        <v>33</v>
      </c>
      <c r="L1812" t="s">
        <v>34</v>
      </c>
      <c r="M1812" s="2">
        <f>VALUE(MID(L1812,1,FIND("@",L1812)-6))</f>
        <v>148</v>
      </c>
      <c r="N1812">
        <v>7</v>
      </c>
      <c r="O1812" t="str">
        <f>IF(datos_limpios[[#This Row],[Seating Capacity ]]&gt;4,"SI","NO")</f>
        <v>SI</v>
      </c>
      <c r="P1812">
        <v>55</v>
      </c>
    </row>
    <row r="1813" spans="1:16" x14ac:dyDescent="0.3">
      <c r="A1813" s="8" t="s">
        <v>28</v>
      </c>
      <c r="B1813" s="8" t="s">
        <v>396</v>
      </c>
      <c r="C1813" s="9">
        <v>1814</v>
      </c>
      <c r="D1813" s="3">
        <v>1580000</v>
      </c>
      <c r="E1813" s="1">
        <f>datos_limpios[[#This Row],[Price INR   ]]*0.011</f>
        <v>17380</v>
      </c>
      <c r="F1813" s="13">
        <v>2018</v>
      </c>
      <c r="G1813" s="2">
        <v>115000</v>
      </c>
      <c r="H1813" s="8" t="s">
        <v>19</v>
      </c>
      <c r="I1813" s="8" t="s">
        <v>40</v>
      </c>
      <c r="J1813" s="8" t="s">
        <v>249</v>
      </c>
      <c r="K1813" t="s">
        <v>177</v>
      </c>
      <c r="L1813" t="s">
        <v>397</v>
      </c>
      <c r="M1813" s="2">
        <f>VALUE(MID(L1813,1,FIND("@",L1813)-6))</f>
        <v>172</v>
      </c>
      <c r="N1813">
        <v>7</v>
      </c>
      <c r="O1813" t="str">
        <f>IF(datos_limpios[[#This Row],[Seating Capacity ]]&gt;4,"SI","NO")</f>
        <v>SI</v>
      </c>
      <c r="P1813">
        <v>55</v>
      </c>
    </row>
    <row r="1814" spans="1:16" x14ac:dyDescent="0.3">
      <c r="A1814" s="8" t="s">
        <v>28</v>
      </c>
      <c r="B1814" s="8" t="s">
        <v>214</v>
      </c>
      <c r="C1814" s="9">
        <v>1815</v>
      </c>
      <c r="D1814" s="3">
        <v>1599000</v>
      </c>
      <c r="E1814" s="1">
        <f>datos_limpios[[#This Row],[Price INR   ]]*0.011</f>
        <v>17589</v>
      </c>
      <c r="F1814" s="13">
        <v>2015</v>
      </c>
      <c r="G1814" s="2">
        <v>92355</v>
      </c>
      <c r="H1814" s="8" t="s">
        <v>12</v>
      </c>
      <c r="I1814" s="8" t="s">
        <v>40</v>
      </c>
      <c r="J1814" s="8" t="s">
        <v>77</v>
      </c>
      <c r="K1814" t="s">
        <v>150</v>
      </c>
      <c r="L1814" t="s">
        <v>215</v>
      </c>
      <c r="M1814" s="2">
        <f>VALUE(MID(L1814,1,FIND("@",L1814)-6))</f>
        <v>202</v>
      </c>
      <c r="N1814">
        <v>5</v>
      </c>
      <c r="O1814" t="str">
        <f>IF(datos_limpios[[#This Row],[Seating Capacity ]]&gt;4,"SI","NO")</f>
        <v>SI</v>
      </c>
      <c r="P1814">
        <v>65</v>
      </c>
    </row>
    <row r="1815" spans="1:16" x14ac:dyDescent="0.3">
      <c r="A1815" s="8" t="s">
        <v>28</v>
      </c>
      <c r="B1815" s="8" t="s">
        <v>244</v>
      </c>
      <c r="C1815" s="9">
        <v>1816</v>
      </c>
      <c r="D1815" s="3">
        <v>1600000</v>
      </c>
      <c r="E1815" s="1">
        <f>datos_limpios[[#This Row],[Price INR   ]]*0.011</f>
        <v>17600</v>
      </c>
      <c r="F1815" s="13">
        <v>2015</v>
      </c>
      <c r="G1815" s="2">
        <v>145000</v>
      </c>
      <c r="H1815" s="8" t="s">
        <v>19</v>
      </c>
      <c r="I1815" s="8" t="s">
        <v>40</v>
      </c>
      <c r="J1815" s="8" t="s">
        <v>131</v>
      </c>
      <c r="K1815" t="s">
        <v>245</v>
      </c>
      <c r="L1815" t="s">
        <v>246</v>
      </c>
      <c r="M1815" s="2">
        <f>VALUE(MID(L1815,1,FIND("@",L1815)-6))</f>
        <v>169</v>
      </c>
      <c r="N1815">
        <v>7</v>
      </c>
      <c r="O1815" t="str">
        <f>IF(datos_limpios[[#This Row],[Seating Capacity ]]&gt;4,"SI","NO")</f>
        <v>SI</v>
      </c>
      <c r="P1815">
        <v>80</v>
      </c>
    </row>
    <row r="1816" spans="1:16" x14ac:dyDescent="0.3">
      <c r="A1816" s="8" t="s">
        <v>28</v>
      </c>
      <c r="B1816" s="8" t="s">
        <v>123</v>
      </c>
      <c r="C1816" s="9">
        <v>1817</v>
      </c>
      <c r="D1816" s="3">
        <v>1650000</v>
      </c>
      <c r="E1816" s="1">
        <f>datos_limpios[[#This Row],[Price INR   ]]*0.011</f>
        <v>18150</v>
      </c>
      <c r="F1816" s="13">
        <v>2018</v>
      </c>
      <c r="G1816" s="2">
        <v>25914</v>
      </c>
      <c r="H1816" s="8" t="s">
        <v>12</v>
      </c>
      <c r="I1816" s="8" t="s">
        <v>40</v>
      </c>
      <c r="J1816" s="8" t="s">
        <v>82</v>
      </c>
      <c r="K1816" t="s">
        <v>45</v>
      </c>
      <c r="L1816" t="s">
        <v>124</v>
      </c>
      <c r="M1816" s="2">
        <f>VALUE(MID(L1816,1,FIND("@",L1816)-6))</f>
        <v>138</v>
      </c>
      <c r="N1816">
        <v>5</v>
      </c>
      <c r="O1816" t="str">
        <f>IF(datos_limpios[[#This Row],[Seating Capacity ]]&gt;4,"SI","NO")</f>
        <v>SI</v>
      </c>
      <c r="P1816">
        <v>55</v>
      </c>
    </row>
    <row r="1817" spans="1:16" x14ac:dyDescent="0.3">
      <c r="A1817" s="8" t="s">
        <v>28</v>
      </c>
      <c r="B1817" s="8" t="s">
        <v>123</v>
      </c>
      <c r="C1817" s="9">
        <v>1818</v>
      </c>
      <c r="D1817" s="3">
        <v>1670000</v>
      </c>
      <c r="E1817" s="1">
        <f>datos_limpios[[#This Row],[Price INR   ]]*0.011</f>
        <v>18370</v>
      </c>
      <c r="F1817" s="13">
        <v>2019</v>
      </c>
      <c r="G1817" s="2">
        <v>39000</v>
      </c>
      <c r="H1817" s="8" t="s">
        <v>12</v>
      </c>
      <c r="I1817" s="8" t="s">
        <v>40</v>
      </c>
      <c r="J1817" s="8" t="s">
        <v>82</v>
      </c>
      <c r="K1817" t="s">
        <v>45</v>
      </c>
      <c r="L1817" t="s">
        <v>124</v>
      </c>
      <c r="M1817" s="2">
        <f>VALUE(MID(L1817,1,FIND("@",L1817)-6))</f>
        <v>138</v>
      </c>
      <c r="N1817">
        <v>5</v>
      </c>
      <c r="O1817" t="str">
        <f>IF(datos_limpios[[#This Row],[Seating Capacity ]]&gt;4,"SI","NO")</f>
        <v>SI</v>
      </c>
      <c r="P1817">
        <v>55</v>
      </c>
    </row>
    <row r="1818" spans="1:16" x14ac:dyDescent="0.3">
      <c r="A1818" s="8" t="s">
        <v>28</v>
      </c>
      <c r="B1818" s="8" t="s">
        <v>336</v>
      </c>
      <c r="C1818" s="9">
        <v>1819</v>
      </c>
      <c r="D1818" s="3">
        <v>1675000</v>
      </c>
      <c r="E1818" s="1">
        <f>datos_limpios[[#This Row],[Price INR   ]]*0.011</f>
        <v>18425</v>
      </c>
      <c r="F1818" s="13">
        <v>2014</v>
      </c>
      <c r="G1818" s="2">
        <v>211000</v>
      </c>
      <c r="H1818" s="8" t="s">
        <v>19</v>
      </c>
      <c r="I1818" s="8" t="s">
        <v>13</v>
      </c>
      <c r="J1818" s="8" t="s">
        <v>20</v>
      </c>
      <c r="K1818" t="s">
        <v>245</v>
      </c>
      <c r="L1818" t="s">
        <v>246</v>
      </c>
      <c r="M1818" s="2">
        <f>VALUE(MID(L1818,1,FIND("@",L1818)-6))</f>
        <v>169</v>
      </c>
      <c r="N1818">
        <v>7</v>
      </c>
      <c r="O1818" t="str">
        <f>IF(datos_limpios[[#This Row],[Seating Capacity ]]&gt;4,"SI","NO")</f>
        <v>SI</v>
      </c>
      <c r="P1818">
        <v>80</v>
      </c>
    </row>
    <row r="1819" spans="1:16" x14ac:dyDescent="0.3">
      <c r="A1819" s="8" t="s">
        <v>28</v>
      </c>
      <c r="B1819" s="8" t="s">
        <v>1005</v>
      </c>
      <c r="C1819" s="9">
        <v>1820</v>
      </c>
      <c r="D1819" s="3">
        <v>1725000</v>
      </c>
      <c r="E1819" s="1">
        <f>datos_limpios[[#This Row],[Price INR   ]]*0.011</f>
        <v>18975</v>
      </c>
      <c r="F1819" s="13">
        <v>2016</v>
      </c>
      <c r="G1819" s="2">
        <v>145000</v>
      </c>
      <c r="H1819" s="8" t="s">
        <v>19</v>
      </c>
      <c r="I1819" s="8" t="s">
        <v>13</v>
      </c>
      <c r="J1819" s="8" t="s">
        <v>20</v>
      </c>
      <c r="K1819" t="s">
        <v>33</v>
      </c>
      <c r="L1819" t="s">
        <v>34</v>
      </c>
      <c r="M1819" s="2">
        <f>VALUE(MID(L1819,1,FIND("@",L1819)-6))</f>
        <v>148</v>
      </c>
      <c r="N1819">
        <v>7</v>
      </c>
      <c r="O1819" t="str">
        <f>IF(datos_limpios[[#This Row],[Seating Capacity ]]&gt;4,"SI","NO")</f>
        <v>SI</v>
      </c>
      <c r="P1819">
        <v>55</v>
      </c>
    </row>
    <row r="1820" spans="1:16" x14ac:dyDescent="0.3">
      <c r="A1820" s="8" t="s">
        <v>28</v>
      </c>
      <c r="B1820" s="8" t="s">
        <v>430</v>
      </c>
      <c r="C1820" s="9">
        <v>1821</v>
      </c>
      <c r="D1820" s="3">
        <v>1750000</v>
      </c>
      <c r="E1820" s="1">
        <f>datos_limpios[[#This Row],[Price INR   ]]*0.011</f>
        <v>19250</v>
      </c>
      <c r="F1820" s="13">
        <v>2015</v>
      </c>
      <c r="G1820" s="2">
        <v>72000</v>
      </c>
      <c r="H1820" s="8" t="s">
        <v>19</v>
      </c>
      <c r="I1820" s="8" t="s">
        <v>40</v>
      </c>
      <c r="J1820" s="8" t="s">
        <v>101</v>
      </c>
      <c r="K1820" t="s">
        <v>245</v>
      </c>
      <c r="L1820" t="s">
        <v>246</v>
      </c>
      <c r="M1820" s="2">
        <f>VALUE(MID(L1820,1,FIND("@",L1820)-6))</f>
        <v>169</v>
      </c>
      <c r="N1820">
        <v>7</v>
      </c>
      <c r="O1820" t="str">
        <f>IF(datos_limpios[[#This Row],[Seating Capacity ]]&gt;4,"SI","NO")</f>
        <v>SI</v>
      </c>
      <c r="P1820">
        <v>80</v>
      </c>
    </row>
    <row r="1821" spans="1:16" x14ac:dyDescent="0.3">
      <c r="A1821" s="8" t="s">
        <v>28</v>
      </c>
      <c r="B1821" s="8" t="s">
        <v>244</v>
      </c>
      <c r="C1821" s="9">
        <v>1822</v>
      </c>
      <c r="D1821" s="3">
        <v>1750000</v>
      </c>
      <c r="E1821" s="1">
        <f>datos_limpios[[#This Row],[Price INR   ]]*0.011</f>
        <v>19250</v>
      </c>
      <c r="F1821" s="13">
        <v>2014</v>
      </c>
      <c r="G1821" s="2">
        <v>101000</v>
      </c>
      <c r="H1821" s="8" t="s">
        <v>19</v>
      </c>
      <c r="I1821" s="8" t="s">
        <v>40</v>
      </c>
      <c r="J1821" s="8" t="s">
        <v>20</v>
      </c>
      <c r="K1821" t="s">
        <v>245</v>
      </c>
      <c r="L1821" t="s">
        <v>246</v>
      </c>
      <c r="M1821" s="2">
        <f>VALUE(MID(L1821,1,FIND("@",L1821)-6))</f>
        <v>169</v>
      </c>
      <c r="N1821">
        <v>7</v>
      </c>
      <c r="O1821" t="str">
        <f>IF(datos_limpios[[#This Row],[Seating Capacity ]]&gt;4,"SI","NO")</f>
        <v>SI</v>
      </c>
      <c r="P1821">
        <v>80</v>
      </c>
    </row>
    <row r="1822" spans="1:16" x14ac:dyDescent="0.3">
      <c r="A1822" s="8" t="s">
        <v>28</v>
      </c>
      <c r="B1822" s="8" t="s">
        <v>336</v>
      </c>
      <c r="C1822" s="9">
        <v>1823</v>
      </c>
      <c r="D1822" s="3">
        <v>1750000</v>
      </c>
      <c r="E1822" s="1">
        <f>datos_limpios[[#This Row],[Price INR   ]]*0.011</f>
        <v>19250</v>
      </c>
      <c r="F1822" s="13">
        <v>2013</v>
      </c>
      <c r="G1822" s="2">
        <v>95000</v>
      </c>
      <c r="H1822" s="8" t="s">
        <v>19</v>
      </c>
      <c r="I1822" s="8" t="s">
        <v>13</v>
      </c>
      <c r="J1822" s="8" t="s">
        <v>20</v>
      </c>
      <c r="K1822" t="s">
        <v>245</v>
      </c>
      <c r="L1822" t="s">
        <v>246</v>
      </c>
      <c r="M1822" s="2">
        <f>VALUE(MID(L1822,1,FIND("@",L1822)-6))</f>
        <v>169</v>
      </c>
      <c r="N1822">
        <v>7</v>
      </c>
      <c r="O1822" t="str">
        <f>IF(datos_limpios[[#This Row],[Seating Capacity ]]&gt;4,"SI","NO")</f>
        <v>SI</v>
      </c>
      <c r="P1822">
        <v>80</v>
      </c>
    </row>
    <row r="1823" spans="1:16" x14ac:dyDescent="0.3">
      <c r="A1823" s="8" t="s">
        <v>28</v>
      </c>
      <c r="B1823" s="8" t="s">
        <v>1062</v>
      </c>
      <c r="C1823" s="9">
        <v>1824</v>
      </c>
      <c r="D1823" s="3">
        <v>1789999</v>
      </c>
      <c r="E1823" s="1">
        <f>datos_limpios[[#This Row],[Price INR   ]]*0.011</f>
        <v>19689.988999999998</v>
      </c>
      <c r="F1823" s="13">
        <v>2017</v>
      </c>
      <c r="G1823" s="2">
        <v>49000</v>
      </c>
      <c r="H1823" s="8" t="s">
        <v>12</v>
      </c>
      <c r="I1823" s="8" t="s">
        <v>40</v>
      </c>
      <c r="J1823" s="8" t="s">
        <v>25</v>
      </c>
      <c r="K1823" t="s">
        <v>533</v>
      </c>
      <c r="L1823" t="s">
        <v>534</v>
      </c>
      <c r="M1823" s="2">
        <f>VALUE(MID(L1823,1,FIND("@",L1823)-6))</f>
        <v>164</v>
      </c>
      <c r="N1823">
        <v>7</v>
      </c>
      <c r="O1823" t="str">
        <f>IF(datos_limpios[[#This Row],[Seating Capacity ]]&gt;4,"SI","NO")</f>
        <v>SI</v>
      </c>
      <c r="P1823">
        <v>65</v>
      </c>
    </row>
    <row r="1824" spans="1:16" x14ac:dyDescent="0.3">
      <c r="A1824" s="8" t="s">
        <v>28</v>
      </c>
      <c r="B1824" s="8" t="s">
        <v>244</v>
      </c>
      <c r="C1824" s="9">
        <v>1825</v>
      </c>
      <c r="D1824" s="3">
        <v>1800000</v>
      </c>
      <c r="E1824" s="1">
        <f>datos_limpios[[#This Row],[Price INR   ]]*0.011</f>
        <v>19800</v>
      </c>
      <c r="F1824" s="13">
        <v>2015</v>
      </c>
      <c r="G1824" s="2">
        <v>86000</v>
      </c>
      <c r="H1824" s="8" t="s">
        <v>19</v>
      </c>
      <c r="I1824" s="8" t="s">
        <v>40</v>
      </c>
      <c r="J1824" s="8" t="s">
        <v>20</v>
      </c>
      <c r="K1824" t="s">
        <v>245</v>
      </c>
      <c r="L1824" t="s">
        <v>246</v>
      </c>
      <c r="M1824" s="2">
        <f>VALUE(MID(L1824,1,FIND("@",L1824)-6))</f>
        <v>169</v>
      </c>
      <c r="N1824">
        <v>7</v>
      </c>
      <c r="O1824" t="str">
        <f>IF(datos_limpios[[#This Row],[Seating Capacity ]]&gt;4,"SI","NO")</f>
        <v>SI</v>
      </c>
      <c r="P1824">
        <v>80</v>
      </c>
    </row>
    <row r="1825" spans="1:16" x14ac:dyDescent="0.3">
      <c r="A1825" s="8" t="s">
        <v>28</v>
      </c>
      <c r="B1825" s="8" t="s">
        <v>385</v>
      </c>
      <c r="C1825" s="9">
        <v>1826</v>
      </c>
      <c r="D1825" s="3">
        <v>1825000</v>
      </c>
      <c r="E1825" s="1">
        <f>datos_limpios[[#This Row],[Price INR   ]]*0.011</f>
        <v>20075</v>
      </c>
      <c r="F1825" s="13">
        <v>2016</v>
      </c>
      <c r="G1825" s="2">
        <v>82567</v>
      </c>
      <c r="H1825" s="8" t="s">
        <v>19</v>
      </c>
      <c r="I1825" s="8" t="s">
        <v>13</v>
      </c>
      <c r="J1825" s="8" t="s">
        <v>20</v>
      </c>
      <c r="K1825" t="s">
        <v>33</v>
      </c>
      <c r="L1825" t="s">
        <v>34</v>
      </c>
      <c r="M1825" s="2">
        <f>VALUE(MID(L1825,1,FIND("@",L1825)-6))</f>
        <v>148</v>
      </c>
      <c r="N1825">
        <v>7</v>
      </c>
      <c r="O1825" t="str">
        <f>IF(datos_limpios[[#This Row],[Seating Capacity ]]&gt;4,"SI","NO")</f>
        <v>SI</v>
      </c>
      <c r="P1825">
        <v>55</v>
      </c>
    </row>
    <row r="1826" spans="1:16" x14ac:dyDescent="0.3">
      <c r="A1826" s="8" t="s">
        <v>28</v>
      </c>
      <c r="B1826" s="8" t="s">
        <v>810</v>
      </c>
      <c r="C1826" s="9">
        <v>1827</v>
      </c>
      <c r="D1826" s="3">
        <v>1850000</v>
      </c>
      <c r="E1826" s="1">
        <f>datos_limpios[[#This Row],[Price INR   ]]*0.011</f>
        <v>20350</v>
      </c>
      <c r="F1826" s="13">
        <v>2016</v>
      </c>
      <c r="G1826" s="2">
        <v>72000</v>
      </c>
      <c r="H1826" s="8" t="s">
        <v>19</v>
      </c>
      <c r="I1826" s="8" t="s">
        <v>40</v>
      </c>
      <c r="J1826" s="8" t="s">
        <v>20</v>
      </c>
      <c r="K1826" t="s">
        <v>177</v>
      </c>
      <c r="L1826" t="s">
        <v>397</v>
      </c>
      <c r="M1826" s="2">
        <f>VALUE(MID(L1826,1,FIND("@",L1826)-6))</f>
        <v>172</v>
      </c>
      <c r="N1826">
        <v>7</v>
      </c>
      <c r="O1826" t="str">
        <f>IF(datos_limpios[[#This Row],[Seating Capacity ]]&gt;4,"SI","NO")</f>
        <v>SI</v>
      </c>
      <c r="P1826">
        <v>55</v>
      </c>
    </row>
    <row r="1827" spans="1:16" x14ac:dyDescent="0.3">
      <c r="A1827" s="8" t="s">
        <v>28</v>
      </c>
      <c r="B1827" s="8" t="s">
        <v>114</v>
      </c>
      <c r="C1827" s="9">
        <v>1828</v>
      </c>
      <c r="D1827" s="3">
        <v>1900000</v>
      </c>
      <c r="E1827" s="1">
        <f>datos_limpios[[#This Row],[Price INR   ]]*0.011</f>
        <v>20900</v>
      </c>
      <c r="F1827" s="13">
        <v>2019</v>
      </c>
      <c r="G1827" s="2">
        <v>71000</v>
      </c>
      <c r="H1827" s="8" t="s">
        <v>19</v>
      </c>
      <c r="I1827" s="8" t="s">
        <v>13</v>
      </c>
      <c r="J1827" s="8" t="s">
        <v>115</v>
      </c>
      <c r="K1827" t="s">
        <v>33</v>
      </c>
      <c r="L1827" t="s">
        <v>34</v>
      </c>
      <c r="M1827" s="2">
        <f>VALUE(MID(L1827,1,FIND("@",L1827)-6))</f>
        <v>148</v>
      </c>
      <c r="N1827">
        <v>8</v>
      </c>
      <c r="O1827" t="str">
        <f>IF(datos_limpios[[#This Row],[Seating Capacity ]]&gt;4,"SI","NO")</f>
        <v>SI</v>
      </c>
      <c r="P1827">
        <v>55</v>
      </c>
    </row>
    <row r="1828" spans="1:16" x14ac:dyDescent="0.3">
      <c r="A1828" s="8" t="s">
        <v>28</v>
      </c>
      <c r="B1828" s="8" t="s">
        <v>32</v>
      </c>
      <c r="C1828" s="9">
        <v>1829</v>
      </c>
      <c r="D1828" s="3">
        <v>1950000</v>
      </c>
      <c r="E1828" s="1">
        <f>datos_limpios[[#This Row],[Price INR   ]]*0.011</f>
        <v>21450</v>
      </c>
      <c r="F1828" s="13">
        <v>2018</v>
      </c>
      <c r="G1828" s="2">
        <v>69000</v>
      </c>
      <c r="H1828" s="8" t="s">
        <v>19</v>
      </c>
      <c r="I1828" s="8" t="s">
        <v>13</v>
      </c>
      <c r="J1828" s="8" t="s">
        <v>14</v>
      </c>
      <c r="K1828" t="s">
        <v>33</v>
      </c>
      <c r="L1828" t="s">
        <v>34</v>
      </c>
      <c r="M1828" s="2">
        <f>VALUE(MID(L1828,1,FIND("@",L1828)-6))</f>
        <v>148</v>
      </c>
      <c r="N1828">
        <v>7</v>
      </c>
      <c r="O1828" t="str">
        <f>IF(datos_limpios[[#This Row],[Seating Capacity ]]&gt;4,"SI","NO")</f>
        <v>SI</v>
      </c>
      <c r="P1828">
        <v>55</v>
      </c>
    </row>
    <row r="1829" spans="1:16" x14ac:dyDescent="0.3">
      <c r="A1829" s="8" t="s">
        <v>28</v>
      </c>
      <c r="B1829" s="8" t="s">
        <v>385</v>
      </c>
      <c r="C1829" s="9">
        <v>1830</v>
      </c>
      <c r="D1829" s="3">
        <v>1950000</v>
      </c>
      <c r="E1829" s="1">
        <f>datos_limpios[[#This Row],[Price INR   ]]*0.011</f>
        <v>21450</v>
      </c>
      <c r="F1829" s="13">
        <v>2020</v>
      </c>
      <c r="G1829" s="2">
        <v>45000</v>
      </c>
      <c r="H1829" s="8" t="s">
        <v>19</v>
      </c>
      <c r="I1829" s="8" t="s">
        <v>13</v>
      </c>
      <c r="J1829" s="8" t="s">
        <v>14</v>
      </c>
      <c r="K1829" t="s">
        <v>33</v>
      </c>
      <c r="L1829" t="s">
        <v>34</v>
      </c>
      <c r="M1829" s="2">
        <f>VALUE(MID(L1829,1,FIND("@",L1829)-6))</f>
        <v>148</v>
      </c>
      <c r="N1829">
        <v>7</v>
      </c>
      <c r="O1829" t="str">
        <f>IF(datos_limpios[[#This Row],[Seating Capacity ]]&gt;4,"SI","NO")</f>
        <v>SI</v>
      </c>
      <c r="P1829">
        <v>55</v>
      </c>
    </row>
    <row r="1830" spans="1:16" x14ac:dyDescent="0.3">
      <c r="A1830" s="8" t="s">
        <v>28</v>
      </c>
      <c r="B1830" s="8" t="s">
        <v>1409</v>
      </c>
      <c r="C1830" s="9">
        <v>1831</v>
      </c>
      <c r="D1830" s="3">
        <v>1950000</v>
      </c>
      <c r="E1830" s="1">
        <f>datos_limpios[[#This Row],[Price INR   ]]*0.011</f>
        <v>21450</v>
      </c>
      <c r="F1830" s="13">
        <v>2018</v>
      </c>
      <c r="G1830" s="2">
        <v>54000</v>
      </c>
      <c r="H1830" s="8" t="s">
        <v>12</v>
      </c>
      <c r="I1830" s="8" t="s">
        <v>40</v>
      </c>
      <c r="J1830" s="8" t="s">
        <v>77</v>
      </c>
      <c r="K1830" t="s">
        <v>533</v>
      </c>
      <c r="L1830" t="s">
        <v>534</v>
      </c>
      <c r="M1830" s="2">
        <f>VALUE(MID(L1830,1,FIND("@",L1830)-6))</f>
        <v>164</v>
      </c>
      <c r="N1830">
        <v>7</v>
      </c>
      <c r="O1830" t="str">
        <f>IF(datos_limpios[[#This Row],[Seating Capacity ]]&gt;4,"SI","NO")</f>
        <v>SI</v>
      </c>
      <c r="P1830">
        <v>65</v>
      </c>
    </row>
    <row r="1831" spans="1:16" x14ac:dyDescent="0.3">
      <c r="A1831" s="8" t="s">
        <v>28</v>
      </c>
      <c r="B1831" s="8" t="s">
        <v>532</v>
      </c>
      <c r="C1831" s="9">
        <v>1832</v>
      </c>
      <c r="D1831" s="3">
        <v>1964999</v>
      </c>
      <c r="E1831" s="1">
        <f>datos_limpios[[#This Row],[Price INR   ]]*0.011</f>
        <v>21614.988999999998</v>
      </c>
      <c r="F1831" s="13">
        <v>2020</v>
      </c>
      <c r="G1831" s="2">
        <v>26000</v>
      </c>
      <c r="H1831" s="8" t="s">
        <v>12</v>
      </c>
      <c r="I1831" s="8" t="s">
        <v>13</v>
      </c>
      <c r="J1831" s="8" t="s">
        <v>77</v>
      </c>
      <c r="K1831" t="s">
        <v>533</v>
      </c>
      <c r="L1831" t="s">
        <v>534</v>
      </c>
      <c r="M1831" s="2">
        <f>VALUE(MID(L1831,1,FIND("@",L1831)-6))</f>
        <v>164</v>
      </c>
      <c r="N1831">
        <v>7</v>
      </c>
      <c r="O1831" t="str">
        <f>IF(datos_limpios[[#This Row],[Seating Capacity ]]&gt;4,"SI","NO")</f>
        <v>SI</v>
      </c>
      <c r="P1831">
        <v>65</v>
      </c>
    </row>
    <row r="1832" spans="1:16" x14ac:dyDescent="0.3">
      <c r="A1832" s="8" t="s">
        <v>28</v>
      </c>
      <c r="B1832" s="8" t="s">
        <v>810</v>
      </c>
      <c r="C1832" s="9">
        <v>1833</v>
      </c>
      <c r="D1832" s="3">
        <v>1975000</v>
      </c>
      <c r="E1832" s="1">
        <f>datos_limpios[[#This Row],[Price INR   ]]*0.011</f>
        <v>21725</v>
      </c>
      <c r="F1832" s="13">
        <v>2018</v>
      </c>
      <c r="G1832" s="2">
        <v>75000</v>
      </c>
      <c r="H1832" s="8" t="s">
        <v>19</v>
      </c>
      <c r="I1832" s="8" t="s">
        <v>40</v>
      </c>
      <c r="J1832" s="8" t="s">
        <v>14</v>
      </c>
      <c r="K1832" t="s">
        <v>177</v>
      </c>
      <c r="L1832" t="s">
        <v>397</v>
      </c>
      <c r="M1832" s="2">
        <f>VALUE(MID(L1832,1,FIND("@",L1832)-6))</f>
        <v>172</v>
      </c>
      <c r="N1832">
        <v>7</v>
      </c>
      <c r="O1832" t="str">
        <f>IF(datos_limpios[[#This Row],[Seating Capacity ]]&gt;4,"SI","NO")</f>
        <v>SI</v>
      </c>
      <c r="P1832">
        <v>55</v>
      </c>
    </row>
    <row r="1833" spans="1:16" x14ac:dyDescent="0.3">
      <c r="A1833" s="8" t="s">
        <v>28</v>
      </c>
      <c r="B1833" s="8" t="s">
        <v>336</v>
      </c>
      <c r="C1833" s="9">
        <v>1834</v>
      </c>
      <c r="D1833" s="3">
        <v>1975000</v>
      </c>
      <c r="E1833" s="1">
        <f>datos_limpios[[#This Row],[Price INR   ]]*0.011</f>
        <v>21725</v>
      </c>
      <c r="F1833" s="13">
        <v>2014</v>
      </c>
      <c r="G1833" s="2">
        <v>123000</v>
      </c>
      <c r="H1833" s="8" t="s">
        <v>19</v>
      </c>
      <c r="I1833" s="8" t="s">
        <v>13</v>
      </c>
      <c r="J1833" s="8" t="s">
        <v>20</v>
      </c>
      <c r="K1833" t="s">
        <v>245</v>
      </c>
      <c r="L1833" t="s">
        <v>246</v>
      </c>
      <c r="M1833" s="2">
        <f>VALUE(MID(L1833,1,FIND("@",L1833)-6))</f>
        <v>169</v>
      </c>
      <c r="N1833">
        <v>7</v>
      </c>
      <c r="O1833" t="str">
        <f>IF(datos_limpios[[#This Row],[Seating Capacity ]]&gt;4,"SI","NO")</f>
        <v>SI</v>
      </c>
      <c r="P1833">
        <v>80</v>
      </c>
    </row>
    <row r="1834" spans="1:16" x14ac:dyDescent="0.3">
      <c r="A1834" s="8" t="s">
        <v>28</v>
      </c>
      <c r="B1834" s="8" t="s">
        <v>32</v>
      </c>
      <c r="C1834" s="9">
        <v>1835</v>
      </c>
      <c r="D1834" s="3">
        <v>1989999</v>
      </c>
      <c r="E1834" s="1">
        <f>datos_limpios[[#This Row],[Price INR   ]]*0.011</f>
        <v>21889.988999999998</v>
      </c>
      <c r="F1834" s="13">
        <v>2018</v>
      </c>
      <c r="G1834" s="2">
        <v>55000</v>
      </c>
      <c r="H1834" s="8" t="s">
        <v>19</v>
      </c>
      <c r="I1834" s="8" t="s">
        <v>13</v>
      </c>
      <c r="J1834" s="8" t="s">
        <v>131</v>
      </c>
      <c r="K1834" t="s">
        <v>33</v>
      </c>
      <c r="L1834" t="s">
        <v>34</v>
      </c>
      <c r="M1834" s="2">
        <f>VALUE(MID(L1834,1,FIND("@",L1834)-6))</f>
        <v>148</v>
      </c>
      <c r="N1834">
        <v>7</v>
      </c>
      <c r="O1834" t="str">
        <f>IF(datos_limpios[[#This Row],[Seating Capacity ]]&gt;4,"SI","NO")</f>
        <v>SI</v>
      </c>
      <c r="P1834">
        <v>55</v>
      </c>
    </row>
    <row r="1835" spans="1:16" x14ac:dyDescent="0.3">
      <c r="A1835" s="8" t="s">
        <v>28</v>
      </c>
      <c r="B1835" s="8" t="s">
        <v>579</v>
      </c>
      <c r="C1835" s="9">
        <v>1836</v>
      </c>
      <c r="D1835" s="3">
        <v>1995000</v>
      </c>
      <c r="E1835" s="1">
        <f>datos_limpios[[#This Row],[Price INR   ]]*0.011</f>
        <v>21945</v>
      </c>
      <c r="F1835" s="13">
        <v>2018</v>
      </c>
      <c r="G1835" s="2">
        <v>35123</v>
      </c>
      <c r="H1835" s="8" t="s">
        <v>19</v>
      </c>
      <c r="I1835" s="8" t="s">
        <v>13</v>
      </c>
      <c r="J1835" s="8" t="s">
        <v>20</v>
      </c>
      <c r="K1835" t="s">
        <v>33</v>
      </c>
      <c r="L1835" t="s">
        <v>34</v>
      </c>
      <c r="M1835" s="2">
        <f>VALUE(MID(L1835,1,FIND("@",L1835)-6))</f>
        <v>148</v>
      </c>
      <c r="N1835">
        <v>8</v>
      </c>
      <c r="O1835" t="str">
        <f>IF(datos_limpios[[#This Row],[Seating Capacity ]]&gt;4,"SI","NO")</f>
        <v>SI</v>
      </c>
      <c r="P1835">
        <v>55</v>
      </c>
    </row>
    <row r="1836" spans="1:16" x14ac:dyDescent="0.3">
      <c r="A1836" s="8" t="s">
        <v>28</v>
      </c>
      <c r="B1836" s="8" t="s">
        <v>579</v>
      </c>
      <c r="C1836" s="9">
        <v>1837</v>
      </c>
      <c r="D1836" s="3">
        <v>1998999</v>
      </c>
      <c r="E1836" s="1">
        <f>datos_limpios[[#This Row],[Price INR   ]]*0.011</f>
        <v>21988.988999999998</v>
      </c>
      <c r="F1836" s="13">
        <v>2019</v>
      </c>
      <c r="G1836" s="2">
        <v>71063</v>
      </c>
      <c r="H1836" s="8" t="s">
        <v>19</v>
      </c>
      <c r="I1836" s="8" t="s">
        <v>13</v>
      </c>
      <c r="J1836" s="8" t="s">
        <v>77</v>
      </c>
      <c r="K1836" t="s">
        <v>33</v>
      </c>
      <c r="L1836" t="s">
        <v>34</v>
      </c>
      <c r="M1836" s="2">
        <f>VALUE(MID(L1836,1,FIND("@",L1836)-6))</f>
        <v>148</v>
      </c>
      <c r="N1836">
        <v>8</v>
      </c>
      <c r="O1836" t="str">
        <f>IF(datos_limpios[[#This Row],[Seating Capacity ]]&gt;4,"SI","NO")</f>
        <v>SI</v>
      </c>
      <c r="P1836">
        <v>55</v>
      </c>
    </row>
    <row r="1837" spans="1:16" x14ac:dyDescent="0.3">
      <c r="A1837" s="8" t="s">
        <v>28</v>
      </c>
      <c r="B1837" s="8" t="s">
        <v>810</v>
      </c>
      <c r="C1837" s="9">
        <v>1838</v>
      </c>
      <c r="D1837" s="3">
        <v>2039999</v>
      </c>
      <c r="E1837" s="1">
        <f>datos_limpios[[#This Row],[Price INR   ]]*0.011</f>
        <v>22439.988999999998</v>
      </c>
      <c r="F1837" s="13">
        <v>2018</v>
      </c>
      <c r="G1837" s="2">
        <v>110000</v>
      </c>
      <c r="H1837" s="8" t="s">
        <v>19</v>
      </c>
      <c r="I1837" s="8" t="s">
        <v>40</v>
      </c>
      <c r="J1837" s="8" t="s">
        <v>115</v>
      </c>
      <c r="K1837" t="s">
        <v>177</v>
      </c>
      <c r="L1837" t="s">
        <v>397</v>
      </c>
      <c r="M1837" s="2">
        <f>VALUE(MID(L1837,1,FIND("@",L1837)-6))</f>
        <v>172</v>
      </c>
      <c r="N1837">
        <v>7</v>
      </c>
      <c r="O1837" t="str">
        <f>IF(datos_limpios[[#This Row],[Seating Capacity ]]&gt;4,"SI","NO")</f>
        <v>SI</v>
      </c>
      <c r="P1837">
        <v>55</v>
      </c>
    </row>
    <row r="1838" spans="1:16" x14ac:dyDescent="0.3">
      <c r="A1838" s="8" t="s">
        <v>28</v>
      </c>
      <c r="B1838" s="8" t="s">
        <v>32</v>
      </c>
      <c r="C1838" s="9">
        <v>1839</v>
      </c>
      <c r="D1838" s="3">
        <v>2100000</v>
      </c>
      <c r="E1838" s="1">
        <f>datos_limpios[[#This Row],[Price INR   ]]*0.011</f>
        <v>23100</v>
      </c>
      <c r="F1838" s="13">
        <v>2017</v>
      </c>
      <c r="G1838" s="2">
        <v>112000</v>
      </c>
      <c r="H1838" s="8" t="s">
        <v>19</v>
      </c>
      <c r="I1838" s="8" t="s">
        <v>13</v>
      </c>
      <c r="J1838" s="8" t="s">
        <v>115</v>
      </c>
      <c r="K1838" t="s">
        <v>33</v>
      </c>
      <c r="L1838" t="s">
        <v>34</v>
      </c>
      <c r="M1838" s="2">
        <f>VALUE(MID(L1838,1,FIND("@",L1838)-6))</f>
        <v>148</v>
      </c>
      <c r="N1838">
        <v>7</v>
      </c>
      <c r="O1838" t="str">
        <f>IF(datos_limpios[[#This Row],[Seating Capacity ]]&gt;4,"SI","NO")</f>
        <v>SI</v>
      </c>
      <c r="P1838">
        <v>55</v>
      </c>
    </row>
    <row r="1839" spans="1:16" x14ac:dyDescent="0.3">
      <c r="A1839" s="8" t="s">
        <v>28</v>
      </c>
      <c r="B1839" s="8" t="s">
        <v>810</v>
      </c>
      <c r="C1839" s="9">
        <v>1840</v>
      </c>
      <c r="D1839" s="3">
        <v>2150000</v>
      </c>
      <c r="E1839" s="1">
        <f>datos_limpios[[#This Row],[Price INR   ]]*0.011</f>
        <v>23650</v>
      </c>
      <c r="F1839" s="13">
        <v>2017</v>
      </c>
      <c r="G1839" s="2">
        <v>45000</v>
      </c>
      <c r="H1839" s="8" t="s">
        <v>19</v>
      </c>
      <c r="I1839" s="8" t="s">
        <v>40</v>
      </c>
      <c r="J1839" s="8" t="s">
        <v>14</v>
      </c>
      <c r="K1839" t="s">
        <v>177</v>
      </c>
      <c r="L1839" t="s">
        <v>397</v>
      </c>
      <c r="M1839" s="2">
        <f>VALUE(MID(L1839,1,FIND("@",L1839)-6))</f>
        <v>172</v>
      </c>
      <c r="N1839">
        <v>7</v>
      </c>
      <c r="O1839" t="str">
        <f>IF(datos_limpios[[#This Row],[Seating Capacity ]]&gt;4,"SI","NO")</f>
        <v>SI</v>
      </c>
      <c r="P1839">
        <v>55</v>
      </c>
    </row>
    <row r="1840" spans="1:16" x14ac:dyDescent="0.3">
      <c r="A1840" s="8" t="s">
        <v>28</v>
      </c>
      <c r="B1840" s="8" t="s">
        <v>32</v>
      </c>
      <c r="C1840" s="9">
        <v>1841</v>
      </c>
      <c r="D1840" s="3">
        <v>2175000</v>
      </c>
      <c r="E1840" s="1">
        <f>datos_limpios[[#This Row],[Price INR   ]]*0.011</f>
        <v>23925</v>
      </c>
      <c r="F1840" s="13">
        <v>2017</v>
      </c>
      <c r="G1840" s="2">
        <v>29000</v>
      </c>
      <c r="H1840" s="8" t="s">
        <v>19</v>
      </c>
      <c r="I1840" s="8" t="s">
        <v>13</v>
      </c>
      <c r="J1840" s="8" t="s">
        <v>115</v>
      </c>
      <c r="K1840" t="s">
        <v>33</v>
      </c>
      <c r="L1840" t="s">
        <v>34</v>
      </c>
      <c r="M1840" s="2">
        <f>VALUE(MID(L1840,1,FIND("@",L1840)-6))</f>
        <v>148</v>
      </c>
      <c r="N1840">
        <v>7</v>
      </c>
      <c r="O1840" t="str">
        <f>IF(datos_limpios[[#This Row],[Seating Capacity ]]&gt;4,"SI","NO")</f>
        <v>SI</v>
      </c>
      <c r="P1840">
        <v>55</v>
      </c>
    </row>
    <row r="1841" spans="1:16" x14ac:dyDescent="0.3">
      <c r="A1841" s="8" t="s">
        <v>28</v>
      </c>
      <c r="B1841" s="8" t="s">
        <v>810</v>
      </c>
      <c r="C1841" s="9">
        <v>1842</v>
      </c>
      <c r="D1841" s="3">
        <v>2175000</v>
      </c>
      <c r="E1841" s="1">
        <f>datos_limpios[[#This Row],[Price INR   ]]*0.011</f>
        <v>23925</v>
      </c>
      <c r="F1841" s="13">
        <v>2018</v>
      </c>
      <c r="G1841" s="2">
        <v>40000</v>
      </c>
      <c r="H1841" s="8" t="s">
        <v>19</v>
      </c>
      <c r="I1841" s="8" t="s">
        <v>40</v>
      </c>
      <c r="J1841" s="8" t="s">
        <v>115</v>
      </c>
      <c r="K1841" t="s">
        <v>177</v>
      </c>
      <c r="L1841" t="s">
        <v>397</v>
      </c>
      <c r="M1841" s="2">
        <f>VALUE(MID(L1841,1,FIND("@",L1841)-6))</f>
        <v>172</v>
      </c>
      <c r="N1841">
        <v>7</v>
      </c>
      <c r="O1841" t="str">
        <f>IF(datos_limpios[[#This Row],[Seating Capacity ]]&gt;4,"SI","NO")</f>
        <v>SI</v>
      </c>
      <c r="P1841">
        <v>55</v>
      </c>
    </row>
    <row r="1842" spans="1:16" x14ac:dyDescent="0.3">
      <c r="A1842" s="8" t="s">
        <v>28</v>
      </c>
      <c r="B1842" s="8" t="s">
        <v>1005</v>
      </c>
      <c r="C1842" s="9">
        <v>1843</v>
      </c>
      <c r="D1842" s="3">
        <v>2190000</v>
      </c>
      <c r="E1842" s="1">
        <f>datos_limpios[[#This Row],[Price INR   ]]*0.011</f>
        <v>24090</v>
      </c>
      <c r="F1842" s="13">
        <v>2017</v>
      </c>
      <c r="G1842" s="2">
        <v>30000</v>
      </c>
      <c r="H1842" s="8" t="s">
        <v>19</v>
      </c>
      <c r="I1842" s="8" t="s">
        <v>13</v>
      </c>
      <c r="J1842" s="8" t="s">
        <v>25</v>
      </c>
      <c r="K1842" t="s">
        <v>33</v>
      </c>
      <c r="L1842" t="s">
        <v>34</v>
      </c>
      <c r="M1842" s="2">
        <f>VALUE(MID(L1842,1,FIND("@",L1842)-6))</f>
        <v>148</v>
      </c>
      <c r="N1842">
        <v>7</v>
      </c>
      <c r="O1842" t="str">
        <f>IF(datos_limpios[[#This Row],[Seating Capacity ]]&gt;4,"SI","NO")</f>
        <v>SI</v>
      </c>
      <c r="P1842">
        <v>55</v>
      </c>
    </row>
    <row r="1843" spans="1:16" x14ac:dyDescent="0.3">
      <c r="A1843" s="8" t="s">
        <v>28</v>
      </c>
      <c r="B1843" s="8" t="s">
        <v>1310</v>
      </c>
      <c r="C1843" s="9">
        <v>1844</v>
      </c>
      <c r="D1843" s="3">
        <v>2196000</v>
      </c>
      <c r="E1843" s="1">
        <f>datos_limpios[[#This Row],[Price INR   ]]*0.011</f>
        <v>24156</v>
      </c>
      <c r="F1843" s="13">
        <v>2019</v>
      </c>
      <c r="G1843" s="2">
        <v>42794</v>
      </c>
      <c r="H1843" s="8" t="s">
        <v>19</v>
      </c>
      <c r="I1843" s="8" t="s">
        <v>40</v>
      </c>
      <c r="J1843" s="8" t="s">
        <v>20</v>
      </c>
      <c r="K1843" t="s">
        <v>177</v>
      </c>
      <c r="L1843" t="s">
        <v>397</v>
      </c>
      <c r="M1843" s="2">
        <f>VALUE(MID(L1843,1,FIND("@",L1843)-6))</f>
        <v>172</v>
      </c>
      <c r="N1843">
        <v>8</v>
      </c>
      <c r="O1843" t="str">
        <f>IF(datos_limpios[[#This Row],[Seating Capacity ]]&gt;4,"SI","NO")</f>
        <v>SI</v>
      </c>
      <c r="P1843">
        <v>55</v>
      </c>
    </row>
    <row r="1844" spans="1:16" x14ac:dyDescent="0.3">
      <c r="A1844" s="8" t="s">
        <v>28</v>
      </c>
      <c r="B1844" s="8" t="s">
        <v>810</v>
      </c>
      <c r="C1844" s="9">
        <v>1845</v>
      </c>
      <c r="D1844" s="3">
        <v>2200000</v>
      </c>
      <c r="E1844" s="1">
        <f>datos_limpios[[#This Row],[Price INR   ]]*0.011</f>
        <v>24200</v>
      </c>
      <c r="F1844" s="13">
        <v>2018</v>
      </c>
      <c r="G1844" s="2">
        <v>57000</v>
      </c>
      <c r="H1844" s="8" t="s">
        <v>19</v>
      </c>
      <c r="I1844" s="8" t="s">
        <v>40</v>
      </c>
      <c r="J1844" s="8" t="s">
        <v>14</v>
      </c>
      <c r="K1844" t="s">
        <v>177</v>
      </c>
      <c r="L1844" t="s">
        <v>397</v>
      </c>
      <c r="M1844" s="2">
        <f>VALUE(MID(L1844,1,FIND("@",L1844)-6))</f>
        <v>172</v>
      </c>
      <c r="N1844">
        <v>7</v>
      </c>
      <c r="O1844" t="str">
        <f>IF(datos_limpios[[#This Row],[Seating Capacity ]]&gt;4,"SI","NO")</f>
        <v>SI</v>
      </c>
      <c r="P1844">
        <v>55</v>
      </c>
    </row>
    <row r="1845" spans="1:16" x14ac:dyDescent="0.3">
      <c r="A1845" s="8" t="s">
        <v>28</v>
      </c>
      <c r="B1845" s="8" t="s">
        <v>385</v>
      </c>
      <c r="C1845" s="9">
        <v>1846</v>
      </c>
      <c r="D1845" s="3">
        <v>2250000</v>
      </c>
      <c r="E1845" s="1">
        <f>datos_limpios[[#This Row],[Price INR   ]]*0.011</f>
        <v>24750</v>
      </c>
      <c r="F1845" s="13">
        <v>2020</v>
      </c>
      <c r="G1845" s="2">
        <v>24549</v>
      </c>
      <c r="H1845" s="8" t="s">
        <v>19</v>
      </c>
      <c r="I1845" s="8" t="s">
        <v>13</v>
      </c>
      <c r="J1845" s="8" t="s">
        <v>14</v>
      </c>
      <c r="K1845" t="s">
        <v>33</v>
      </c>
      <c r="L1845" t="s">
        <v>34</v>
      </c>
      <c r="M1845" s="2">
        <f>VALUE(MID(L1845,1,FIND("@",L1845)-6))</f>
        <v>148</v>
      </c>
      <c r="N1845">
        <v>7</v>
      </c>
      <c r="O1845" t="str">
        <f>IF(datos_limpios[[#This Row],[Seating Capacity ]]&gt;4,"SI","NO")</f>
        <v>SI</v>
      </c>
      <c r="P1845">
        <v>55</v>
      </c>
    </row>
    <row r="1846" spans="1:16" x14ac:dyDescent="0.3">
      <c r="A1846" s="8" t="s">
        <v>28</v>
      </c>
      <c r="B1846" s="8" t="s">
        <v>579</v>
      </c>
      <c r="C1846" s="9">
        <v>1847</v>
      </c>
      <c r="D1846" s="3">
        <v>2250000</v>
      </c>
      <c r="E1846" s="1">
        <f>datos_limpios[[#This Row],[Price INR   ]]*0.011</f>
        <v>24750</v>
      </c>
      <c r="F1846" s="13">
        <v>2019</v>
      </c>
      <c r="G1846" s="2">
        <v>28000</v>
      </c>
      <c r="H1846" s="8" t="s">
        <v>19</v>
      </c>
      <c r="I1846" s="8" t="s">
        <v>13</v>
      </c>
      <c r="J1846" s="8" t="s">
        <v>25</v>
      </c>
      <c r="K1846" t="s">
        <v>33</v>
      </c>
      <c r="L1846" t="s">
        <v>34</v>
      </c>
      <c r="M1846" s="2">
        <f>VALUE(MID(L1846,1,FIND("@",L1846)-6))</f>
        <v>148</v>
      </c>
      <c r="N1846">
        <v>8</v>
      </c>
      <c r="O1846" t="str">
        <f>IF(datos_limpios[[#This Row],[Seating Capacity ]]&gt;4,"SI","NO")</f>
        <v>SI</v>
      </c>
      <c r="P1846">
        <v>55</v>
      </c>
    </row>
    <row r="1847" spans="1:16" x14ac:dyDescent="0.3">
      <c r="A1847" s="8" t="s">
        <v>28</v>
      </c>
      <c r="B1847" s="8" t="s">
        <v>810</v>
      </c>
      <c r="C1847" s="9">
        <v>1848</v>
      </c>
      <c r="D1847" s="3">
        <v>2295000</v>
      </c>
      <c r="E1847" s="1">
        <f>datos_limpios[[#This Row],[Price INR   ]]*0.011</f>
        <v>25245</v>
      </c>
      <c r="F1847" s="13">
        <v>2019</v>
      </c>
      <c r="G1847" s="2">
        <v>26000</v>
      </c>
      <c r="H1847" s="8" t="s">
        <v>19</v>
      </c>
      <c r="I1847" s="8" t="s">
        <v>40</v>
      </c>
      <c r="J1847" s="8" t="s">
        <v>77</v>
      </c>
      <c r="K1847" t="s">
        <v>177</v>
      </c>
      <c r="L1847" t="s">
        <v>397</v>
      </c>
      <c r="M1847" s="2">
        <f>VALUE(MID(L1847,1,FIND("@",L1847)-6))</f>
        <v>172</v>
      </c>
      <c r="N1847">
        <v>7</v>
      </c>
      <c r="O1847" t="str">
        <f>IF(datos_limpios[[#This Row],[Seating Capacity ]]&gt;4,"SI","NO")</f>
        <v>SI</v>
      </c>
      <c r="P1847">
        <v>55</v>
      </c>
    </row>
    <row r="1848" spans="1:16" x14ac:dyDescent="0.3">
      <c r="A1848" s="8" t="s">
        <v>28</v>
      </c>
      <c r="B1848" s="8" t="s">
        <v>198</v>
      </c>
      <c r="C1848" s="9">
        <v>1849</v>
      </c>
      <c r="D1848" s="3">
        <v>2345000</v>
      </c>
      <c r="E1848" s="1">
        <f>datos_limpios[[#This Row],[Price INR   ]]*0.011</f>
        <v>25795</v>
      </c>
      <c r="F1848" s="13">
        <v>2017</v>
      </c>
      <c r="G1848" s="2">
        <v>47000</v>
      </c>
      <c r="H1848" s="8" t="s">
        <v>12</v>
      </c>
      <c r="I1848" s="8" t="s">
        <v>40</v>
      </c>
      <c r="J1848" s="8" t="s">
        <v>82</v>
      </c>
      <c r="K1848" t="s">
        <v>150</v>
      </c>
      <c r="L1848" t="s">
        <v>199</v>
      </c>
      <c r="M1848" s="2">
        <f>VALUE(MID(L1848,1,FIND("@",L1848)-6))</f>
        <v>179</v>
      </c>
      <c r="N1848">
        <v>5</v>
      </c>
      <c r="O1848" t="str">
        <f>IF(datos_limpios[[#This Row],[Seating Capacity ]]&gt;4,"SI","NO")</f>
        <v>SI</v>
      </c>
      <c r="P1848">
        <v>70</v>
      </c>
    </row>
    <row r="1849" spans="1:16" x14ac:dyDescent="0.3">
      <c r="A1849" s="8" t="s">
        <v>28</v>
      </c>
      <c r="B1849" s="8" t="s">
        <v>407</v>
      </c>
      <c r="C1849" s="9">
        <v>1850</v>
      </c>
      <c r="D1849" s="3">
        <v>2425000</v>
      </c>
      <c r="E1849" s="1">
        <f>datos_limpios[[#This Row],[Price INR   ]]*0.011</f>
        <v>26675</v>
      </c>
      <c r="F1849" s="13">
        <v>2022</v>
      </c>
      <c r="G1849" s="2">
        <v>11000</v>
      </c>
      <c r="H1849" s="8" t="s">
        <v>19</v>
      </c>
      <c r="I1849" s="8" t="s">
        <v>40</v>
      </c>
      <c r="J1849" s="8" t="s">
        <v>101</v>
      </c>
      <c r="K1849" t="s">
        <v>33</v>
      </c>
      <c r="L1849" t="s">
        <v>34</v>
      </c>
      <c r="M1849" s="2">
        <f>VALUE(MID(L1849,1,FIND("@",L1849)-6))</f>
        <v>148</v>
      </c>
      <c r="N1849">
        <v>7</v>
      </c>
      <c r="O1849" t="str">
        <f>IF(datos_limpios[[#This Row],[Seating Capacity ]]&gt;4,"SI","NO")</f>
        <v>SI</v>
      </c>
      <c r="P1849">
        <v>55</v>
      </c>
    </row>
    <row r="1850" spans="1:16" x14ac:dyDescent="0.3">
      <c r="A1850" s="8" t="s">
        <v>28</v>
      </c>
      <c r="B1850" s="8" t="s">
        <v>176</v>
      </c>
      <c r="C1850" s="9">
        <v>1851</v>
      </c>
      <c r="D1850" s="3">
        <v>2550000</v>
      </c>
      <c r="E1850" s="1">
        <f>datos_limpios[[#This Row],[Price INR   ]]*0.011</f>
        <v>28050</v>
      </c>
      <c r="F1850" s="13">
        <v>2017</v>
      </c>
      <c r="G1850" s="2">
        <v>44000</v>
      </c>
      <c r="H1850" s="8" t="s">
        <v>19</v>
      </c>
      <c r="I1850" s="8" t="s">
        <v>40</v>
      </c>
      <c r="J1850" s="8" t="s">
        <v>101</v>
      </c>
      <c r="K1850" t="s">
        <v>177</v>
      </c>
      <c r="L1850" t="s">
        <v>178</v>
      </c>
      <c r="M1850" s="2">
        <f>VALUE(MID(L1850,1,FIND("@",L1850)-6))</f>
        <v>174</v>
      </c>
      <c r="N1850">
        <v>7</v>
      </c>
      <c r="O1850" t="str">
        <f>IF(datos_limpios[[#This Row],[Seating Capacity ]]&gt;4,"SI","NO")</f>
        <v>SI</v>
      </c>
      <c r="P1850">
        <v>80</v>
      </c>
    </row>
    <row r="1851" spans="1:16" x14ac:dyDescent="0.3">
      <c r="A1851" s="8" t="s">
        <v>28</v>
      </c>
      <c r="B1851" s="8" t="s">
        <v>813</v>
      </c>
      <c r="C1851" s="9">
        <v>1852</v>
      </c>
      <c r="D1851" s="3">
        <v>2598000</v>
      </c>
      <c r="E1851" s="1">
        <f>datos_limpios[[#This Row],[Price INR   ]]*0.011</f>
        <v>28578</v>
      </c>
      <c r="F1851" s="13">
        <v>2022</v>
      </c>
      <c r="G1851" s="2">
        <v>12050</v>
      </c>
      <c r="H1851" s="8" t="s">
        <v>12</v>
      </c>
      <c r="I1851" s="8" t="s">
        <v>40</v>
      </c>
      <c r="J1851" s="8" t="s">
        <v>101</v>
      </c>
      <c r="K1851" t="s">
        <v>533</v>
      </c>
      <c r="L1851" t="s">
        <v>534</v>
      </c>
      <c r="M1851" s="2">
        <f>VALUE(MID(L1851,1,FIND("@",L1851)-6))</f>
        <v>164</v>
      </c>
      <c r="N1851">
        <v>7</v>
      </c>
      <c r="O1851" t="str">
        <f>IF(datos_limpios[[#This Row],[Seating Capacity ]]&gt;4,"SI","NO")</f>
        <v>SI</v>
      </c>
      <c r="P1851">
        <v>65</v>
      </c>
    </row>
    <row r="1852" spans="1:16" x14ac:dyDescent="0.3">
      <c r="A1852" s="8" t="s">
        <v>28</v>
      </c>
      <c r="B1852" s="8" t="s">
        <v>841</v>
      </c>
      <c r="C1852" s="9">
        <v>1853</v>
      </c>
      <c r="D1852" s="3">
        <v>2690000</v>
      </c>
      <c r="E1852" s="1">
        <f>datos_limpios[[#This Row],[Price INR   ]]*0.011</f>
        <v>29590</v>
      </c>
      <c r="F1852" s="13">
        <v>2017</v>
      </c>
      <c r="G1852" s="2">
        <v>65000</v>
      </c>
      <c r="H1852" s="8" t="s">
        <v>19</v>
      </c>
      <c r="I1852" s="8" t="s">
        <v>40</v>
      </c>
      <c r="J1852" s="8" t="s">
        <v>14</v>
      </c>
      <c r="K1852" t="s">
        <v>177</v>
      </c>
      <c r="L1852" t="s">
        <v>178</v>
      </c>
      <c r="M1852" s="2">
        <f>VALUE(MID(L1852,1,FIND("@",L1852)-6))</f>
        <v>174</v>
      </c>
      <c r="N1852">
        <v>7</v>
      </c>
      <c r="O1852" t="str">
        <f>IF(datos_limpios[[#This Row],[Seating Capacity ]]&gt;4,"SI","NO")</f>
        <v>SI</v>
      </c>
      <c r="P1852">
        <v>80</v>
      </c>
    </row>
    <row r="1853" spans="1:16" x14ac:dyDescent="0.3">
      <c r="A1853" s="8" t="s">
        <v>28</v>
      </c>
      <c r="B1853" s="8" t="s">
        <v>612</v>
      </c>
      <c r="C1853" s="9">
        <v>1854</v>
      </c>
      <c r="D1853" s="3">
        <v>2725000</v>
      </c>
      <c r="E1853" s="1">
        <f>datos_limpios[[#This Row],[Price INR   ]]*0.011</f>
        <v>29975</v>
      </c>
      <c r="F1853" s="13">
        <v>2020</v>
      </c>
      <c r="G1853" s="2">
        <v>18625</v>
      </c>
      <c r="H1853" s="8" t="s">
        <v>19</v>
      </c>
      <c r="I1853" s="8" t="s">
        <v>40</v>
      </c>
      <c r="J1853" s="8" t="s">
        <v>115</v>
      </c>
      <c r="K1853" t="s">
        <v>33</v>
      </c>
      <c r="L1853" t="s">
        <v>34</v>
      </c>
      <c r="M1853" s="2">
        <f>VALUE(MID(L1853,1,FIND("@",L1853)-6))</f>
        <v>148</v>
      </c>
      <c r="N1853">
        <v>7</v>
      </c>
      <c r="O1853" t="str">
        <f>IF(datos_limpios[[#This Row],[Seating Capacity ]]&gt;4,"SI","NO")</f>
        <v>SI</v>
      </c>
      <c r="P1853">
        <v>55</v>
      </c>
    </row>
    <row r="1854" spans="1:16" x14ac:dyDescent="0.3">
      <c r="A1854" s="8" t="s">
        <v>28</v>
      </c>
      <c r="B1854" s="8" t="s">
        <v>841</v>
      </c>
      <c r="C1854" s="9">
        <v>1855</v>
      </c>
      <c r="D1854" s="3">
        <v>2749000</v>
      </c>
      <c r="E1854" s="1">
        <f>datos_limpios[[#This Row],[Price INR   ]]*0.011</f>
        <v>30239</v>
      </c>
      <c r="F1854" s="13">
        <v>2017</v>
      </c>
      <c r="G1854" s="2">
        <v>120000</v>
      </c>
      <c r="H1854" s="8" t="s">
        <v>19</v>
      </c>
      <c r="I1854" s="8" t="s">
        <v>40</v>
      </c>
      <c r="J1854" s="8" t="s">
        <v>20</v>
      </c>
      <c r="K1854" t="s">
        <v>177</v>
      </c>
      <c r="L1854" t="s">
        <v>178</v>
      </c>
      <c r="M1854" s="2">
        <f>VALUE(MID(L1854,1,FIND("@",L1854)-6))</f>
        <v>174</v>
      </c>
      <c r="N1854">
        <v>7</v>
      </c>
      <c r="O1854" t="str">
        <f>IF(datos_limpios[[#This Row],[Seating Capacity ]]&gt;4,"SI","NO")</f>
        <v>SI</v>
      </c>
      <c r="P1854">
        <v>80</v>
      </c>
    </row>
    <row r="1855" spans="1:16" x14ac:dyDescent="0.3">
      <c r="A1855" s="8" t="s">
        <v>28</v>
      </c>
      <c r="B1855" s="8" t="s">
        <v>579</v>
      </c>
      <c r="C1855" s="9">
        <v>1856</v>
      </c>
      <c r="D1855" s="3">
        <v>2750000</v>
      </c>
      <c r="E1855" s="1">
        <f>datos_limpios[[#This Row],[Price INR   ]]*0.011</f>
        <v>30250</v>
      </c>
      <c r="F1855" s="13">
        <v>2021</v>
      </c>
      <c r="G1855" s="2">
        <v>34228</v>
      </c>
      <c r="H1855" s="8" t="s">
        <v>19</v>
      </c>
      <c r="I1855" s="8" t="s">
        <v>13</v>
      </c>
      <c r="J1855" s="8" t="s">
        <v>20</v>
      </c>
      <c r="K1855" t="s">
        <v>33</v>
      </c>
      <c r="L1855" t="s">
        <v>34</v>
      </c>
      <c r="M1855" s="2">
        <f>VALUE(MID(L1855,1,FIND("@",L1855)-6))</f>
        <v>148</v>
      </c>
      <c r="N1855">
        <v>8</v>
      </c>
      <c r="O1855" t="str">
        <f>IF(datos_limpios[[#This Row],[Seating Capacity ]]&gt;4,"SI","NO")</f>
        <v>SI</v>
      </c>
      <c r="P1855">
        <v>55</v>
      </c>
    </row>
    <row r="1856" spans="1:16" x14ac:dyDescent="0.3">
      <c r="A1856" s="8" t="s">
        <v>28</v>
      </c>
      <c r="B1856" s="8" t="s">
        <v>841</v>
      </c>
      <c r="C1856" s="9">
        <v>1857</v>
      </c>
      <c r="D1856" s="3">
        <v>2750000</v>
      </c>
      <c r="E1856" s="1">
        <f>datos_limpios[[#This Row],[Price INR   ]]*0.011</f>
        <v>30250</v>
      </c>
      <c r="F1856" s="13">
        <v>2017</v>
      </c>
      <c r="G1856" s="2">
        <v>219000</v>
      </c>
      <c r="H1856" s="8" t="s">
        <v>19</v>
      </c>
      <c r="I1856" s="8" t="s">
        <v>40</v>
      </c>
      <c r="J1856" s="8" t="s">
        <v>20</v>
      </c>
      <c r="K1856" t="s">
        <v>177</v>
      </c>
      <c r="L1856" t="s">
        <v>178</v>
      </c>
      <c r="M1856" s="2">
        <f>VALUE(MID(L1856,1,FIND("@",L1856)-6))</f>
        <v>174</v>
      </c>
      <c r="N1856">
        <v>7</v>
      </c>
      <c r="O1856" t="str">
        <f>IF(datos_limpios[[#This Row],[Seating Capacity ]]&gt;4,"SI","NO")</f>
        <v>SI</v>
      </c>
      <c r="P1856">
        <v>80</v>
      </c>
    </row>
    <row r="1857" spans="1:16" x14ac:dyDescent="0.3">
      <c r="A1857" s="8" t="s">
        <v>28</v>
      </c>
      <c r="B1857" s="8" t="s">
        <v>176</v>
      </c>
      <c r="C1857" s="9">
        <v>1858</v>
      </c>
      <c r="D1857" s="3">
        <v>2799000</v>
      </c>
      <c r="E1857" s="1">
        <f>datos_limpios[[#This Row],[Price INR   ]]*0.011</f>
        <v>30789</v>
      </c>
      <c r="F1857" s="13">
        <v>2019</v>
      </c>
      <c r="G1857" s="2">
        <v>69500</v>
      </c>
      <c r="H1857" s="8" t="s">
        <v>19</v>
      </c>
      <c r="I1857" s="8" t="s">
        <v>40</v>
      </c>
      <c r="J1857" s="8" t="s">
        <v>20</v>
      </c>
      <c r="K1857" t="s">
        <v>177</v>
      </c>
      <c r="L1857" t="s">
        <v>178</v>
      </c>
      <c r="M1857" s="2">
        <f>VALUE(MID(L1857,1,FIND("@",L1857)-6))</f>
        <v>174</v>
      </c>
      <c r="N1857">
        <v>7</v>
      </c>
      <c r="O1857" t="str">
        <f>IF(datos_limpios[[#This Row],[Seating Capacity ]]&gt;4,"SI","NO")</f>
        <v>SI</v>
      </c>
      <c r="P1857">
        <v>80</v>
      </c>
    </row>
    <row r="1858" spans="1:16" x14ac:dyDescent="0.3">
      <c r="A1858" s="8" t="s">
        <v>28</v>
      </c>
      <c r="B1858" s="8" t="s">
        <v>176</v>
      </c>
      <c r="C1858" s="9">
        <v>1859</v>
      </c>
      <c r="D1858" s="3">
        <v>2800000</v>
      </c>
      <c r="E1858" s="1">
        <f>datos_limpios[[#This Row],[Price INR   ]]*0.011</f>
        <v>30800</v>
      </c>
      <c r="F1858" s="13">
        <v>2016</v>
      </c>
      <c r="G1858" s="2">
        <v>93000</v>
      </c>
      <c r="H1858" s="8" t="s">
        <v>19</v>
      </c>
      <c r="I1858" s="8" t="s">
        <v>40</v>
      </c>
      <c r="J1858" s="8" t="s">
        <v>20</v>
      </c>
      <c r="K1858" t="s">
        <v>177</v>
      </c>
      <c r="L1858" t="s">
        <v>178</v>
      </c>
      <c r="M1858" s="2">
        <f>VALUE(MID(L1858,1,FIND("@",L1858)-6))</f>
        <v>174</v>
      </c>
      <c r="N1858">
        <v>7</v>
      </c>
      <c r="O1858" t="str">
        <f>IF(datos_limpios[[#This Row],[Seating Capacity ]]&gt;4,"SI","NO")</f>
        <v>SI</v>
      </c>
      <c r="P1858">
        <v>80</v>
      </c>
    </row>
    <row r="1859" spans="1:16" x14ac:dyDescent="0.3">
      <c r="A1859" s="8" t="s">
        <v>28</v>
      </c>
      <c r="B1859" s="8" t="s">
        <v>841</v>
      </c>
      <c r="C1859" s="9">
        <v>1860</v>
      </c>
      <c r="D1859" s="3">
        <v>2800000</v>
      </c>
      <c r="E1859" s="1">
        <f>datos_limpios[[#This Row],[Price INR   ]]*0.011</f>
        <v>30800</v>
      </c>
      <c r="F1859" s="13">
        <v>2017</v>
      </c>
      <c r="G1859" s="2">
        <v>49000</v>
      </c>
      <c r="H1859" s="8" t="s">
        <v>19</v>
      </c>
      <c r="I1859" s="8" t="s">
        <v>40</v>
      </c>
      <c r="J1859" s="8" t="s">
        <v>20</v>
      </c>
      <c r="K1859" t="s">
        <v>177</v>
      </c>
      <c r="L1859" t="s">
        <v>178</v>
      </c>
      <c r="M1859" s="2">
        <f>VALUE(MID(L1859,1,FIND("@",L1859)-6))</f>
        <v>174</v>
      </c>
      <c r="N1859">
        <v>7</v>
      </c>
      <c r="O1859" t="str">
        <f>IF(datos_limpios[[#This Row],[Seating Capacity ]]&gt;4,"SI","NO")</f>
        <v>SI</v>
      </c>
      <c r="P1859">
        <v>80</v>
      </c>
    </row>
    <row r="1860" spans="1:16" x14ac:dyDescent="0.3">
      <c r="A1860" s="8" t="s">
        <v>28</v>
      </c>
      <c r="B1860" s="8" t="s">
        <v>176</v>
      </c>
      <c r="C1860" s="9">
        <v>1861</v>
      </c>
      <c r="D1860" s="3">
        <v>2811000</v>
      </c>
      <c r="E1860" s="1">
        <f>datos_limpios[[#This Row],[Price INR   ]]*0.011</f>
        <v>30921</v>
      </c>
      <c r="F1860" s="13">
        <v>2019</v>
      </c>
      <c r="G1860" s="2">
        <v>71500</v>
      </c>
      <c r="H1860" s="8" t="s">
        <v>19</v>
      </c>
      <c r="I1860" s="8" t="s">
        <v>40</v>
      </c>
      <c r="J1860" s="8" t="s">
        <v>20</v>
      </c>
      <c r="K1860" t="s">
        <v>177</v>
      </c>
      <c r="L1860" t="s">
        <v>178</v>
      </c>
      <c r="M1860" s="2">
        <f>VALUE(MID(L1860,1,FIND("@",L1860)-6))</f>
        <v>174</v>
      </c>
      <c r="N1860">
        <v>7</v>
      </c>
      <c r="O1860" t="str">
        <f>IF(datos_limpios[[#This Row],[Seating Capacity ]]&gt;4,"SI","NO")</f>
        <v>SI</v>
      </c>
      <c r="P1860">
        <v>80</v>
      </c>
    </row>
    <row r="1861" spans="1:16" x14ac:dyDescent="0.3">
      <c r="A1861" s="8" t="s">
        <v>28</v>
      </c>
      <c r="B1861" s="8" t="s">
        <v>1009</v>
      </c>
      <c r="C1861" s="9">
        <v>1862</v>
      </c>
      <c r="D1861" s="3">
        <v>2850000</v>
      </c>
      <c r="E1861" s="1">
        <f>datos_limpios[[#This Row],[Price INR   ]]*0.011</f>
        <v>31350</v>
      </c>
      <c r="F1861" s="13">
        <v>2022</v>
      </c>
      <c r="G1861" s="2">
        <v>16000</v>
      </c>
      <c r="H1861" s="8" t="s">
        <v>19</v>
      </c>
      <c r="I1861" s="8" t="s">
        <v>40</v>
      </c>
      <c r="J1861" s="8" t="s">
        <v>20</v>
      </c>
      <c r="K1861" t="s">
        <v>33</v>
      </c>
      <c r="L1861" t="s">
        <v>34</v>
      </c>
      <c r="M1861" s="2">
        <f>VALUE(MID(L1861,1,FIND("@",L1861)-6))</f>
        <v>148</v>
      </c>
      <c r="N1861">
        <v>7</v>
      </c>
      <c r="O1861" t="str">
        <f>IF(datos_limpios[[#This Row],[Seating Capacity ]]&gt;4,"SI","NO")</f>
        <v>SI</v>
      </c>
      <c r="P1861">
        <v>55</v>
      </c>
    </row>
    <row r="1862" spans="1:16" x14ac:dyDescent="0.3">
      <c r="A1862" s="8" t="s">
        <v>28</v>
      </c>
      <c r="B1862" s="8" t="s">
        <v>176</v>
      </c>
      <c r="C1862" s="9">
        <v>1863</v>
      </c>
      <c r="D1862" s="3">
        <v>2900000</v>
      </c>
      <c r="E1862" s="1">
        <f>datos_limpios[[#This Row],[Price INR   ]]*0.011</f>
        <v>31899.999999999996</v>
      </c>
      <c r="F1862" s="13">
        <v>2017</v>
      </c>
      <c r="G1862" s="2">
        <v>46000</v>
      </c>
      <c r="H1862" s="8" t="s">
        <v>19</v>
      </c>
      <c r="I1862" s="8" t="s">
        <v>40</v>
      </c>
      <c r="J1862" s="8" t="s">
        <v>20</v>
      </c>
      <c r="K1862" t="s">
        <v>177</v>
      </c>
      <c r="L1862" t="s">
        <v>178</v>
      </c>
      <c r="M1862" s="2">
        <f>VALUE(MID(L1862,1,FIND("@",L1862)-6))</f>
        <v>174</v>
      </c>
      <c r="N1862">
        <v>7</v>
      </c>
      <c r="O1862" t="str">
        <f>IF(datos_limpios[[#This Row],[Seating Capacity ]]&gt;4,"SI","NO")</f>
        <v>SI</v>
      </c>
      <c r="P1862">
        <v>80</v>
      </c>
    </row>
    <row r="1863" spans="1:16" x14ac:dyDescent="0.3">
      <c r="A1863" s="8" t="s">
        <v>28</v>
      </c>
      <c r="B1863" s="8" t="s">
        <v>742</v>
      </c>
      <c r="C1863" s="9">
        <v>1864</v>
      </c>
      <c r="D1863" s="3">
        <v>2980000</v>
      </c>
      <c r="E1863" s="1">
        <f>datos_limpios[[#This Row],[Price INR   ]]*0.011</f>
        <v>32780</v>
      </c>
      <c r="F1863" s="13">
        <v>2019</v>
      </c>
      <c r="G1863" s="2">
        <v>92000</v>
      </c>
      <c r="H1863" s="8" t="s">
        <v>19</v>
      </c>
      <c r="I1863" s="8" t="s">
        <v>13</v>
      </c>
      <c r="J1863" s="8" t="s">
        <v>101</v>
      </c>
      <c r="K1863" t="s">
        <v>177</v>
      </c>
      <c r="L1863" t="s">
        <v>178</v>
      </c>
      <c r="M1863" s="2">
        <f>VALUE(MID(L1863,1,FIND("@",L1863)-6))</f>
        <v>174</v>
      </c>
      <c r="N1863">
        <v>7</v>
      </c>
      <c r="O1863" t="str">
        <f>IF(datos_limpios[[#This Row],[Seating Capacity ]]&gt;4,"SI","NO")</f>
        <v>SI</v>
      </c>
      <c r="P1863">
        <v>80</v>
      </c>
    </row>
    <row r="1864" spans="1:16" x14ac:dyDescent="0.3">
      <c r="A1864" s="8" t="s">
        <v>28</v>
      </c>
      <c r="B1864" s="8" t="s">
        <v>1009</v>
      </c>
      <c r="C1864" s="9">
        <v>1865</v>
      </c>
      <c r="D1864" s="3">
        <v>3000000</v>
      </c>
      <c r="E1864" s="1">
        <f>datos_limpios[[#This Row],[Price INR   ]]*0.011</f>
        <v>33000</v>
      </c>
      <c r="F1864" s="13">
        <v>2021</v>
      </c>
      <c r="G1864" s="2">
        <v>38000</v>
      </c>
      <c r="H1864" s="8" t="s">
        <v>19</v>
      </c>
      <c r="I1864" s="8" t="s">
        <v>40</v>
      </c>
      <c r="J1864" s="8" t="s">
        <v>615</v>
      </c>
      <c r="K1864" t="s">
        <v>33</v>
      </c>
      <c r="L1864" t="s">
        <v>34</v>
      </c>
      <c r="M1864" s="2">
        <f>VALUE(MID(L1864,1,FIND("@",L1864)-6))</f>
        <v>148</v>
      </c>
      <c r="N1864">
        <v>7</v>
      </c>
      <c r="O1864" t="str">
        <f>IF(datos_limpios[[#This Row],[Seating Capacity ]]&gt;4,"SI","NO")</f>
        <v>SI</v>
      </c>
      <c r="P1864">
        <v>55</v>
      </c>
    </row>
    <row r="1865" spans="1:16" x14ac:dyDescent="0.3">
      <c r="A1865" s="8" t="s">
        <v>28</v>
      </c>
      <c r="B1865" s="8" t="s">
        <v>176</v>
      </c>
      <c r="C1865" s="9">
        <v>1866</v>
      </c>
      <c r="D1865" s="3">
        <v>3090000</v>
      </c>
      <c r="E1865" s="1">
        <f>datos_limpios[[#This Row],[Price INR   ]]*0.011</f>
        <v>33990</v>
      </c>
      <c r="F1865" s="13">
        <v>2017</v>
      </c>
      <c r="G1865" s="2">
        <v>52000</v>
      </c>
      <c r="H1865" s="8" t="s">
        <v>19</v>
      </c>
      <c r="I1865" s="8" t="s">
        <v>40</v>
      </c>
      <c r="J1865" s="8" t="s">
        <v>20</v>
      </c>
      <c r="K1865" t="s">
        <v>177</v>
      </c>
      <c r="L1865" t="s">
        <v>178</v>
      </c>
      <c r="M1865" s="2">
        <f>VALUE(MID(L1865,1,FIND("@",L1865)-6))</f>
        <v>174</v>
      </c>
      <c r="N1865">
        <v>7</v>
      </c>
      <c r="O1865" t="str">
        <f>IF(datos_limpios[[#This Row],[Seating Capacity ]]&gt;4,"SI","NO")</f>
        <v>SI</v>
      </c>
      <c r="P1865">
        <v>80</v>
      </c>
    </row>
    <row r="1866" spans="1:16" x14ac:dyDescent="0.3">
      <c r="A1866" s="8" t="s">
        <v>28</v>
      </c>
      <c r="B1866" s="8" t="s">
        <v>1005</v>
      </c>
      <c r="C1866" s="9">
        <v>1867</v>
      </c>
      <c r="D1866" s="3">
        <v>3100000</v>
      </c>
      <c r="E1866" s="1">
        <f>datos_limpios[[#This Row],[Price INR   ]]*0.011</f>
        <v>34100</v>
      </c>
      <c r="F1866" s="13">
        <v>2021</v>
      </c>
      <c r="G1866" s="2">
        <v>29000</v>
      </c>
      <c r="H1866" s="8" t="s">
        <v>19</v>
      </c>
      <c r="I1866" s="8" t="s">
        <v>13</v>
      </c>
      <c r="J1866" s="8" t="s">
        <v>20</v>
      </c>
      <c r="K1866" t="s">
        <v>33</v>
      </c>
      <c r="L1866" t="s">
        <v>34</v>
      </c>
      <c r="M1866" s="2">
        <f>VALUE(MID(L1866,1,FIND("@",L1866)-6))</f>
        <v>148</v>
      </c>
      <c r="N1866">
        <v>7</v>
      </c>
      <c r="O1866" t="str">
        <f>IF(datos_limpios[[#This Row],[Seating Capacity ]]&gt;4,"SI","NO")</f>
        <v>SI</v>
      </c>
      <c r="P1866">
        <v>55</v>
      </c>
    </row>
    <row r="1867" spans="1:16" x14ac:dyDescent="0.3">
      <c r="A1867" s="8" t="s">
        <v>28</v>
      </c>
      <c r="B1867" s="8" t="s">
        <v>841</v>
      </c>
      <c r="C1867" s="9">
        <v>1868</v>
      </c>
      <c r="D1867" s="3">
        <v>3200000</v>
      </c>
      <c r="E1867" s="1">
        <f>datos_limpios[[#This Row],[Price INR   ]]*0.011</f>
        <v>35200</v>
      </c>
      <c r="F1867" s="13">
        <v>2017</v>
      </c>
      <c r="G1867" s="2">
        <v>110000</v>
      </c>
      <c r="H1867" s="8" t="s">
        <v>19</v>
      </c>
      <c r="I1867" s="8" t="s">
        <v>40</v>
      </c>
      <c r="J1867" s="8" t="s">
        <v>14</v>
      </c>
      <c r="K1867" t="s">
        <v>177</v>
      </c>
      <c r="L1867" t="s">
        <v>178</v>
      </c>
      <c r="M1867" s="2">
        <f>VALUE(MID(L1867,1,FIND("@",L1867)-6))</f>
        <v>174</v>
      </c>
      <c r="N1867">
        <v>7</v>
      </c>
      <c r="O1867" t="str">
        <f>IF(datos_limpios[[#This Row],[Seating Capacity ]]&gt;4,"SI","NO")</f>
        <v>SI</v>
      </c>
      <c r="P1867">
        <v>80</v>
      </c>
    </row>
    <row r="1868" spans="1:16" x14ac:dyDescent="0.3">
      <c r="A1868" s="8" t="s">
        <v>28</v>
      </c>
      <c r="B1868" s="8" t="s">
        <v>176</v>
      </c>
      <c r="C1868" s="9">
        <v>1869</v>
      </c>
      <c r="D1868" s="3">
        <v>3210000</v>
      </c>
      <c r="E1868" s="1">
        <f>datos_limpios[[#This Row],[Price INR   ]]*0.011</f>
        <v>35310</v>
      </c>
      <c r="F1868" s="13">
        <v>2018</v>
      </c>
      <c r="G1868" s="2">
        <v>37000</v>
      </c>
      <c r="H1868" s="8" t="s">
        <v>19</v>
      </c>
      <c r="I1868" s="8" t="s">
        <v>40</v>
      </c>
      <c r="J1868" s="8" t="s">
        <v>20</v>
      </c>
      <c r="K1868" t="s">
        <v>177</v>
      </c>
      <c r="L1868" t="s">
        <v>178</v>
      </c>
      <c r="M1868" s="2">
        <f>VALUE(MID(L1868,1,FIND("@",L1868)-6))</f>
        <v>174</v>
      </c>
      <c r="N1868">
        <v>7</v>
      </c>
      <c r="O1868" t="str">
        <f>IF(datos_limpios[[#This Row],[Seating Capacity ]]&gt;4,"SI","NO")</f>
        <v>SI</v>
      </c>
      <c r="P1868">
        <v>80</v>
      </c>
    </row>
    <row r="1869" spans="1:16" x14ac:dyDescent="0.3">
      <c r="A1869" s="8" t="s">
        <v>28</v>
      </c>
      <c r="B1869" s="8" t="s">
        <v>742</v>
      </c>
      <c r="C1869" s="9">
        <v>1870</v>
      </c>
      <c r="D1869" s="3">
        <v>3250000</v>
      </c>
      <c r="E1869" s="1">
        <f>datos_limpios[[#This Row],[Price INR   ]]*0.011</f>
        <v>35750</v>
      </c>
      <c r="F1869" s="13">
        <v>2018</v>
      </c>
      <c r="G1869" s="2">
        <v>173000</v>
      </c>
      <c r="H1869" s="8" t="s">
        <v>19</v>
      </c>
      <c r="I1869" s="8" t="s">
        <v>13</v>
      </c>
      <c r="J1869" s="8" t="s">
        <v>20</v>
      </c>
      <c r="K1869" t="s">
        <v>177</v>
      </c>
      <c r="L1869" t="s">
        <v>178</v>
      </c>
      <c r="M1869" s="2">
        <f>VALUE(MID(L1869,1,FIND("@",L1869)-6))</f>
        <v>174</v>
      </c>
      <c r="N1869">
        <v>7</v>
      </c>
      <c r="O1869" t="str">
        <f>IF(datos_limpios[[#This Row],[Seating Capacity ]]&gt;4,"SI","NO")</f>
        <v>SI</v>
      </c>
      <c r="P1869">
        <v>80</v>
      </c>
    </row>
    <row r="1870" spans="1:16" x14ac:dyDescent="0.3">
      <c r="A1870" s="8" t="s">
        <v>28</v>
      </c>
      <c r="B1870" s="8" t="s">
        <v>176</v>
      </c>
      <c r="C1870" s="9">
        <v>1871</v>
      </c>
      <c r="D1870" s="3">
        <v>3290000</v>
      </c>
      <c r="E1870" s="1">
        <f>datos_limpios[[#This Row],[Price INR   ]]*0.011</f>
        <v>36190</v>
      </c>
      <c r="F1870" s="13">
        <v>2018</v>
      </c>
      <c r="G1870" s="2">
        <v>51000</v>
      </c>
      <c r="H1870" s="8" t="s">
        <v>19</v>
      </c>
      <c r="I1870" s="8" t="s">
        <v>40</v>
      </c>
      <c r="J1870" s="8" t="s">
        <v>20</v>
      </c>
      <c r="K1870" t="s">
        <v>177</v>
      </c>
      <c r="L1870" t="s">
        <v>178</v>
      </c>
      <c r="M1870" s="2">
        <f>VALUE(MID(L1870,1,FIND("@",L1870)-6))</f>
        <v>174</v>
      </c>
      <c r="N1870">
        <v>7</v>
      </c>
      <c r="O1870" t="str">
        <f>IF(datos_limpios[[#This Row],[Seating Capacity ]]&gt;4,"SI","NO")</f>
        <v>SI</v>
      </c>
      <c r="P1870">
        <v>80</v>
      </c>
    </row>
    <row r="1871" spans="1:16" x14ac:dyDescent="0.3">
      <c r="A1871" s="8" t="s">
        <v>28</v>
      </c>
      <c r="B1871" s="8" t="s">
        <v>176</v>
      </c>
      <c r="C1871" s="9">
        <v>1872</v>
      </c>
      <c r="D1871" s="3">
        <v>3350000</v>
      </c>
      <c r="E1871" s="1">
        <f>datos_limpios[[#This Row],[Price INR   ]]*0.011</f>
        <v>36850</v>
      </c>
      <c r="F1871" s="13">
        <v>2018</v>
      </c>
      <c r="G1871" s="2">
        <v>25000</v>
      </c>
      <c r="H1871" s="8" t="s">
        <v>19</v>
      </c>
      <c r="I1871" s="8" t="s">
        <v>40</v>
      </c>
      <c r="J1871" s="8" t="s">
        <v>20</v>
      </c>
      <c r="K1871" t="s">
        <v>177</v>
      </c>
      <c r="L1871" t="s">
        <v>178</v>
      </c>
      <c r="M1871" s="2">
        <f>VALUE(MID(L1871,1,FIND("@",L1871)-6))</f>
        <v>174</v>
      </c>
      <c r="N1871">
        <v>7</v>
      </c>
      <c r="O1871" t="str">
        <f>IF(datos_limpios[[#This Row],[Seating Capacity ]]&gt;4,"SI","NO")</f>
        <v>SI</v>
      </c>
      <c r="P1871">
        <v>80</v>
      </c>
    </row>
    <row r="1872" spans="1:16" x14ac:dyDescent="0.3">
      <c r="A1872" s="8" t="s">
        <v>28</v>
      </c>
      <c r="B1872" s="8" t="s">
        <v>841</v>
      </c>
      <c r="C1872" s="9">
        <v>1873</v>
      </c>
      <c r="D1872" s="3">
        <v>3470000</v>
      </c>
      <c r="E1872" s="1">
        <f>datos_limpios[[#This Row],[Price INR   ]]*0.011</f>
        <v>38170</v>
      </c>
      <c r="F1872" s="13">
        <v>2018</v>
      </c>
      <c r="G1872" s="2">
        <v>62152</v>
      </c>
      <c r="H1872" s="8" t="s">
        <v>19</v>
      </c>
      <c r="I1872" s="8" t="s">
        <v>40</v>
      </c>
      <c r="J1872" s="8" t="s">
        <v>77</v>
      </c>
      <c r="K1872" t="s">
        <v>177</v>
      </c>
      <c r="L1872" t="s">
        <v>178</v>
      </c>
      <c r="M1872" s="2">
        <f>VALUE(MID(L1872,1,FIND("@",L1872)-6))</f>
        <v>174</v>
      </c>
      <c r="N1872">
        <v>7</v>
      </c>
      <c r="O1872" t="str">
        <f>IF(datos_limpios[[#This Row],[Seating Capacity ]]&gt;4,"SI","NO")</f>
        <v>SI</v>
      </c>
      <c r="P1872">
        <v>80</v>
      </c>
    </row>
    <row r="1873" spans="1:16" x14ac:dyDescent="0.3">
      <c r="A1873" s="8" t="s">
        <v>28</v>
      </c>
      <c r="B1873" s="8" t="s">
        <v>176</v>
      </c>
      <c r="C1873" s="9">
        <v>1874</v>
      </c>
      <c r="D1873" s="3">
        <v>3499000</v>
      </c>
      <c r="E1873" s="1">
        <f>datos_limpios[[#This Row],[Price INR   ]]*0.011</f>
        <v>38489</v>
      </c>
      <c r="F1873" s="13">
        <v>2019</v>
      </c>
      <c r="G1873" s="2">
        <v>73000</v>
      </c>
      <c r="H1873" s="8" t="s">
        <v>19</v>
      </c>
      <c r="I1873" s="8" t="s">
        <v>40</v>
      </c>
      <c r="J1873" s="8" t="s">
        <v>20</v>
      </c>
      <c r="K1873" t="s">
        <v>177</v>
      </c>
      <c r="L1873" t="s">
        <v>178</v>
      </c>
      <c r="M1873" s="2">
        <f>VALUE(MID(L1873,1,FIND("@",L1873)-6))</f>
        <v>174</v>
      </c>
      <c r="N1873">
        <v>7</v>
      </c>
      <c r="O1873" t="str">
        <f>IF(datos_limpios[[#This Row],[Seating Capacity ]]&gt;4,"SI","NO")</f>
        <v>SI</v>
      </c>
      <c r="P1873">
        <v>80</v>
      </c>
    </row>
    <row r="1874" spans="1:16" x14ac:dyDescent="0.3">
      <c r="A1874" s="8" t="s">
        <v>28</v>
      </c>
      <c r="B1874" s="8" t="s">
        <v>176</v>
      </c>
      <c r="C1874" s="9">
        <v>1875</v>
      </c>
      <c r="D1874" s="3">
        <v>3550000</v>
      </c>
      <c r="E1874" s="1">
        <f>datos_limpios[[#This Row],[Price INR   ]]*0.011</f>
        <v>39050</v>
      </c>
      <c r="F1874" s="13">
        <v>2020</v>
      </c>
      <c r="G1874" s="2">
        <v>55000</v>
      </c>
      <c r="H1874" s="8" t="s">
        <v>19</v>
      </c>
      <c r="I1874" s="8" t="s">
        <v>40</v>
      </c>
      <c r="J1874" s="8" t="s">
        <v>101</v>
      </c>
      <c r="K1874" t="s">
        <v>177</v>
      </c>
      <c r="L1874" t="s">
        <v>178</v>
      </c>
      <c r="M1874" s="2">
        <f>VALUE(MID(L1874,1,FIND("@",L1874)-6))</f>
        <v>174</v>
      </c>
      <c r="N1874">
        <v>7</v>
      </c>
      <c r="O1874" t="str">
        <f>IF(datos_limpios[[#This Row],[Seating Capacity ]]&gt;4,"SI","NO")</f>
        <v>SI</v>
      </c>
      <c r="P1874">
        <v>80</v>
      </c>
    </row>
    <row r="1875" spans="1:16" x14ac:dyDescent="0.3">
      <c r="A1875" s="8" t="s">
        <v>28</v>
      </c>
      <c r="B1875" s="8" t="s">
        <v>176</v>
      </c>
      <c r="C1875" s="9">
        <v>1876</v>
      </c>
      <c r="D1875" s="3">
        <v>3600000</v>
      </c>
      <c r="E1875" s="1">
        <f>datos_limpios[[#This Row],[Price INR   ]]*0.011</f>
        <v>39600</v>
      </c>
      <c r="F1875" s="13">
        <v>2018</v>
      </c>
      <c r="G1875" s="2">
        <v>7800</v>
      </c>
      <c r="H1875" s="8" t="s">
        <v>19</v>
      </c>
      <c r="I1875" s="8" t="s">
        <v>40</v>
      </c>
      <c r="J1875" s="8" t="s">
        <v>20</v>
      </c>
      <c r="K1875" t="s">
        <v>177</v>
      </c>
      <c r="L1875" t="s">
        <v>178</v>
      </c>
      <c r="M1875" s="2">
        <f>VALUE(MID(L1875,1,FIND("@",L1875)-6))</f>
        <v>174</v>
      </c>
      <c r="N1875">
        <v>7</v>
      </c>
      <c r="O1875" t="str">
        <f>IF(datos_limpios[[#This Row],[Seating Capacity ]]&gt;4,"SI","NO")</f>
        <v>SI</v>
      </c>
      <c r="P1875">
        <v>80</v>
      </c>
    </row>
    <row r="1876" spans="1:16" x14ac:dyDescent="0.3">
      <c r="A1876" s="8" t="s">
        <v>28</v>
      </c>
      <c r="B1876" s="8" t="s">
        <v>176</v>
      </c>
      <c r="C1876" s="9">
        <v>1877</v>
      </c>
      <c r="D1876" s="3">
        <v>3775000</v>
      </c>
      <c r="E1876" s="1">
        <f>datos_limpios[[#This Row],[Price INR   ]]*0.011</f>
        <v>41525</v>
      </c>
      <c r="F1876" s="13">
        <v>2020</v>
      </c>
      <c r="G1876" s="2">
        <v>50000</v>
      </c>
      <c r="H1876" s="8" t="s">
        <v>19</v>
      </c>
      <c r="I1876" s="8" t="s">
        <v>40</v>
      </c>
      <c r="J1876" s="8" t="s">
        <v>20</v>
      </c>
      <c r="K1876" t="s">
        <v>177</v>
      </c>
      <c r="L1876" t="s">
        <v>178</v>
      </c>
      <c r="M1876" s="2">
        <f>VALUE(MID(L1876,1,FIND("@",L1876)-6))</f>
        <v>174</v>
      </c>
      <c r="N1876">
        <v>7</v>
      </c>
      <c r="O1876" t="str">
        <f>IF(datos_limpios[[#This Row],[Seating Capacity ]]&gt;4,"SI","NO")</f>
        <v>SI</v>
      </c>
      <c r="P1876">
        <v>80</v>
      </c>
    </row>
    <row r="1877" spans="1:16" x14ac:dyDescent="0.3">
      <c r="A1877" s="8" t="s">
        <v>28</v>
      </c>
      <c r="B1877" s="8" t="s">
        <v>841</v>
      </c>
      <c r="C1877" s="9">
        <v>1878</v>
      </c>
      <c r="D1877" s="3">
        <v>4300000</v>
      </c>
      <c r="E1877" s="1">
        <f>datos_limpios[[#This Row],[Price INR   ]]*0.011</f>
        <v>47300</v>
      </c>
      <c r="F1877" s="13">
        <v>2021</v>
      </c>
      <c r="G1877" s="2">
        <v>60000</v>
      </c>
      <c r="H1877" s="8" t="s">
        <v>19</v>
      </c>
      <c r="I1877" s="8" t="s">
        <v>40</v>
      </c>
      <c r="J1877" s="8" t="s">
        <v>20</v>
      </c>
      <c r="K1877" t="s">
        <v>177</v>
      </c>
      <c r="L1877" t="s">
        <v>178</v>
      </c>
      <c r="M1877" s="2">
        <f>VALUE(MID(L1877,1,FIND("@",L1877)-6))</f>
        <v>174</v>
      </c>
      <c r="N1877">
        <v>7</v>
      </c>
      <c r="O1877" t="str">
        <f>IF(datos_limpios[[#This Row],[Seating Capacity ]]&gt;4,"SI","NO")</f>
        <v>SI</v>
      </c>
      <c r="P1877">
        <v>80</v>
      </c>
    </row>
    <row r="1878" spans="1:16" x14ac:dyDescent="0.3">
      <c r="A1878" s="8" t="s">
        <v>28</v>
      </c>
      <c r="B1878" s="8" t="s">
        <v>1083</v>
      </c>
      <c r="C1878" s="9">
        <v>1879</v>
      </c>
      <c r="D1878" s="3">
        <v>11500000</v>
      </c>
      <c r="E1878" s="1">
        <f>datos_limpios[[#This Row],[Price INR   ]]*0.011</f>
        <v>126499.99999999999</v>
      </c>
      <c r="F1878" s="13">
        <v>2022</v>
      </c>
      <c r="G1878" s="2">
        <v>4000</v>
      </c>
      <c r="H1878" s="8" t="s">
        <v>1054</v>
      </c>
      <c r="I1878" s="8" t="s">
        <v>40</v>
      </c>
      <c r="J1878" s="8" t="s">
        <v>101</v>
      </c>
      <c r="K1878" t="s">
        <v>150</v>
      </c>
      <c r="L1878" t="s">
        <v>1084</v>
      </c>
      <c r="M1878" s="2">
        <f>VALUE(MID(L1878,1,FIND("@",L1878)-6))</f>
        <v>115</v>
      </c>
      <c r="N1878">
        <v>7</v>
      </c>
      <c r="O1878" t="str">
        <f>IF(datos_limpios[[#This Row],[Seating Capacity ]]&gt;4,"SI","NO")</f>
        <v>SI</v>
      </c>
      <c r="P1878">
        <v>58</v>
      </c>
    </row>
    <row r="1879" spans="1:16" x14ac:dyDescent="0.3">
      <c r="A1879" s="8" t="s">
        <v>65</v>
      </c>
      <c r="B1879" s="8" t="s">
        <v>1078</v>
      </c>
      <c r="C1879" s="9">
        <v>1880</v>
      </c>
      <c r="D1879" s="3">
        <v>325000</v>
      </c>
      <c r="E1879" s="1">
        <f>datos_limpios[[#This Row],[Price INR   ]]*0.011</f>
        <v>3575</v>
      </c>
      <c r="F1879" s="13">
        <v>2013</v>
      </c>
      <c r="G1879" s="2">
        <v>76000</v>
      </c>
      <c r="H1879" s="8" t="s">
        <v>19</v>
      </c>
      <c r="I1879" s="8" t="s">
        <v>13</v>
      </c>
      <c r="J1879" s="8" t="s">
        <v>20</v>
      </c>
      <c r="K1879" t="s">
        <v>210</v>
      </c>
      <c r="L1879" t="s">
        <v>326</v>
      </c>
      <c r="M1879" s="2">
        <f>VALUE(MID(L1879,1,FIND("@",L1879)-6))</f>
        <v>103</v>
      </c>
      <c r="N1879">
        <v>5</v>
      </c>
      <c r="O1879" t="str">
        <f>IF(datos_limpios[[#This Row],[Seating Capacity ]]&gt;4,"SI","NO")</f>
        <v>SI</v>
      </c>
      <c r="P1879">
        <v>45</v>
      </c>
    </row>
    <row r="1880" spans="1:16" x14ac:dyDescent="0.3">
      <c r="A1880" s="8" t="s">
        <v>65</v>
      </c>
      <c r="B1880" s="8" t="s">
        <v>193</v>
      </c>
      <c r="C1880" s="9">
        <v>1881</v>
      </c>
      <c r="D1880" s="3">
        <v>325000</v>
      </c>
      <c r="E1880" s="1">
        <f>datos_limpios[[#This Row],[Price INR   ]]*0.011</f>
        <v>3575</v>
      </c>
      <c r="F1880" s="13">
        <v>2013</v>
      </c>
      <c r="G1880" s="2">
        <v>53000</v>
      </c>
      <c r="H1880" s="8" t="s">
        <v>12</v>
      </c>
      <c r="I1880" s="8" t="s">
        <v>13</v>
      </c>
      <c r="J1880" s="8" t="s">
        <v>30</v>
      </c>
      <c r="K1880" t="s">
        <v>15</v>
      </c>
      <c r="L1880" t="s">
        <v>194</v>
      </c>
      <c r="M1880" s="2">
        <f>VALUE(MID(L1880,1,FIND("@",L1880)-6))</f>
        <v>74</v>
      </c>
      <c r="N1880">
        <v>5</v>
      </c>
      <c r="O1880" t="str">
        <f>IF(datos_limpios[[#This Row],[Seating Capacity ]]&gt;4,"SI","NO")</f>
        <v>SI</v>
      </c>
      <c r="P1880">
        <v>45</v>
      </c>
    </row>
    <row r="1881" spans="1:16" x14ac:dyDescent="0.3">
      <c r="A1881" s="8" t="s">
        <v>65</v>
      </c>
      <c r="B1881" s="8" t="s">
        <v>991</v>
      </c>
      <c r="C1881" s="9">
        <v>1882</v>
      </c>
      <c r="D1881" s="3">
        <v>345000</v>
      </c>
      <c r="E1881" s="1">
        <f>datos_limpios[[#This Row],[Price INR   ]]*0.011</f>
        <v>3795</v>
      </c>
      <c r="F1881" s="13">
        <v>2015</v>
      </c>
      <c r="G1881" s="2">
        <v>70000</v>
      </c>
      <c r="H1881" s="8" t="s">
        <v>19</v>
      </c>
      <c r="I1881" s="8" t="s">
        <v>13</v>
      </c>
      <c r="J1881" s="8" t="s">
        <v>30</v>
      </c>
      <c r="K1881" t="s">
        <v>196</v>
      </c>
      <c r="L1881" t="s">
        <v>992</v>
      </c>
      <c r="M1881" s="2">
        <f>VALUE(MID(L1881,1,FIND("@",L1881)-6))</f>
        <v>89</v>
      </c>
      <c r="N1881">
        <v>5</v>
      </c>
      <c r="O1881" t="str">
        <f>IF(datos_limpios[[#This Row],[Seating Capacity ]]&gt;4,"SI","NO")</f>
        <v>SI</v>
      </c>
      <c r="P1881">
        <v>45</v>
      </c>
    </row>
    <row r="1882" spans="1:16" x14ac:dyDescent="0.3">
      <c r="A1882" s="8" t="s">
        <v>65</v>
      </c>
      <c r="B1882" s="8" t="s">
        <v>167</v>
      </c>
      <c r="C1882" s="9">
        <v>1883</v>
      </c>
      <c r="D1882" s="3">
        <v>350000</v>
      </c>
      <c r="E1882" s="1">
        <f>datos_limpios[[#This Row],[Price INR   ]]*0.011</f>
        <v>3850</v>
      </c>
      <c r="F1882" s="13">
        <v>2014</v>
      </c>
      <c r="G1882" s="2">
        <v>111000</v>
      </c>
      <c r="H1882" s="8" t="s">
        <v>19</v>
      </c>
      <c r="I1882" s="8" t="s">
        <v>13</v>
      </c>
      <c r="J1882" s="8" t="s">
        <v>57</v>
      </c>
      <c r="K1882" t="s">
        <v>97</v>
      </c>
      <c r="L1882" t="s">
        <v>168</v>
      </c>
      <c r="M1882" s="2">
        <f>VALUE(MID(L1882,1,FIND("@",L1882)-6))</f>
        <v>74</v>
      </c>
      <c r="N1882">
        <v>5</v>
      </c>
      <c r="O1882" t="str">
        <f>IF(datos_limpios[[#This Row],[Seating Capacity ]]&gt;4,"SI","NO")</f>
        <v>SI</v>
      </c>
      <c r="P1882">
        <v>45</v>
      </c>
    </row>
    <row r="1883" spans="1:16" x14ac:dyDescent="0.3">
      <c r="A1883" s="8" t="s">
        <v>65</v>
      </c>
      <c r="B1883" s="8" t="s">
        <v>984</v>
      </c>
      <c r="C1883" s="9">
        <v>1884</v>
      </c>
      <c r="D1883" s="3">
        <v>350000</v>
      </c>
      <c r="E1883" s="1">
        <f>datos_limpios[[#This Row],[Price INR   ]]*0.011</f>
        <v>3850</v>
      </c>
      <c r="F1883" s="13">
        <v>2013</v>
      </c>
      <c r="G1883" s="2">
        <v>78000</v>
      </c>
      <c r="H1883" s="8" t="s">
        <v>19</v>
      </c>
      <c r="I1883" s="8" t="s">
        <v>13</v>
      </c>
      <c r="J1883" s="8" t="s">
        <v>20</v>
      </c>
      <c r="K1883" t="s">
        <v>210</v>
      </c>
      <c r="L1883" t="s">
        <v>326</v>
      </c>
      <c r="M1883" s="2">
        <f>VALUE(MID(L1883,1,FIND("@",L1883)-6))</f>
        <v>103</v>
      </c>
      <c r="N1883">
        <v>5</v>
      </c>
      <c r="O1883" t="str">
        <f>IF(datos_limpios[[#This Row],[Seating Capacity ]]&gt;4,"SI","NO")</f>
        <v>SI</v>
      </c>
      <c r="P1883">
        <v>55</v>
      </c>
    </row>
    <row r="1884" spans="1:16" x14ac:dyDescent="0.3">
      <c r="A1884" s="8" t="s">
        <v>65</v>
      </c>
      <c r="B1884" s="8" t="s">
        <v>209</v>
      </c>
      <c r="C1884" s="9">
        <v>1885</v>
      </c>
      <c r="D1884" s="3">
        <v>360000</v>
      </c>
      <c r="E1884" s="1">
        <f>datos_limpios[[#This Row],[Price INR   ]]*0.011</f>
        <v>3959.9999999999995</v>
      </c>
      <c r="F1884" s="13">
        <v>2013</v>
      </c>
      <c r="G1884" s="2">
        <v>58000</v>
      </c>
      <c r="H1884" s="8" t="s">
        <v>12</v>
      </c>
      <c r="I1884" s="8" t="s">
        <v>13</v>
      </c>
      <c r="J1884" s="8" t="s">
        <v>115</v>
      </c>
      <c r="K1884" t="s">
        <v>210</v>
      </c>
      <c r="L1884" t="s">
        <v>211</v>
      </c>
      <c r="M1884" s="2">
        <f>VALUE(MID(L1884,1,FIND("@",L1884)-6))</f>
        <v>103</v>
      </c>
      <c r="N1884">
        <v>5</v>
      </c>
      <c r="O1884" t="str">
        <f>IF(datos_limpios[[#This Row],[Seating Capacity ]]&gt;4,"SI","NO")</f>
        <v>SI</v>
      </c>
      <c r="P1884">
        <v>55</v>
      </c>
    </row>
    <row r="1885" spans="1:16" x14ac:dyDescent="0.3">
      <c r="A1885" s="8" t="s">
        <v>65</v>
      </c>
      <c r="B1885" s="8" t="s">
        <v>167</v>
      </c>
      <c r="C1885" s="9">
        <v>1886</v>
      </c>
      <c r="D1885" s="3">
        <v>365000</v>
      </c>
      <c r="E1885" s="1">
        <f>datos_limpios[[#This Row],[Price INR   ]]*0.011</f>
        <v>4014.9999999999995</v>
      </c>
      <c r="F1885" s="13">
        <v>2013</v>
      </c>
      <c r="G1885" s="2">
        <v>78000</v>
      </c>
      <c r="H1885" s="8" t="s">
        <v>19</v>
      </c>
      <c r="I1885" s="8" t="s">
        <v>13</v>
      </c>
      <c r="J1885" s="8" t="s">
        <v>77</v>
      </c>
      <c r="K1885" t="s">
        <v>97</v>
      </c>
      <c r="L1885" t="s">
        <v>168</v>
      </c>
      <c r="M1885" s="2">
        <f>VALUE(MID(L1885,1,FIND("@",L1885)-6))</f>
        <v>74</v>
      </c>
      <c r="N1885">
        <v>5</v>
      </c>
      <c r="O1885" t="str">
        <f>IF(datos_limpios[[#This Row],[Seating Capacity ]]&gt;4,"SI","NO")</f>
        <v>SI</v>
      </c>
      <c r="P1885">
        <v>45</v>
      </c>
    </row>
    <row r="1886" spans="1:16" x14ac:dyDescent="0.3">
      <c r="A1886" s="8" t="s">
        <v>65</v>
      </c>
      <c r="B1886" s="8" t="s">
        <v>461</v>
      </c>
      <c r="C1886" s="9">
        <v>1887</v>
      </c>
      <c r="D1886" s="3">
        <v>375000</v>
      </c>
      <c r="E1886" s="1">
        <f>datos_limpios[[#This Row],[Price INR   ]]*0.011</f>
        <v>4125</v>
      </c>
      <c r="F1886" s="13">
        <v>2013</v>
      </c>
      <c r="G1886" s="2">
        <v>39000</v>
      </c>
      <c r="H1886" s="8" t="s">
        <v>12</v>
      </c>
      <c r="I1886" s="8" t="s">
        <v>13</v>
      </c>
      <c r="J1886" s="8" t="s">
        <v>30</v>
      </c>
      <c r="K1886" t="s">
        <v>15</v>
      </c>
      <c r="L1886" t="s">
        <v>194</v>
      </c>
      <c r="M1886" s="2">
        <f>VALUE(MID(L1886,1,FIND("@",L1886)-6))</f>
        <v>74</v>
      </c>
      <c r="N1886">
        <v>5</v>
      </c>
      <c r="O1886" t="str">
        <f>IF(datos_limpios[[#This Row],[Seating Capacity ]]&gt;4,"SI","NO")</f>
        <v>SI</v>
      </c>
      <c r="P1886">
        <v>45</v>
      </c>
    </row>
    <row r="1887" spans="1:16" x14ac:dyDescent="0.3">
      <c r="A1887" s="8" t="s">
        <v>65</v>
      </c>
      <c r="B1887" s="8" t="s">
        <v>193</v>
      </c>
      <c r="C1887" s="9">
        <v>1888</v>
      </c>
      <c r="D1887" s="3">
        <v>385000</v>
      </c>
      <c r="E1887" s="1">
        <f>datos_limpios[[#This Row],[Price INR   ]]*0.011</f>
        <v>4235</v>
      </c>
      <c r="F1887" s="13">
        <v>2013</v>
      </c>
      <c r="G1887" s="2">
        <v>65000</v>
      </c>
      <c r="H1887" s="8" t="s">
        <v>12</v>
      </c>
      <c r="I1887" s="8" t="s">
        <v>13</v>
      </c>
      <c r="J1887" s="8" t="s">
        <v>20</v>
      </c>
      <c r="K1887" t="s">
        <v>15</v>
      </c>
      <c r="L1887" t="s">
        <v>194</v>
      </c>
      <c r="M1887" s="2">
        <f>VALUE(MID(L1887,1,FIND("@",L1887)-6))</f>
        <v>74</v>
      </c>
      <c r="N1887">
        <v>5</v>
      </c>
      <c r="O1887" t="str">
        <f>IF(datos_limpios[[#This Row],[Seating Capacity ]]&gt;4,"SI","NO")</f>
        <v>SI</v>
      </c>
      <c r="P1887">
        <v>45</v>
      </c>
    </row>
    <row r="1888" spans="1:16" x14ac:dyDescent="0.3">
      <c r="A1888" s="8" t="s">
        <v>65</v>
      </c>
      <c r="B1888" s="8" t="s">
        <v>1425</v>
      </c>
      <c r="C1888" s="9">
        <v>1889</v>
      </c>
      <c r="D1888" s="3">
        <v>399000</v>
      </c>
      <c r="E1888" s="1">
        <f>datos_limpios[[#This Row],[Price INR   ]]*0.011</f>
        <v>4389</v>
      </c>
      <c r="F1888" s="13">
        <v>2014</v>
      </c>
      <c r="G1888" s="2">
        <v>88000</v>
      </c>
      <c r="H1888" s="8" t="s">
        <v>12</v>
      </c>
      <c r="I1888" s="8" t="s">
        <v>40</v>
      </c>
      <c r="J1888" s="8" t="s">
        <v>77</v>
      </c>
      <c r="K1888" t="s">
        <v>210</v>
      </c>
      <c r="L1888" t="s">
        <v>211</v>
      </c>
      <c r="M1888" s="2">
        <f>VALUE(MID(L1888,1,FIND("@",L1888)-6))</f>
        <v>103</v>
      </c>
      <c r="N1888">
        <v>5</v>
      </c>
      <c r="O1888" t="str">
        <f>IF(datos_limpios[[#This Row],[Seating Capacity ]]&gt;4,"SI","NO")</f>
        <v>SI</v>
      </c>
      <c r="P1888">
        <v>55</v>
      </c>
    </row>
    <row r="1889" spans="1:16" x14ac:dyDescent="0.3">
      <c r="A1889" s="8" t="s">
        <v>65</v>
      </c>
      <c r="B1889" s="8" t="s">
        <v>461</v>
      </c>
      <c r="C1889" s="9">
        <v>1890</v>
      </c>
      <c r="D1889" s="3">
        <v>425000</v>
      </c>
      <c r="E1889" s="1">
        <f>datos_limpios[[#This Row],[Price INR   ]]*0.011</f>
        <v>4675</v>
      </c>
      <c r="F1889" s="13">
        <v>2016</v>
      </c>
      <c r="G1889" s="2">
        <v>52600</v>
      </c>
      <c r="H1889" s="8" t="s">
        <v>12</v>
      </c>
      <c r="I1889" s="8" t="s">
        <v>13</v>
      </c>
      <c r="J1889" s="8" t="s">
        <v>77</v>
      </c>
      <c r="K1889" t="s">
        <v>15</v>
      </c>
      <c r="L1889" t="s">
        <v>194</v>
      </c>
      <c r="M1889" s="2">
        <f>VALUE(MID(L1889,1,FIND("@",L1889)-6))</f>
        <v>74</v>
      </c>
      <c r="N1889">
        <v>5</v>
      </c>
      <c r="O1889" t="str">
        <f>IF(datos_limpios[[#This Row],[Seating Capacity ]]&gt;4,"SI","NO")</f>
        <v>SI</v>
      </c>
      <c r="P1889">
        <v>45</v>
      </c>
    </row>
    <row r="1890" spans="1:16" x14ac:dyDescent="0.3">
      <c r="A1890" s="8" t="s">
        <v>65</v>
      </c>
      <c r="B1890" s="8" t="s">
        <v>209</v>
      </c>
      <c r="C1890" s="9">
        <v>1891</v>
      </c>
      <c r="D1890" s="3">
        <v>430000</v>
      </c>
      <c r="E1890" s="1">
        <f>datos_limpios[[#This Row],[Price INR   ]]*0.011</f>
        <v>4730</v>
      </c>
      <c r="F1890" s="13">
        <v>2015</v>
      </c>
      <c r="G1890" s="2">
        <v>98112</v>
      </c>
      <c r="H1890" s="8" t="s">
        <v>12</v>
      </c>
      <c r="I1890" s="8" t="s">
        <v>13</v>
      </c>
      <c r="J1890" s="8" t="s">
        <v>82</v>
      </c>
      <c r="K1890" t="s">
        <v>210</v>
      </c>
      <c r="L1890" t="s">
        <v>211</v>
      </c>
      <c r="M1890" s="2">
        <f>VALUE(MID(L1890,1,FIND("@",L1890)-6))</f>
        <v>103</v>
      </c>
      <c r="N1890">
        <v>5</v>
      </c>
      <c r="O1890" t="str">
        <f>IF(datos_limpios[[#This Row],[Seating Capacity ]]&gt;4,"SI","NO")</f>
        <v>SI</v>
      </c>
      <c r="P1890">
        <v>55</v>
      </c>
    </row>
    <row r="1891" spans="1:16" x14ac:dyDescent="0.3">
      <c r="A1891" s="8" t="s">
        <v>65</v>
      </c>
      <c r="B1891" s="8" t="s">
        <v>1174</v>
      </c>
      <c r="C1891" s="9">
        <v>1892</v>
      </c>
      <c r="D1891" s="3">
        <v>434999</v>
      </c>
      <c r="E1891" s="1">
        <f>datos_limpios[[#This Row],[Price INR   ]]*0.011</f>
        <v>4784.9889999999996</v>
      </c>
      <c r="F1891" s="13">
        <v>2014</v>
      </c>
      <c r="G1891" s="2">
        <v>79081</v>
      </c>
      <c r="H1891" s="8" t="s">
        <v>19</v>
      </c>
      <c r="I1891" s="8" t="s">
        <v>13</v>
      </c>
      <c r="J1891" s="8" t="s">
        <v>14</v>
      </c>
      <c r="K1891" t="s">
        <v>210</v>
      </c>
      <c r="L1891" t="s">
        <v>326</v>
      </c>
      <c r="M1891" s="2">
        <f>VALUE(MID(L1891,1,FIND("@",L1891)-6))</f>
        <v>103</v>
      </c>
      <c r="N1891">
        <v>5</v>
      </c>
      <c r="O1891" t="str">
        <f>IF(datos_limpios[[#This Row],[Seating Capacity ]]&gt;4,"SI","NO")</f>
        <v>SI</v>
      </c>
      <c r="P1891">
        <v>55</v>
      </c>
    </row>
    <row r="1892" spans="1:16" x14ac:dyDescent="0.3">
      <c r="A1892" s="8" t="s">
        <v>65</v>
      </c>
      <c r="B1892" s="8" t="s">
        <v>167</v>
      </c>
      <c r="C1892" s="9">
        <v>1893</v>
      </c>
      <c r="D1892" s="3">
        <v>484999</v>
      </c>
      <c r="E1892" s="1">
        <f>datos_limpios[[#This Row],[Price INR   ]]*0.011</f>
        <v>5334.9889999999996</v>
      </c>
      <c r="F1892" s="13">
        <v>2013</v>
      </c>
      <c r="G1892" s="2">
        <v>78000</v>
      </c>
      <c r="H1892" s="8" t="s">
        <v>19</v>
      </c>
      <c r="I1892" s="8" t="s">
        <v>13</v>
      </c>
      <c r="J1892" s="8" t="s">
        <v>20</v>
      </c>
      <c r="K1892" t="s">
        <v>97</v>
      </c>
      <c r="L1892" t="s">
        <v>168</v>
      </c>
      <c r="M1892" s="2">
        <f>VALUE(MID(L1892,1,FIND("@",L1892)-6))</f>
        <v>74</v>
      </c>
      <c r="N1892">
        <v>5</v>
      </c>
      <c r="O1892" t="str">
        <f>IF(datos_limpios[[#This Row],[Seating Capacity ]]&gt;4,"SI","NO")</f>
        <v>SI</v>
      </c>
      <c r="P1892">
        <v>45</v>
      </c>
    </row>
    <row r="1893" spans="1:16" x14ac:dyDescent="0.3">
      <c r="A1893" s="8" t="s">
        <v>65</v>
      </c>
      <c r="B1893" s="8" t="s">
        <v>193</v>
      </c>
      <c r="C1893" s="9">
        <v>1894</v>
      </c>
      <c r="D1893" s="3">
        <v>490000</v>
      </c>
      <c r="E1893" s="1">
        <f>datos_limpios[[#This Row],[Price INR   ]]*0.011</f>
        <v>5390</v>
      </c>
      <c r="F1893" s="13">
        <v>2015</v>
      </c>
      <c r="G1893" s="2">
        <v>50000</v>
      </c>
      <c r="H1893" s="8" t="s">
        <v>12</v>
      </c>
      <c r="I1893" s="8" t="s">
        <v>13</v>
      </c>
      <c r="J1893" s="8" t="s">
        <v>20</v>
      </c>
      <c r="K1893" t="s">
        <v>15</v>
      </c>
      <c r="L1893" t="s">
        <v>194</v>
      </c>
      <c r="M1893" s="2">
        <f>VALUE(MID(L1893,1,FIND("@",L1893)-6))</f>
        <v>74</v>
      </c>
      <c r="N1893">
        <v>5</v>
      </c>
      <c r="O1893" t="str">
        <f>IF(datos_limpios[[#This Row],[Seating Capacity ]]&gt;4,"SI","NO")</f>
        <v>SI</v>
      </c>
      <c r="P1893">
        <v>45</v>
      </c>
    </row>
    <row r="1894" spans="1:16" x14ac:dyDescent="0.3">
      <c r="A1894" s="8" t="s">
        <v>65</v>
      </c>
      <c r="B1894" s="8" t="s">
        <v>1232</v>
      </c>
      <c r="C1894" s="9">
        <v>1895</v>
      </c>
      <c r="D1894" s="3">
        <v>500000</v>
      </c>
      <c r="E1894" s="1">
        <f>datos_limpios[[#This Row],[Price INR   ]]*0.011</f>
        <v>5500</v>
      </c>
      <c r="F1894" s="13">
        <v>2014</v>
      </c>
      <c r="G1894" s="2">
        <v>62000</v>
      </c>
      <c r="H1894" s="8" t="s">
        <v>19</v>
      </c>
      <c r="I1894" s="8" t="s">
        <v>13</v>
      </c>
      <c r="J1894" s="8" t="s">
        <v>82</v>
      </c>
      <c r="K1894" t="s">
        <v>196</v>
      </c>
      <c r="L1894" t="s">
        <v>992</v>
      </c>
      <c r="M1894" s="2">
        <f>VALUE(MID(L1894,1,FIND("@",L1894)-6))</f>
        <v>89</v>
      </c>
      <c r="N1894">
        <v>5</v>
      </c>
      <c r="O1894" t="str">
        <f>IF(datos_limpios[[#This Row],[Seating Capacity ]]&gt;4,"SI","NO")</f>
        <v>SI</v>
      </c>
      <c r="P1894">
        <v>45</v>
      </c>
    </row>
    <row r="1895" spans="1:16" x14ac:dyDescent="0.3">
      <c r="A1895" s="8" t="s">
        <v>65</v>
      </c>
      <c r="B1895" s="8" t="s">
        <v>66</v>
      </c>
      <c r="C1895" s="9">
        <v>1896</v>
      </c>
      <c r="D1895" s="3">
        <v>525000</v>
      </c>
      <c r="E1895" s="1">
        <f>datos_limpios[[#This Row],[Price INR   ]]*0.011</f>
        <v>5775</v>
      </c>
      <c r="F1895" s="13">
        <v>2015</v>
      </c>
      <c r="G1895" s="2">
        <v>80852</v>
      </c>
      <c r="H1895" s="8" t="s">
        <v>12</v>
      </c>
      <c r="I1895" s="8" t="s">
        <v>40</v>
      </c>
      <c r="J1895" s="8" t="s">
        <v>14</v>
      </c>
      <c r="K1895" t="s">
        <v>15</v>
      </c>
      <c r="L1895" t="s">
        <v>67</v>
      </c>
      <c r="M1895" s="2">
        <f>VALUE(MID(L1895,1,FIND("@",L1895)-6))</f>
        <v>103</v>
      </c>
      <c r="N1895">
        <v>5</v>
      </c>
      <c r="O1895" t="str">
        <f>IF(datos_limpios[[#This Row],[Seating Capacity ]]&gt;4,"SI","NO")</f>
        <v>SI</v>
      </c>
      <c r="P1895">
        <v>45</v>
      </c>
    </row>
    <row r="1896" spans="1:16" x14ac:dyDescent="0.3">
      <c r="A1896" s="8" t="s">
        <v>65</v>
      </c>
      <c r="B1896" s="8" t="s">
        <v>193</v>
      </c>
      <c r="C1896" s="9">
        <v>1897</v>
      </c>
      <c r="D1896" s="3">
        <v>525000</v>
      </c>
      <c r="E1896" s="1">
        <f>datos_limpios[[#This Row],[Price INR   ]]*0.011</f>
        <v>5775</v>
      </c>
      <c r="F1896" s="13">
        <v>2014</v>
      </c>
      <c r="G1896" s="2">
        <v>43550</v>
      </c>
      <c r="H1896" s="8" t="s">
        <v>12</v>
      </c>
      <c r="I1896" s="8" t="s">
        <v>13</v>
      </c>
      <c r="J1896" s="8" t="s">
        <v>62</v>
      </c>
      <c r="K1896" t="s">
        <v>15</v>
      </c>
      <c r="L1896" t="s">
        <v>194</v>
      </c>
      <c r="M1896" s="2">
        <f>VALUE(MID(L1896,1,FIND("@",L1896)-6))</f>
        <v>74</v>
      </c>
      <c r="N1896">
        <v>5</v>
      </c>
      <c r="O1896" t="str">
        <f>IF(datos_limpios[[#This Row],[Seating Capacity ]]&gt;4,"SI","NO")</f>
        <v>SI</v>
      </c>
      <c r="P1896">
        <v>45</v>
      </c>
    </row>
    <row r="1897" spans="1:16" x14ac:dyDescent="0.3">
      <c r="A1897" s="8" t="s">
        <v>65</v>
      </c>
      <c r="B1897" s="8" t="s">
        <v>984</v>
      </c>
      <c r="C1897" s="9">
        <v>1898</v>
      </c>
      <c r="D1897" s="3">
        <v>545000</v>
      </c>
      <c r="E1897" s="1">
        <f>datos_limpios[[#This Row],[Price INR   ]]*0.011</f>
        <v>5995</v>
      </c>
      <c r="F1897" s="13">
        <v>2013</v>
      </c>
      <c r="G1897" s="2">
        <v>110000</v>
      </c>
      <c r="H1897" s="8" t="s">
        <v>19</v>
      </c>
      <c r="I1897" s="8" t="s">
        <v>13</v>
      </c>
      <c r="J1897" s="8" t="s">
        <v>77</v>
      </c>
      <c r="K1897" t="s">
        <v>210</v>
      </c>
      <c r="L1897" t="s">
        <v>326</v>
      </c>
      <c r="M1897" s="2">
        <f>VALUE(MID(L1897,1,FIND("@",L1897)-6))</f>
        <v>103</v>
      </c>
      <c r="N1897">
        <v>5</v>
      </c>
      <c r="O1897" t="str">
        <f>IF(datos_limpios[[#This Row],[Seating Capacity ]]&gt;4,"SI","NO")</f>
        <v>SI</v>
      </c>
      <c r="P1897">
        <v>55</v>
      </c>
    </row>
    <row r="1898" spans="1:16" x14ac:dyDescent="0.3">
      <c r="A1898" s="8" t="s">
        <v>65</v>
      </c>
      <c r="B1898" s="8" t="s">
        <v>461</v>
      </c>
      <c r="C1898" s="9">
        <v>1899</v>
      </c>
      <c r="D1898" s="3">
        <v>565000</v>
      </c>
      <c r="E1898" s="1">
        <f>datos_limpios[[#This Row],[Price INR   ]]*0.011</f>
        <v>6215</v>
      </c>
      <c r="F1898" s="13">
        <v>2014</v>
      </c>
      <c r="G1898" s="2">
        <v>72782</v>
      </c>
      <c r="H1898" s="8" t="s">
        <v>12</v>
      </c>
      <c r="I1898" s="8" t="s">
        <v>13</v>
      </c>
      <c r="J1898" s="8" t="s">
        <v>14</v>
      </c>
      <c r="K1898" t="s">
        <v>15</v>
      </c>
      <c r="L1898" t="s">
        <v>194</v>
      </c>
      <c r="M1898" s="2">
        <f>VALUE(MID(L1898,1,FIND("@",L1898)-6))</f>
        <v>74</v>
      </c>
      <c r="N1898">
        <v>5</v>
      </c>
      <c r="O1898" t="str">
        <f>IF(datos_limpios[[#This Row],[Seating Capacity ]]&gt;4,"SI","NO")</f>
        <v>SI</v>
      </c>
      <c r="P1898">
        <v>45</v>
      </c>
    </row>
    <row r="1899" spans="1:16" x14ac:dyDescent="0.3">
      <c r="A1899" s="8" t="s">
        <v>65</v>
      </c>
      <c r="B1899" s="8" t="s">
        <v>1238</v>
      </c>
      <c r="C1899" s="9">
        <v>1900</v>
      </c>
      <c r="D1899" s="3">
        <v>575000</v>
      </c>
      <c r="E1899" s="1">
        <f>datos_limpios[[#This Row],[Price INR   ]]*0.011</f>
        <v>6325</v>
      </c>
      <c r="F1899" s="13">
        <v>2017</v>
      </c>
      <c r="G1899" s="2">
        <v>69508</v>
      </c>
      <c r="H1899" s="8" t="s">
        <v>19</v>
      </c>
      <c r="I1899" s="8" t="s">
        <v>13</v>
      </c>
      <c r="J1899" s="8" t="s">
        <v>20</v>
      </c>
      <c r="K1899" t="s">
        <v>196</v>
      </c>
      <c r="L1899" t="s">
        <v>1239</v>
      </c>
      <c r="M1899" s="2">
        <f>VALUE(MID(L1899,1,FIND("@",L1899)-6))</f>
        <v>109</v>
      </c>
      <c r="N1899">
        <v>5</v>
      </c>
      <c r="O1899" t="str">
        <f>IF(datos_limpios[[#This Row],[Seating Capacity ]]&gt;4,"SI","NO")</f>
        <v>SI</v>
      </c>
      <c r="P1899">
        <v>45</v>
      </c>
    </row>
    <row r="1900" spans="1:16" x14ac:dyDescent="0.3">
      <c r="A1900" s="8" t="s">
        <v>65</v>
      </c>
      <c r="B1900" s="8" t="s">
        <v>66</v>
      </c>
      <c r="C1900" s="9">
        <v>1901</v>
      </c>
      <c r="D1900" s="3">
        <v>625000</v>
      </c>
      <c r="E1900" s="1">
        <f>datos_limpios[[#This Row],[Price INR   ]]*0.011</f>
        <v>6875</v>
      </c>
      <c r="F1900" s="13">
        <v>2016</v>
      </c>
      <c r="G1900" s="2">
        <v>68000</v>
      </c>
      <c r="H1900" s="8" t="s">
        <v>12</v>
      </c>
      <c r="I1900" s="8" t="s">
        <v>40</v>
      </c>
      <c r="J1900" s="8" t="s">
        <v>20</v>
      </c>
      <c r="K1900" t="s">
        <v>26</v>
      </c>
      <c r="L1900" t="s">
        <v>67</v>
      </c>
      <c r="M1900" s="2">
        <f>VALUE(MID(L1900,1,FIND("@",L1900)-6))</f>
        <v>103</v>
      </c>
      <c r="N1900">
        <v>5</v>
      </c>
      <c r="O1900" t="str">
        <f>IF(datos_limpios[[#This Row],[Seating Capacity ]]&gt;4,"SI","NO")</f>
        <v>SI</v>
      </c>
      <c r="P1900">
        <v>45</v>
      </c>
    </row>
    <row r="1901" spans="1:16" x14ac:dyDescent="0.3">
      <c r="A1901" s="8" t="s">
        <v>65</v>
      </c>
      <c r="B1901" s="8" t="s">
        <v>1292</v>
      </c>
      <c r="C1901" s="9">
        <v>1902</v>
      </c>
      <c r="D1901" s="3">
        <v>625000</v>
      </c>
      <c r="E1901" s="1">
        <f>datos_limpios[[#This Row],[Price INR   ]]*0.011</f>
        <v>6875</v>
      </c>
      <c r="F1901" s="13">
        <v>2017</v>
      </c>
      <c r="G1901" s="2">
        <v>55000</v>
      </c>
      <c r="H1901" s="8" t="s">
        <v>12</v>
      </c>
      <c r="I1901" s="8" t="s">
        <v>13</v>
      </c>
      <c r="J1901" s="8" t="s">
        <v>115</v>
      </c>
      <c r="K1901" t="s">
        <v>15</v>
      </c>
      <c r="L1901" t="s">
        <v>194</v>
      </c>
      <c r="M1901" s="2">
        <f>VALUE(MID(L1901,1,FIND("@",L1901)-6))</f>
        <v>74</v>
      </c>
      <c r="N1901">
        <v>5</v>
      </c>
      <c r="O1901" t="str">
        <f>IF(datos_limpios[[#This Row],[Seating Capacity ]]&gt;4,"SI","NO")</f>
        <v>SI</v>
      </c>
      <c r="P1901">
        <v>45</v>
      </c>
    </row>
    <row r="1902" spans="1:16" x14ac:dyDescent="0.3">
      <c r="A1902" s="8" t="s">
        <v>65</v>
      </c>
      <c r="B1902" s="8" t="s">
        <v>1382</v>
      </c>
      <c r="C1902" s="9">
        <v>1903</v>
      </c>
      <c r="D1902" s="3">
        <v>625000</v>
      </c>
      <c r="E1902" s="1">
        <f>datos_limpios[[#This Row],[Price INR   ]]*0.011</f>
        <v>6875</v>
      </c>
      <c r="F1902" s="13">
        <v>2014</v>
      </c>
      <c r="G1902" s="2">
        <v>54000</v>
      </c>
      <c r="H1902" s="8" t="s">
        <v>19</v>
      </c>
      <c r="I1902" s="8" t="s">
        <v>13</v>
      </c>
      <c r="J1902" s="8" t="s">
        <v>14</v>
      </c>
      <c r="K1902" t="s">
        <v>196</v>
      </c>
      <c r="L1902" t="s">
        <v>992</v>
      </c>
      <c r="M1902" s="2">
        <f>VALUE(MID(L1902,1,FIND("@",L1902)-6))</f>
        <v>89</v>
      </c>
      <c r="N1902">
        <v>5</v>
      </c>
      <c r="O1902" t="str">
        <f>IF(datos_limpios[[#This Row],[Seating Capacity ]]&gt;4,"SI","NO")</f>
        <v>SI</v>
      </c>
      <c r="P1902">
        <v>45</v>
      </c>
    </row>
    <row r="1903" spans="1:16" x14ac:dyDescent="0.3">
      <c r="A1903" s="8" t="s">
        <v>65</v>
      </c>
      <c r="B1903" s="8" t="s">
        <v>500</v>
      </c>
      <c r="C1903" s="9">
        <v>1904</v>
      </c>
      <c r="D1903" s="3">
        <v>650000</v>
      </c>
      <c r="E1903" s="1">
        <f>datos_limpios[[#This Row],[Price INR   ]]*0.011</f>
        <v>7150</v>
      </c>
      <c r="F1903" s="13">
        <v>2017</v>
      </c>
      <c r="G1903" s="2">
        <v>51000</v>
      </c>
      <c r="H1903" s="8" t="s">
        <v>12</v>
      </c>
      <c r="I1903" s="8" t="s">
        <v>40</v>
      </c>
      <c r="J1903" s="8" t="s">
        <v>20</v>
      </c>
      <c r="K1903" t="s">
        <v>26</v>
      </c>
      <c r="L1903" t="s">
        <v>67</v>
      </c>
      <c r="M1903" s="2">
        <f>VALUE(MID(L1903,1,FIND("@",L1903)-6))</f>
        <v>103</v>
      </c>
      <c r="N1903">
        <v>5</v>
      </c>
      <c r="O1903" t="str">
        <f>IF(datos_limpios[[#This Row],[Seating Capacity ]]&gt;4,"SI","NO")</f>
        <v>SI</v>
      </c>
      <c r="P1903">
        <v>55</v>
      </c>
    </row>
    <row r="1904" spans="1:16" x14ac:dyDescent="0.3">
      <c r="A1904" s="8" t="s">
        <v>65</v>
      </c>
      <c r="B1904" s="8" t="s">
        <v>1249</v>
      </c>
      <c r="C1904" s="9">
        <v>1905</v>
      </c>
      <c r="D1904" s="3">
        <v>685000</v>
      </c>
      <c r="E1904" s="1">
        <f>datos_limpios[[#This Row],[Price INR   ]]*0.011</f>
        <v>7535</v>
      </c>
      <c r="F1904" s="13">
        <v>2015</v>
      </c>
      <c r="G1904" s="2">
        <v>85000</v>
      </c>
      <c r="H1904" s="8" t="s">
        <v>19</v>
      </c>
      <c r="I1904" s="8" t="s">
        <v>40</v>
      </c>
      <c r="J1904" s="8" t="s">
        <v>14</v>
      </c>
      <c r="K1904" t="s">
        <v>196</v>
      </c>
      <c r="L1904" t="s">
        <v>326</v>
      </c>
      <c r="M1904" s="2">
        <f>VALUE(MID(L1904,1,FIND("@",L1904)-6))</f>
        <v>103</v>
      </c>
      <c r="N1904">
        <v>5</v>
      </c>
      <c r="O1904" t="str">
        <f>IF(datos_limpios[[#This Row],[Seating Capacity ]]&gt;4,"SI","NO")</f>
        <v>SI</v>
      </c>
      <c r="P1904">
        <v>55</v>
      </c>
    </row>
    <row r="1905" spans="1:16" x14ac:dyDescent="0.3">
      <c r="A1905" s="8" t="s">
        <v>65</v>
      </c>
      <c r="B1905" s="8" t="s">
        <v>1283</v>
      </c>
      <c r="C1905" s="9">
        <v>1906</v>
      </c>
      <c r="D1905" s="3">
        <v>690000</v>
      </c>
      <c r="E1905" s="1">
        <f>datos_limpios[[#This Row],[Price INR   ]]*0.011</f>
        <v>7590</v>
      </c>
      <c r="F1905" s="13">
        <v>2018</v>
      </c>
      <c r="G1905" s="2">
        <v>38000</v>
      </c>
      <c r="H1905" s="8" t="s">
        <v>12</v>
      </c>
      <c r="I1905" s="8" t="s">
        <v>13</v>
      </c>
      <c r="J1905" s="8" t="s">
        <v>131</v>
      </c>
      <c r="K1905" t="s">
        <v>210</v>
      </c>
      <c r="L1905" t="s">
        <v>211</v>
      </c>
      <c r="M1905" s="2">
        <f>VALUE(MID(L1905,1,FIND("@",L1905)-6))</f>
        <v>103</v>
      </c>
      <c r="N1905">
        <v>5</v>
      </c>
      <c r="O1905" t="str">
        <f>IF(datos_limpios[[#This Row],[Seating Capacity ]]&gt;4,"SI","NO")</f>
        <v>SI</v>
      </c>
      <c r="P1905">
        <v>55</v>
      </c>
    </row>
    <row r="1906" spans="1:16" x14ac:dyDescent="0.3">
      <c r="A1906" s="8" t="s">
        <v>65</v>
      </c>
      <c r="B1906" s="8" t="s">
        <v>931</v>
      </c>
      <c r="C1906" s="9">
        <v>1907</v>
      </c>
      <c r="D1906" s="3">
        <v>699000</v>
      </c>
      <c r="E1906" s="1">
        <f>datos_limpios[[#This Row],[Price INR   ]]*0.011</f>
        <v>7689</v>
      </c>
      <c r="F1906" s="13">
        <v>2019</v>
      </c>
      <c r="G1906" s="2">
        <v>53929</v>
      </c>
      <c r="H1906" s="8" t="s">
        <v>12</v>
      </c>
      <c r="I1906" s="8" t="s">
        <v>13</v>
      </c>
      <c r="J1906" s="8" t="s">
        <v>30</v>
      </c>
      <c r="K1906" t="s">
        <v>54</v>
      </c>
      <c r="L1906" t="s">
        <v>690</v>
      </c>
      <c r="M1906" s="2">
        <f>VALUE(MID(L1906,1,FIND("@",L1906)-6))</f>
        <v>75</v>
      </c>
      <c r="N1906">
        <v>5</v>
      </c>
      <c r="O1906" t="str">
        <f>IF(datos_limpios[[#This Row],[Seating Capacity ]]&gt;4,"SI","NO")</f>
        <v>SI</v>
      </c>
      <c r="P1906">
        <v>45</v>
      </c>
    </row>
    <row r="1907" spans="1:16" x14ac:dyDescent="0.3">
      <c r="A1907" s="8" t="s">
        <v>65</v>
      </c>
      <c r="B1907" s="8" t="s">
        <v>689</v>
      </c>
      <c r="C1907" s="9">
        <v>1908</v>
      </c>
      <c r="D1907" s="3">
        <v>720000</v>
      </c>
      <c r="E1907" s="1">
        <f>datos_limpios[[#This Row],[Price INR   ]]*0.011</f>
        <v>7919.9999999999991</v>
      </c>
      <c r="F1907" s="13">
        <v>2018</v>
      </c>
      <c r="G1907" s="2">
        <v>50197</v>
      </c>
      <c r="H1907" s="8" t="s">
        <v>12</v>
      </c>
      <c r="I1907" s="8" t="s">
        <v>13</v>
      </c>
      <c r="J1907" s="8" t="s">
        <v>14</v>
      </c>
      <c r="K1907" t="s">
        <v>54</v>
      </c>
      <c r="L1907" t="s">
        <v>690</v>
      </c>
      <c r="M1907" s="2">
        <f>VALUE(MID(L1907,1,FIND("@",L1907)-6))</f>
        <v>75</v>
      </c>
      <c r="N1907">
        <v>5</v>
      </c>
      <c r="O1907" t="str">
        <f>IF(datos_limpios[[#This Row],[Seating Capacity ]]&gt;4,"SI","NO")</f>
        <v>SI</v>
      </c>
      <c r="P1907">
        <v>45</v>
      </c>
    </row>
    <row r="1908" spans="1:16" x14ac:dyDescent="0.3">
      <c r="A1908" s="8" t="s">
        <v>65</v>
      </c>
      <c r="B1908" s="8" t="s">
        <v>81</v>
      </c>
      <c r="C1908" s="9">
        <v>1909</v>
      </c>
      <c r="D1908" s="3">
        <v>765000</v>
      </c>
      <c r="E1908" s="1">
        <f>datos_limpios[[#This Row],[Price INR   ]]*0.011</f>
        <v>8415</v>
      </c>
      <c r="F1908" s="13">
        <v>2015</v>
      </c>
      <c r="G1908" s="2">
        <v>60240</v>
      </c>
      <c r="H1908" s="8" t="s">
        <v>12</v>
      </c>
      <c r="I1908" s="8" t="s">
        <v>40</v>
      </c>
      <c r="J1908" s="8" t="s">
        <v>82</v>
      </c>
      <c r="K1908" t="s">
        <v>26</v>
      </c>
      <c r="L1908" t="s">
        <v>67</v>
      </c>
      <c r="M1908" s="2">
        <f>VALUE(MID(L1908,1,FIND("@",L1908)-6))</f>
        <v>103</v>
      </c>
      <c r="N1908">
        <v>5</v>
      </c>
      <c r="O1908" t="str">
        <f>IF(datos_limpios[[#This Row],[Seating Capacity ]]&gt;4,"SI","NO")</f>
        <v>SI</v>
      </c>
      <c r="P1908">
        <v>55</v>
      </c>
    </row>
    <row r="1909" spans="1:16" x14ac:dyDescent="0.3">
      <c r="A1909" s="8" t="s">
        <v>65</v>
      </c>
      <c r="B1909" s="8" t="s">
        <v>657</v>
      </c>
      <c r="C1909" s="9">
        <v>1910</v>
      </c>
      <c r="D1909" s="3">
        <v>775000</v>
      </c>
      <c r="E1909" s="1">
        <f>datos_limpios[[#This Row],[Price INR   ]]*0.011</f>
        <v>8525</v>
      </c>
      <c r="F1909" s="13">
        <v>2017</v>
      </c>
      <c r="G1909" s="2">
        <v>60500</v>
      </c>
      <c r="H1909" s="8" t="s">
        <v>12</v>
      </c>
      <c r="I1909" s="8" t="s">
        <v>40</v>
      </c>
      <c r="J1909" s="8" t="s">
        <v>20</v>
      </c>
      <c r="K1909" t="s">
        <v>26</v>
      </c>
      <c r="L1909" t="s">
        <v>67</v>
      </c>
      <c r="M1909" s="2">
        <f>VALUE(MID(L1909,1,FIND("@",L1909)-6))</f>
        <v>103</v>
      </c>
      <c r="N1909">
        <v>5</v>
      </c>
      <c r="O1909" t="str">
        <f>IF(datos_limpios[[#This Row],[Seating Capacity ]]&gt;4,"SI","NO")</f>
        <v>SI</v>
      </c>
      <c r="P1909">
        <v>55</v>
      </c>
    </row>
    <row r="1910" spans="1:16" x14ac:dyDescent="0.3">
      <c r="A1910" s="8" t="s">
        <v>65</v>
      </c>
      <c r="B1910" s="8" t="s">
        <v>657</v>
      </c>
      <c r="C1910" s="9">
        <v>1911</v>
      </c>
      <c r="D1910" s="3">
        <v>825000</v>
      </c>
      <c r="E1910" s="1">
        <f>datos_limpios[[#This Row],[Price INR   ]]*0.011</f>
        <v>9075</v>
      </c>
      <c r="F1910" s="13">
        <v>2018</v>
      </c>
      <c r="G1910" s="2">
        <v>62000</v>
      </c>
      <c r="H1910" s="8" t="s">
        <v>12</v>
      </c>
      <c r="I1910" s="8" t="s">
        <v>40</v>
      </c>
      <c r="J1910" s="8" t="s">
        <v>82</v>
      </c>
      <c r="K1910" t="s">
        <v>26</v>
      </c>
      <c r="L1910" t="s">
        <v>67</v>
      </c>
      <c r="M1910" s="2">
        <f>VALUE(MID(L1910,1,FIND("@",L1910)-6))</f>
        <v>103</v>
      </c>
      <c r="N1910">
        <v>5</v>
      </c>
      <c r="O1910" t="str">
        <f>IF(datos_limpios[[#This Row],[Seating Capacity ]]&gt;4,"SI","NO")</f>
        <v>SI</v>
      </c>
      <c r="P1910">
        <v>55</v>
      </c>
    </row>
    <row r="1911" spans="1:16" x14ac:dyDescent="0.3">
      <c r="A1911" s="8" t="s">
        <v>65</v>
      </c>
      <c r="B1911" s="8" t="s">
        <v>1250</v>
      </c>
      <c r="C1911" s="9">
        <v>1912</v>
      </c>
      <c r="D1911" s="3">
        <v>940000</v>
      </c>
      <c r="E1911" s="1">
        <f>datos_limpios[[#This Row],[Price INR   ]]*0.011</f>
        <v>10340</v>
      </c>
      <c r="F1911" s="13">
        <v>2021</v>
      </c>
      <c r="G1911" s="2">
        <v>35000</v>
      </c>
      <c r="H1911" s="8" t="s">
        <v>12</v>
      </c>
      <c r="I1911" s="8" t="s">
        <v>13</v>
      </c>
      <c r="J1911" s="8" t="s">
        <v>25</v>
      </c>
      <c r="K1911" t="s">
        <v>210</v>
      </c>
      <c r="L1911" t="s">
        <v>211</v>
      </c>
      <c r="M1911" s="2">
        <f>VALUE(MID(L1911,1,FIND("@",L1911)-6))</f>
        <v>103</v>
      </c>
      <c r="N1911">
        <v>5</v>
      </c>
      <c r="O1911" t="str">
        <f>IF(datos_limpios[[#This Row],[Seating Capacity ]]&gt;4,"SI","NO")</f>
        <v>SI</v>
      </c>
      <c r="P1911">
        <v>55</v>
      </c>
    </row>
    <row r="1912" spans="1:16" x14ac:dyDescent="0.3">
      <c r="A1912" s="8" t="s">
        <v>65</v>
      </c>
      <c r="B1912" s="8" t="s">
        <v>66</v>
      </c>
      <c r="C1912" s="9">
        <v>1913</v>
      </c>
      <c r="D1912" s="3">
        <v>944999</v>
      </c>
      <c r="E1912" s="1">
        <f>datos_limpios[[#This Row],[Price INR   ]]*0.011</f>
        <v>10394.989</v>
      </c>
      <c r="F1912" s="13">
        <v>2017</v>
      </c>
      <c r="G1912" s="2">
        <v>41417</v>
      </c>
      <c r="H1912" s="8" t="s">
        <v>12</v>
      </c>
      <c r="I1912" s="8" t="s">
        <v>40</v>
      </c>
      <c r="J1912" s="8" t="s">
        <v>14</v>
      </c>
      <c r="K1912" t="s">
        <v>26</v>
      </c>
      <c r="L1912" t="s">
        <v>67</v>
      </c>
      <c r="M1912" s="2">
        <f>VALUE(MID(L1912,1,FIND("@",L1912)-6))</f>
        <v>103</v>
      </c>
      <c r="N1912">
        <v>5</v>
      </c>
      <c r="O1912" t="str">
        <f>IF(datos_limpios[[#This Row],[Seating Capacity ]]&gt;4,"SI","NO")</f>
        <v>SI</v>
      </c>
      <c r="P1912">
        <v>45</v>
      </c>
    </row>
    <row r="1913" spans="1:16" x14ac:dyDescent="0.3">
      <c r="A1913" s="8" t="s">
        <v>65</v>
      </c>
      <c r="B1913" s="8" t="s">
        <v>1222</v>
      </c>
      <c r="C1913" s="9">
        <v>1914</v>
      </c>
      <c r="D1913" s="3">
        <v>950000</v>
      </c>
      <c r="E1913" s="1">
        <f>datos_limpios[[#This Row],[Price INR   ]]*0.011</f>
        <v>10450</v>
      </c>
      <c r="F1913" s="13">
        <v>2021</v>
      </c>
      <c r="G1913" s="2">
        <v>24000</v>
      </c>
      <c r="H1913" s="8" t="s">
        <v>12</v>
      </c>
      <c r="I1913" s="8" t="s">
        <v>13</v>
      </c>
      <c r="J1913" s="8" t="s">
        <v>20</v>
      </c>
      <c r="K1913" t="s">
        <v>54</v>
      </c>
      <c r="L1913" t="s">
        <v>371</v>
      </c>
      <c r="M1913" s="2">
        <f>VALUE(MID(L1913,1,FIND("@",L1913)-6))</f>
        <v>109</v>
      </c>
      <c r="N1913">
        <v>5</v>
      </c>
      <c r="O1913" t="str">
        <f>IF(datos_limpios[[#This Row],[Seating Capacity ]]&gt;4,"SI","NO")</f>
        <v>SI</v>
      </c>
      <c r="P1913">
        <v>45</v>
      </c>
    </row>
    <row r="1914" spans="1:16" x14ac:dyDescent="0.3">
      <c r="A1914" s="8" t="s">
        <v>65</v>
      </c>
      <c r="B1914" s="8" t="s">
        <v>1222</v>
      </c>
      <c r="C1914" s="9">
        <v>1915</v>
      </c>
      <c r="D1914" s="3">
        <v>1025000</v>
      </c>
      <c r="E1914" s="1">
        <f>datos_limpios[[#This Row],[Price INR   ]]*0.011</f>
        <v>11275</v>
      </c>
      <c r="F1914" s="13">
        <v>2020</v>
      </c>
      <c r="G1914" s="2">
        <v>20124</v>
      </c>
      <c r="H1914" s="8" t="s">
        <v>12</v>
      </c>
      <c r="I1914" s="8" t="s">
        <v>13</v>
      </c>
      <c r="J1914" s="8" t="s">
        <v>30</v>
      </c>
      <c r="K1914" t="s">
        <v>54</v>
      </c>
      <c r="L1914" t="s">
        <v>371</v>
      </c>
      <c r="M1914" s="2">
        <f>VALUE(MID(L1914,1,FIND("@",L1914)-6))</f>
        <v>109</v>
      </c>
      <c r="N1914">
        <v>5</v>
      </c>
      <c r="O1914" t="str">
        <f>IF(datos_limpios[[#This Row],[Seating Capacity ]]&gt;4,"SI","NO")</f>
        <v>SI</v>
      </c>
      <c r="P1914">
        <v>45</v>
      </c>
    </row>
    <row r="1915" spans="1:16" x14ac:dyDescent="0.3">
      <c r="A1915" s="8" t="s">
        <v>65</v>
      </c>
      <c r="B1915" s="8" t="s">
        <v>66</v>
      </c>
      <c r="C1915" s="9">
        <v>1916</v>
      </c>
      <c r="D1915" s="3">
        <v>1095000</v>
      </c>
      <c r="E1915" s="1">
        <f>datos_limpios[[#This Row],[Price INR   ]]*0.011</f>
        <v>12045</v>
      </c>
      <c r="F1915" s="13">
        <v>2020</v>
      </c>
      <c r="G1915" s="2">
        <v>43260</v>
      </c>
      <c r="H1915" s="8" t="s">
        <v>12</v>
      </c>
      <c r="I1915" s="8" t="s">
        <v>40</v>
      </c>
      <c r="J1915" s="8" t="s">
        <v>30</v>
      </c>
      <c r="K1915" t="s">
        <v>26</v>
      </c>
      <c r="L1915" t="s">
        <v>67</v>
      </c>
      <c r="M1915" s="2">
        <f>VALUE(MID(L1915,1,FIND("@",L1915)-6))</f>
        <v>103</v>
      </c>
      <c r="N1915">
        <v>5</v>
      </c>
      <c r="O1915" t="str">
        <f>IF(datos_limpios[[#This Row],[Seating Capacity ]]&gt;4,"SI","NO")</f>
        <v>SI</v>
      </c>
      <c r="P1915">
        <v>45</v>
      </c>
    </row>
    <row r="1916" spans="1:16" x14ac:dyDescent="0.3">
      <c r="A1916" s="8" t="s">
        <v>65</v>
      </c>
      <c r="B1916" s="8" t="s">
        <v>1194</v>
      </c>
      <c r="C1916" s="9">
        <v>1917</v>
      </c>
      <c r="D1916" s="3">
        <v>1200000</v>
      </c>
      <c r="E1916" s="1">
        <f>datos_limpios[[#This Row],[Price INR   ]]*0.011</f>
        <v>13200</v>
      </c>
      <c r="F1916" s="13">
        <v>2021</v>
      </c>
      <c r="G1916" s="2">
        <v>37230</v>
      </c>
      <c r="H1916" s="8" t="s">
        <v>12</v>
      </c>
      <c r="I1916" s="8" t="s">
        <v>13</v>
      </c>
      <c r="J1916" s="8" t="s">
        <v>14</v>
      </c>
      <c r="K1916" t="s">
        <v>54</v>
      </c>
      <c r="L1916" t="s">
        <v>371</v>
      </c>
      <c r="M1916" s="2">
        <f>VALUE(MID(L1916,1,FIND("@",L1916)-6))</f>
        <v>109</v>
      </c>
      <c r="N1916">
        <v>5</v>
      </c>
      <c r="O1916" t="str">
        <f>IF(datos_limpios[[#This Row],[Seating Capacity ]]&gt;4,"SI","NO")</f>
        <v>SI</v>
      </c>
      <c r="P1916">
        <v>55</v>
      </c>
    </row>
    <row r="1917" spans="1:16" x14ac:dyDescent="0.3">
      <c r="A1917" s="8" t="s">
        <v>65</v>
      </c>
      <c r="B1917" s="8" t="s">
        <v>1012</v>
      </c>
      <c r="C1917" s="9">
        <v>1918</v>
      </c>
      <c r="D1917" s="3">
        <v>1500000</v>
      </c>
      <c r="E1917" s="1">
        <f>datos_limpios[[#This Row],[Price INR   ]]*0.011</f>
        <v>16500</v>
      </c>
      <c r="F1917" s="13">
        <v>2021</v>
      </c>
      <c r="G1917" s="2">
        <v>31000</v>
      </c>
      <c r="H1917" s="8" t="s">
        <v>12</v>
      </c>
      <c r="I1917" s="8" t="s">
        <v>40</v>
      </c>
      <c r="J1917" s="8" t="s">
        <v>77</v>
      </c>
      <c r="K1917" t="s">
        <v>54</v>
      </c>
      <c r="L1917" t="s">
        <v>1013</v>
      </c>
      <c r="M1917" s="2">
        <f>VALUE(MID(L1917,1,FIND("@",L1917)-6))</f>
        <v>114</v>
      </c>
      <c r="N1917">
        <v>5</v>
      </c>
      <c r="O1917" t="str">
        <f>IF(datos_limpios[[#This Row],[Seating Capacity ]]&gt;4,"SI","NO")</f>
        <v>SI</v>
      </c>
      <c r="P1917">
        <v>50</v>
      </c>
    </row>
    <row r="1918" spans="1:16" x14ac:dyDescent="0.3">
      <c r="A1918" s="8" t="s">
        <v>65</v>
      </c>
      <c r="B1918" s="8" t="s">
        <v>642</v>
      </c>
      <c r="C1918" s="9">
        <v>1919</v>
      </c>
      <c r="D1918" s="3">
        <v>2050000</v>
      </c>
      <c r="E1918" s="1">
        <f>datos_limpios[[#This Row],[Price INR   ]]*0.011</f>
        <v>22550</v>
      </c>
      <c r="F1918" s="13">
        <v>2018</v>
      </c>
      <c r="G1918" s="2">
        <v>73000</v>
      </c>
      <c r="H1918" s="8" t="s">
        <v>19</v>
      </c>
      <c r="I1918" s="8" t="s">
        <v>40</v>
      </c>
      <c r="J1918" s="8" t="s">
        <v>20</v>
      </c>
      <c r="K1918" t="s">
        <v>127</v>
      </c>
      <c r="L1918" t="s">
        <v>643</v>
      </c>
      <c r="M1918" s="2">
        <f>VALUE(MID(L1918,1,FIND("@",L1918)-6))</f>
        <v>141</v>
      </c>
      <c r="N1918">
        <v>5</v>
      </c>
      <c r="O1918" t="str">
        <f>IF(datos_limpios[[#This Row],[Seating Capacity ]]&gt;4,"SI","NO")</f>
        <v>SI</v>
      </c>
      <c r="P1918">
        <v>71</v>
      </c>
    </row>
    <row r="1919" spans="1:16" x14ac:dyDescent="0.3">
      <c r="A1919" s="8" t="s">
        <v>65</v>
      </c>
      <c r="B1919" s="8" t="s">
        <v>642</v>
      </c>
      <c r="C1919" s="9">
        <v>1920</v>
      </c>
      <c r="D1919" s="3">
        <v>2990000</v>
      </c>
      <c r="E1919" s="1">
        <f>datos_limpios[[#This Row],[Price INR   ]]*0.011</f>
        <v>32890</v>
      </c>
      <c r="F1919" s="13">
        <v>2020</v>
      </c>
      <c r="G1919" s="2">
        <v>17904</v>
      </c>
      <c r="H1919" s="8" t="s">
        <v>19</v>
      </c>
      <c r="I1919" s="8" t="s">
        <v>40</v>
      </c>
      <c r="J1919" s="8" t="s">
        <v>20</v>
      </c>
      <c r="K1919" t="s">
        <v>127</v>
      </c>
      <c r="L1919" t="s">
        <v>643</v>
      </c>
      <c r="M1919" s="2">
        <f>VALUE(MID(L1919,1,FIND("@",L1919)-6))</f>
        <v>141</v>
      </c>
      <c r="N1919">
        <v>5</v>
      </c>
      <c r="O1919" t="str">
        <f>IF(datos_limpios[[#This Row],[Seating Capacity ]]&gt;4,"SI","NO")</f>
        <v>SI</v>
      </c>
      <c r="P1919">
        <v>71</v>
      </c>
    </row>
    <row r="1920" spans="1:16" x14ac:dyDescent="0.3">
      <c r="A1920" s="8" t="s">
        <v>65</v>
      </c>
      <c r="B1920" s="8" t="s">
        <v>774</v>
      </c>
      <c r="C1920" s="9">
        <v>1921</v>
      </c>
      <c r="D1920" s="3">
        <v>3375000</v>
      </c>
      <c r="E1920" s="1">
        <f>datos_limpios[[#This Row],[Price INR   ]]*0.011</f>
        <v>37125</v>
      </c>
      <c r="F1920" s="13">
        <v>2021</v>
      </c>
      <c r="G1920" s="2">
        <v>25000</v>
      </c>
      <c r="H1920" s="8" t="s">
        <v>12</v>
      </c>
      <c r="I1920" s="8" t="s">
        <v>40</v>
      </c>
      <c r="J1920" s="8" t="s">
        <v>77</v>
      </c>
      <c r="K1920" t="s">
        <v>266</v>
      </c>
      <c r="L1920" t="s">
        <v>267</v>
      </c>
      <c r="M1920" s="2">
        <f>VALUE(MID(L1920,1,FIND("@",L1920)-6))</f>
        <v>188</v>
      </c>
      <c r="N1920">
        <v>7</v>
      </c>
      <c r="O1920" t="str">
        <f>IF(datos_limpios[[#This Row],[Seating Capacity ]]&gt;4,"SI","NO")</f>
        <v>SI</v>
      </c>
      <c r="P1920">
        <v>60</v>
      </c>
    </row>
    <row r="1921" spans="1:16" x14ac:dyDescent="0.3">
      <c r="A1921" s="8" t="s">
        <v>355</v>
      </c>
      <c r="B1921" s="8" t="s">
        <v>1032</v>
      </c>
      <c r="C1921" s="9">
        <v>1922</v>
      </c>
      <c r="D1921" s="3">
        <v>994999</v>
      </c>
      <c r="E1921" s="1">
        <f>datos_limpios[[#This Row],[Price INR   ]]*0.011</f>
        <v>10944.989</v>
      </c>
      <c r="F1921" s="13">
        <v>2012</v>
      </c>
      <c r="G1921" s="2">
        <v>89311</v>
      </c>
      <c r="H1921" s="8" t="s">
        <v>19</v>
      </c>
      <c r="I1921" s="8" t="s">
        <v>40</v>
      </c>
      <c r="J1921" s="8" t="s">
        <v>20</v>
      </c>
      <c r="K1921" t="s">
        <v>266</v>
      </c>
      <c r="L1921" t="s">
        <v>1033</v>
      </c>
      <c r="M1921" s="2">
        <f>VALUE(MID(L1921,1,FIND("@",L1921)-6))</f>
        <v>165</v>
      </c>
      <c r="N1921">
        <v>5</v>
      </c>
      <c r="O1921" t="str">
        <f>IF(datos_limpios[[#This Row],[Seating Capacity ]]&gt;4,"SI","NO")</f>
        <v>SI</v>
      </c>
      <c r="P1921">
        <v>67.5</v>
      </c>
    </row>
    <row r="1922" spans="1:16" x14ac:dyDescent="0.3">
      <c r="A1922" s="8" t="s">
        <v>355</v>
      </c>
      <c r="B1922" s="8" t="s">
        <v>480</v>
      </c>
      <c r="C1922" s="9">
        <v>1923</v>
      </c>
      <c r="D1922" s="3">
        <v>1200000</v>
      </c>
      <c r="E1922" s="1">
        <f>datos_limpios[[#This Row],[Price INR   ]]*0.011</f>
        <v>13200</v>
      </c>
      <c r="F1922" s="13">
        <v>2015</v>
      </c>
      <c r="G1922" s="2">
        <v>50965</v>
      </c>
      <c r="H1922" s="8" t="s">
        <v>19</v>
      </c>
      <c r="I1922" s="8" t="s">
        <v>40</v>
      </c>
      <c r="J1922" s="8" t="s">
        <v>20</v>
      </c>
      <c r="K1922" t="s">
        <v>266</v>
      </c>
      <c r="L1922" t="s">
        <v>357</v>
      </c>
      <c r="M1922" s="2">
        <f>VALUE(MID(L1922,1,FIND("@",L1922)-6))</f>
        <v>150</v>
      </c>
      <c r="N1922">
        <v>5</v>
      </c>
      <c r="O1922" t="str">
        <f>IF(datos_limpios[[#This Row],[Seating Capacity ]]&gt;4,"SI","NO")</f>
        <v>SI</v>
      </c>
      <c r="P1922">
        <v>60</v>
      </c>
    </row>
    <row r="1923" spans="1:16" x14ac:dyDescent="0.3">
      <c r="A1923" s="8" t="s">
        <v>355</v>
      </c>
      <c r="B1923" s="8" t="s">
        <v>356</v>
      </c>
      <c r="C1923" s="9">
        <v>1924</v>
      </c>
      <c r="D1923" s="3">
        <v>1250000</v>
      </c>
      <c r="E1923" s="1">
        <f>datos_limpios[[#This Row],[Price INR   ]]*0.011</f>
        <v>13750</v>
      </c>
      <c r="F1923" s="13">
        <v>2013</v>
      </c>
      <c r="G1923" s="2">
        <v>71141</v>
      </c>
      <c r="H1923" s="8" t="s">
        <v>19</v>
      </c>
      <c r="I1923" s="8" t="s">
        <v>40</v>
      </c>
      <c r="J1923" s="8" t="s">
        <v>77</v>
      </c>
      <c r="K1923" t="s">
        <v>266</v>
      </c>
      <c r="L1923" t="s">
        <v>357</v>
      </c>
      <c r="M1923" s="2">
        <f>VALUE(MID(L1923,1,FIND("@",L1923)-6))</f>
        <v>150</v>
      </c>
      <c r="N1923">
        <v>5</v>
      </c>
      <c r="O1923" t="str">
        <f>IF(datos_limpios[[#This Row],[Seating Capacity ]]&gt;4,"SI","NO")</f>
        <v>SI</v>
      </c>
      <c r="P1923">
        <v>60</v>
      </c>
    </row>
    <row r="1924" spans="1:16" x14ac:dyDescent="0.3">
      <c r="A1924" s="8" t="s">
        <v>355</v>
      </c>
      <c r="B1924" s="8" t="s">
        <v>356</v>
      </c>
      <c r="C1924" s="9">
        <v>1925</v>
      </c>
      <c r="D1924" s="3">
        <v>1595000</v>
      </c>
      <c r="E1924" s="1">
        <f>datos_limpios[[#This Row],[Price INR   ]]*0.011</f>
        <v>17545</v>
      </c>
      <c r="F1924" s="13">
        <v>2015</v>
      </c>
      <c r="G1924" s="2">
        <v>44000</v>
      </c>
      <c r="H1924" s="8" t="s">
        <v>19</v>
      </c>
      <c r="I1924" s="8" t="s">
        <v>40</v>
      </c>
      <c r="J1924" s="8" t="s">
        <v>57</v>
      </c>
      <c r="K1924" t="s">
        <v>266</v>
      </c>
      <c r="L1924" t="s">
        <v>357</v>
      </c>
      <c r="M1924" s="2">
        <f>VALUE(MID(L1924,1,FIND("@",L1924)-6))</f>
        <v>150</v>
      </c>
      <c r="N1924">
        <v>5</v>
      </c>
      <c r="O1924" t="str">
        <f>IF(datos_limpios[[#This Row],[Seating Capacity ]]&gt;4,"SI","NO")</f>
        <v>SI</v>
      </c>
      <c r="P1924">
        <v>60</v>
      </c>
    </row>
    <row r="1925" spans="1:16" x14ac:dyDescent="0.3">
      <c r="A1925" s="8" t="s">
        <v>355</v>
      </c>
      <c r="B1925" s="8" t="s">
        <v>845</v>
      </c>
      <c r="C1925" s="9">
        <v>1926</v>
      </c>
      <c r="D1925" s="3">
        <v>1689999</v>
      </c>
      <c r="E1925" s="1">
        <f>datos_limpios[[#This Row],[Price INR   ]]*0.011</f>
        <v>18589.988999999998</v>
      </c>
      <c r="F1925" s="13">
        <v>2015</v>
      </c>
      <c r="G1925" s="2">
        <v>50000</v>
      </c>
      <c r="H1925" s="8" t="s">
        <v>19</v>
      </c>
      <c r="I1925" s="8" t="s">
        <v>40</v>
      </c>
      <c r="J1925" s="8" t="s">
        <v>20</v>
      </c>
      <c r="K1925" t="s">
        <v>266</v>
      </c>
      <c r="L1925" t="s">
        <v>357</v>
      </c>
      <c r="M1925" s="2">
        <f>VALUE(MID(L1925,1,FIND("@",L1925)-6))</f>
        <v>150</v>
      </c>
      <c r="N1925">
        <v>5</v>
      </c>
      <c r="O1925" t="str">
        <f>IF(datos_limpios[[#This Row],[Seating Capacity ]]&gt;4,"SI","NO")</f>
        <v>SI</v>
      </c>
      <c r="P1925">
        <v>60</v>
      </c>
    </row>
    <row r="1926" spans="1:16" x14ac:dyDescent="0.3">
      <c r="A1926" s="8" t="s">
        <v>355</v>
      </c>
      <c r="B1926" s="8" t="s">
        <v>845</v>
      </c>
      <c r="C1926" s="9">
        <v>1927</v>
      </c>
      <c r="D1926" s="3">
        <v>1798999</v>
      </c>
      <c r="E1926" s="1">
        <f>datos_limpios[[#This Row],[Price INR   ]]*0.011</f>
        <v>19788.988999999998</v>
      </c>
      <c r="F1926" s="13">
        <v>2017</v>
      </c>
      <c r="G1926" s="2">
        <v>14000</v>
      </c>
      <c r="H1926" s="8" t="s">
        <v>19</v>
      </c>
      <c r="I1926" s="8" t="s">
        <v>40</v>
      </c>
      <c r="J1926" s="8" t="s">
        <v>57</v>
      </c>
      <c r="K1926" t="s">
        <v>266</v>
      </c>
      <c r="L1926" t="s">
        <v>357</v>
      </c>
      <c r="M1926" s="2">
        <f>VALUE(MID(L1926,1,FIND("@",L1926)-6))</f>
        <v>150</v>
      </c>
      <c r="N1926">
        <v>5</v>
      </c>
      <c r="O1926" t="str">
        <f>IF(datos_limpios[[#This Row],[Seating Capacity ]]&gt;4,"SI","NO")</f>
        <v>SI</v>
      </c>
      <c r="P1926">
        <v>60</v>
      </c>
    </row>
    <row r="1927" spans="1:16" x14ac:dyDescent="0.3">
      <c r="A1927" s="8" t="s">
        <v>355</v>
      </c>
      <c r="B1927" s="8" t="s">
        <v>1332</v>
      </c>
      <c r="C1927" s="9">
        <v>1928</v>
      </c>
      <c r="D1927" s="3">
        <v>1950000</v>
      </c>
      <c r="E1927" s="1">
        <f>datos_limpios[[#This Row],[Price INR   ]]*0.011</f>
        <v>21450</v>
      </c>
      <c r="F1927" s="13">
        <v>2016</v>
      </c>
      <c r="G1927" s="2">
        <v>79000</v>
      </c>
      <c r="H1927" s="8" t="s">
        <v>19</v>
      </c>
      <c r="I1927" s="8" t="s">
        <v>40</v>
      </c>
      <c r="J1927" s="8" t="s">
        <v>20</v>
      </c>
      <c r="K1927" t="s">
        <v>1333</v>
      </c>
      <c r="L1927" t="s">
        <v>708</v>
      </c>
      <c r="M1927" s="2">
        <f>VALUE(MID(L1927,1,FIND("@",L1927)-6))</f>
        <v>215</v>
      </c>
      <c r="N1927">
        <v>5</v>
      </c>
      <c r="O1927" t="str">
        <f>IF(datos_limpios[[#This Row],[Seating Capacity ]]&gt;4,"SI","NO")</f>
        <v>SI</v>
      </c>
      <c r="P1927">
        <v>70</v>
      </c>
    </row>
    <row r="1928" spans="1:16" x14ac:dyDescent="0.3">
      <c r="A1928" s="8" t="s">
        <v>355</v>
      </c>
      <c r="B1928" s="8" t="s">
        <v>845</v>
      </c>
      <c r="C1928" s="9">
        <v>1929</v>
      </c>
      <c r="D1928" s="3">
        <v>2000000</v>
      </c>
      <c r="E1928" s="1">
        <f>datos_limpios[[#This Row],[Price INR   ]]*0.011</f>
        <v>22000</v>
      </c>
      <c r="F1928" s="13">
        <v>2016</v>
      </c>
      <c r="G1928" s="2">
        <v>6000</v>
      </c>
      <c r="H1928" s="8" t="s">
        <v>19</v>
      </c>
      <c r="I1928" s="8" t="s">
        <v>40</v>
      </c>
      <c r="J1928" s="8" t="s">
        <v>30</v>
      </c>
      <c r="K1928" t="s">
        <v>266</v>
      </c>
      <c r="L1928" t="s">
        <v>357</v>
      </c>
      <c r="M1928" s="2">
        <f>VALUE(MID(L1928,1,FIND("@",L1928)-6))</f>
        <v>150</v>
      </c>
      <c r="N1928">
        <v>5</v>
      </c>
      <c r="O1928" t="str">
        <f>IF(datos_limpios[[#This Row],[Seating Capacity ]]&gt;4,"SI","NO")</f>
        <v>SI</v>
      </c>
      <c r="P1928">
        <v>60</v>
      </c>
    </row>
    <row r="1929" spans="1:16" x14ac:dyDescent="0.3">
      <c r="A1929" s="8" t="s">
        <v>355</v>
      </c>
      <c r="B1929" s="8" t="s">
        <v>845</v>
      </c>
      <c r="C1929" s="9">
        <v>1930</v>
      </c>
      <c r="D1929" s="3">
        <v>2050000</v>
      </c>
      <c r="E1929" s="1">
        <f>datos_limpios[[#This Row],[Price INR   ]]*0.011</f>
        <v>22550</v>
      </c>
      <c r="F1929" s="13">
        <v>2017</v>
      </c>
      <c r="G1929" s="2">
        <v>68000</v>
      </c>
      <c r="H1929" s="8" t="s">
        <v>19</v>
      </c>
      <c r="I1929" s="8" t="s">
        <v>40</v>
      </c>
      <c r="J1929" s="8" t="s">
        <v>20</v>
      </c>
      <c r="K1929" t="s">
        <v>266</v>
      </c>
      <c r="L1929" t="s">
        <v>357</v>
      </c>
      <c r="M1929" s="2">
        <f>VALUE(MID(L1929,1,FIND("@",L1929)-6))</f>
        <v>150</v>
      </c>
      <c r="N1929">
        <v>5</v>
      </c>
      <c r="O1929" t="str">
        <f>IF(datos_limpios[[#This Row],[Seating Capacity ]]&gt;4,"SI","NO")</f>
        <v>SI</v>
      </c>
      <c r="P1929">
        <v>60</v>
      </c>
    </row>
    <row r="1930" spans="1:16" x14ac:dyDescent="0.3">
      <c r="A1930" s="8" t="s">
        <v>355</v>
      </c>
      <c r="B1930" s="8" t="s">
        <v>845</v>
      </c>
      <c r="C1930" s="9">
        <v>1931</v>
      </c>
      <c r="D1930" s="3">
        <v>2100000</v>
      </c>
      <c r="E1930" s="1">
        <f>datos_limpios[[#This Row],[Price INR   ]]*0.011</f>
        <v>23100</v>
      </c>
      <c r="F1930" s="13">
        <v>2018</v>
      </c>
      <c r="G1930" s="2">
        <v>42000</v>
      </c>
      <c r="H1930" s="8" t="s">
        <v>19</v>
      </c>
      <c r="I1930" s="8" t="s">
        <v>40</v>
      </c>
      <c r="J1930" s="8" t="s">
        <v>30</v>
      </c>
      <c r="K1930" t="s">
        <v>266</v>
      </c>
      <c r="L1930" t="s">
        <v>357</v>
      </c>
      <c r="M1930" s="2">
        <f>VALUE(MID(L1930,1,FIND("@",L1930)-6))</f>
        <v>150</v>
      </c>
      <c r="N1930">
        <v>5</v>
      </c>
      <c r="O1930" t="str">
        <f>IF(datos_limpios[[#This Row],[Seating Capacity ]]&gt;4,"SI","NO")</f>
        <v>SI</v>
      </c>
      <c r="P1930">
        <v>60</v>
      </c>
    </row>
    <row r="1931" spans="1:16" x14ac:dyDescent="0.3">
      <c r="A1931" s="8" t="s">
        <v>355</v>
      </c>
      <c r="B1931" s="8" t="s">
        <v>1404</v>
      </c>
      <c r="C1931" s="9">
        <v>1932</v>
      </c>
      <c r="D1931" s="3">
        <v>3950000</v>
      </c>
      <c r="E1931" s="1">
        <f>datos_limpios[[#This Row],[Price INR   ]]*0.011</f>
        <v>43450</v>
      </c>
      <c r="F1931" s="13">
        <v>2018</v>
      </c>
      <c r="G1931" s="2">
        <v>52000</v>
      </c>
      <c r="H1931" s="8" t="s">
        <v>19</v>
      </c>
      <c r="I1931" s="8" t="s">
        <v>40</v>
      </c>
      <c r="J1931" s="8" t="s">
        <v>20</v>
      </c>
      <c r="K1931" t="s">
        <v>948</v>
      </c>
      <c r="L1931" t="s">
        <v>153</v>
      </c>
      <c r="M1931" s="2">
        <f>VALUE(MID(L1931,1,FIND("@",L1931)-6))</f>
        <v>190</v>
      </c>
      <c r="N1931">
        <v>5</v>
      </c>
      <c r="O1931" t="str">
        <f>IF(datos_limpios[[#This Row],[Seating Capacity ]]&gt;4,"SI","NO")</f>
        <v>SI</v>
      </c>
      <c r="P1931">
        <v>54</v>
      </c>
    </row>
    <row r="1932" spans="1:16" x14ac:dyDescent="0.3">
      <c r="A1932" s="8" t="s">
        <v>355</v>
      </c>
      <c r="B1932" s="8" t="s">
        <v>1326</v>
      </c>
      <c r="C1932" s="9">
        <v>1933</v>
      </c>
      <c r="D1932" s="3">
        <v>4175000</v>
      </c>
      <c r="E1932" s="1">
        <f>datos_limpios[[#This Row],[Price INR   ]]*0.011</f>
        <v>45925</v>
      </c>
      <c r="F1932" s="13">
        <v>2018</v>
      </c>
      <c r="G1932" s="2">
        <v>20000</v>
      </c>
      <c r="H1932" s="8" t="s">
        <v>19</v>
      </c>
      <c r="I1932" s="8" t="s">
        <v>40</v>
      </c>
      <c r="J1932" s="8" t="s">
        <v>20</v>
      </c>
      <c r="K1932" t="s">
        <v>948</v>
      </c>
      <c r="L1932" t="s">
        <v>1327</v>
      </c>
      <c r="M1932" s="2">
        <f>VALUE(MID(L1932,1,FIND("@",L1932)-6))</f>
        <v>190</v>
      </c>
      <c r="N1932">
        <v>5</v>
      </c>
      <c r="O1932" t="str">
        <f>IF(datos_limpios[[#This Row],[Seating Capacity ]]&gt;4,"SI","NO")</f>
        <v>SI</v>
      </c>
      <c r="P1932">
        <v>55</v>
      </c>
    </row>
    <row r="1933" spans="1:16" x14ac:dyDescent="0.3">
      <c r="A1933" s="8" t="s">
        <v>355</v>
      </c>
      <c r="B1933" s="8" t="s">
        <v>1265</v>
      </c>
      <c r="C1933" s="9">
        <v>1934</v>
      </c>
      <c r="D1933" s="3">
        <v>4400000</v>
      </c>
      <c r="E1933" s="1">
        <f>datos_limpios[[#This Row],[Price INR   ]]*0.011</f>
        <v>48400</v>
      </c>
      <c r="F1933" s="13">
        <v>2020</v>
      </c>
      <c r="G1933" s="2">
        <v>16519</v>
      </c>
      <c r="H1933" s="8" t="s">
        <v>12</v>
      </c>
      <c r="I1933" s="8" t="s">
        <v>40</v>
      </c>
      <c r="J1933" s="8" t="s">
        <v>20</v>
      </c>
      <c r="K1933" t="s">
        <v>948</v>
      </c>
      <c r="L1933" t="s">
        <v>1266</v>
      </c>
      <c r="M1933" s="2">
        <f>VALUE(MID(L1933,1,FIND("@",L1933)-6))</f>
        <v>187</v>
      </c>
      <c r="N1933">
        <v>5</v>
      </c>
      <c r="O1933" t="str">
        <f>IF(datos_limpios[[#This Row],[Seating Capacity ]]&gt;4,"SI","NO")</f>
        <v>SI</v>
      </c>
      <c r="P1933">
        <v>54</v>
      </c>
    </row>
    <row r="1934" spans="1:16" x14ac:dyDescent="0.3">
      <c r="A1934" s="8" t="s">
        <v>355</v>
      </c>
      <c r="B1934" s="8" t="s">
        <v>947</v>
      </c>
      <c r="C1934" s="9">
        <v>1935</v>
      </c>
      <c r="D1934" s="3">
        <v>5800000</v>
      </c>
      <c r="E1934" s="1">
        <f>datos_limpios[[#This Row],[Price INR   ]]*0.011</f>
        <v>63799.999999999993</v>
      </c>
      <c r="F1934" s="13">
        <v>2019</v>
      </c>
      <c r="G1934" s="2">
        <v>3500</v>
      </c>
      <c r="H1934" s="8" t="s">
        <v>19</v>
      </c>
      <c r="I1934" s="8" t="s">
        <v>40</v>
      </c>
      <c r="J1934" s="8" t="s">
        <v>20</v>
      </c>
      <c r="K1934" t="s">
        <v>948</v>
      </c>
      <c r="L1934" t="s">
        <v>949</v>
      </c>
      <c r="M1934" s="2">
        <f>VALUE(MID(L1934,1,FIND("@",L1934)-6))</f>
        <v>235</v>
      </c>
      <c r="N1934">
        <v>5</v>
      </c>
      <c r="O1934" t="str">
        <f>IF(datos_limpios[[#This Row],[Seating Capacity ]]&gt;4,"SI","NO")</f>
        <v>SI</v>
      </c>
      <c r="P1934">
        <v>71</v>
      </c>
    </row>
    <row r="1935" spans="1:16" x14ac:dyDescent="0.3">
      <c r="A1935" s="8" t="s">
        <v>355</v>
      </c>
      <c r="B1935" s="8" t="s">
        <v>1229</v>
      </c>
      <c r="C1935" s="9">
        <v>1936</v>
      </c>
      <c r="D1935" s="3">
        <v>6000000</v>
      </c>
      <c r="E1935" s="1">
        <f>datos_limpios[[#This Row],[Price INR   ]]*0.011</f>
        <v>66000</v>
      </c>
      <c r="F1935" s="13">
        <v>2020</v>
      </c>
      <c r="G1935" s="2">
        <v>2600</v>
      </c>
      <c r="H1935" s="8" t="s">
        <v>19</v>
      </c>
      <c r="I1935" s="8" t="s">
        <v>40</v>
      </c>
      <c r="J1935" s="8" t="s">
        <v>57</v>
      </c>
      <c r="K1935" t="s">
        <v>948</v>
      </c>
      <c r="L1935" t="s">
        <v>1230</v>
      </c>
      <c r="M1935" s="2">
        <f>VALUE(MID(L1935,1,FIND("@",L1935)-6))</f>
        <v>187</v>
      </c>
      <c r="N1935">
        <v>5</v>
      </c>
      <c r="O1935" t="str">
        <f>IF(datos_limpios[[#This Row],[Seating Capacity ]]&gt;4,"SI","NO")</f>
        <v>SI</v>
      </c>
      <c r="P1935">
        <v>55</v>
      </c>
    </row>
    <row r="1936" spans="1:16" x14ac:dyDescent="0.3">
      <c r="A1936" s="8" t="s">
        <v>355</v>
      </c>
      <c r="B1936" s="8" t="s">
        <v>1334</v>
      </c>
      <c r="C1936" s="9">
        <v>1937</v>
      </c>
      <c r="D1936" s="3">
        <v>8500000</v>
      </c>
      <c r="E1936" s="1">
        <f>datos_limpios[[#This Row],[Price INR   ]]*0.011</f>
        <v>93500</v>
      </c>
      <c r="F1936" s="13">
        <v>2021</v>
      </c>
      <c r="G1936" s="2">
        <v>32500</v>
      </c>
      <c r="H1936" s="8" t="s">
        <v>19</v>
      </c>
      <c r="I1936" s="8" t="s">
        <v>40</v>
      </c>
      <c r="J1936" s="8" t="s">
        <v>20</v>
      </c>
      <c r="K1936" t="s">
        <v>948</v>
      </c>
      <c r="L1936" t="s">
        <v>1335</v>
      </c>
      <c r="M1936" s="2">
        <f>VALUE(MID(L1936,1,FIND("@",L1936)-6))</f>
        <v>232</v>
      </c>
      <c r="N1936">
        <v>7</v>
      </c>
      <c r="O1936" t="str">
        <f>IF(datos_limpios[[#This Row],[Seating Capacity ]]&gt;4,"SI","NO")</f>
        <v>SI</v>
      </c>
      <c r="P1936">
        <v>71</v>
      </c>
    </row>
  </sheetData>
  <hyperlinks>
    <hyperlink ref="L1011" r:id="rId1" display="87@6000             " xr:uid="{5AAD7842-D3ED-4995-B346-DDF84107A278}"/>
    <hyperlink ref="L302" r:id="rId2" display="118@6600            " xr:uid="{3304825C-AF40-4EF3-820C-A9B3AD1E961D}"/>
  </hyperlinks>
  <pageMargins left="0.7" right="0.7" top="0.75" bottom="0.75" header="0.3" footer="0.3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5528-37D8-40D3-87CE-87ED57A25670}">
  <sheetPr codeName="Hoja7"/>
  <dimension ref="A1"/>
  <sheetViews>
    <sheetView zoomScale="43" workbookViewId="0">
      <selection activeCell="O57" sqref="O57"/>
    </sheetView>
  </sheetViews>
  <sheetFormatPr baseColWidth="10"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MostrarDatosPorID">
                <anchor moveWithCells="1" sizeWithCells="1">
                  <from>
                    <xdr:col>13</xdr:col>
                    <xdr:colOff>784860</xdr:colOff>
                    <xdr:row>64</xdr:row>
                    <xdr:rowOff>45720</xdr:rowOff>
                  </from>
                  <to>
                    <xdr:col>15</xdr:col>
                    <xdr:colOff>411480</xdr:colOff>
                    <xdr:row>66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CF81E26-804C-4DCB-9D9D-F7C0405AD1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Cuadro de mandos</vt:lpstr>
      <vt:lpstr>Precio</vt:lpstr>
      <vt:lpstr>Hoja5</vt:lpstr>
      <vt:lpstr>Tablas y graficos</vt:lpstr>
      <vt:lpstr>datos_limpios</vt:lpstr>
      <vt:lpstr>Atributos</vt:lpstr>
      <vt:lpstr>LEYENDA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FERNANDO GOMEZ COMENDADOR</dc:creator>
  <cp:lastModifiedBy>VICTOR FERNANDO GOMEZ COMENDADOR</cp:lastModifiedBy>
  <dcterms:created xsi:type="dcterms:W3CDTF">2024-04-27T10:22:22Z</dcterms:created>
  <dcterms:modified xsi:type="dcterms:W3CDTF">2024-04-29T19:56:56Z</dcterms:modified>
</cp:coreProperties>
</file>